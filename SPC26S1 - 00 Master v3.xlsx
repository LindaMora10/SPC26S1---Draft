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317" documentId="11_43F03A1555725CC295D38C9E6A8B1C9A6122E70E" xr6:coauthVersionLast="47" xr6:coauthVersionMax="47" xr10:uidLastSave="{1FAD3F20-3330-4092-9856-CB176083CA64}"/>
  <bookViews>
    <workbookView xWindow="-28920" yWindow="-1875" windowWidth="29040" windowHeight="15720" activeTab="1" xr2:uid="{00000000-000D-0000-FFFF-FFFF00000000}"/>
  </bookViews>
  <sheets>
    <sheet name="Read Me" sheetId="1" r:id="rId1"/>
    <sheet name="All Claims" sheetId="2" r:id="rId2"/>
  </sheets>
  <externalReferences>
    <externalReference r:id="rId3"/>
    <externalReference r:id="rId4"/>
    <externalReference r:id="rId5"/>
    <externalReference r:id="rId6"/>
    <externalReference r:id="rId7"/>
    <externalReference r:id="rId8"/>
  </externalReferences>
  <definedNames>
    <definedName name="_xlnm._FilterDatabase" localSheetId="1" hidden="1">'All Claims'!$A$1:$AO$477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A1" authorId="0" shapeId="0" xr:uid="{00000000-0006-0000-0100-000001000000}">
      <text>
        <r>
          <rPr>
            <sz val="11"/>
            <color theme="1"/>
            <rFont val="Calibri"/>
            <family val="2"/>
            <scheme val="minor"/>
          </rPr>
          <t>Linked - reads the Claim Status you typed in the matching specialty sheet of the monthly workbook. Do not type over it.</t>
        </r>
      </text>
    </comment>
    <comment ref="B1" authorId="0" shapeId="0" xr:uid="{00000000-0006-0000-0100-000002000000}">
      <text>
        <r>
          <rPr>
            <sz val="11"/>
            <color theme="1"/>
            <rFont val="Calibri"/>
            <family val="2"/>
            <scheme val="minor"/>
          </rPr>
          <t>Linked - reads the Notes you typed in the matching specialty sheet of the monthly workbook. Do not type over it.</t>
        </r>
      </text>
    </comment>
    <comment ref="C1" authorId="0" shapeId="0" xr:uid="{00000000-0006-0000-0100-000003000000}">
      <text>
        <r>
          <rPr>
            <sz val="11"/>
            <color theme="1"/>
            <rFont val="Calibri"/>
            <family val="2"/>
            <scheme val="minor"/>
          </rPr>
          <t>Linked - reads the Processed Date entered in the matching specialty sheet of the monthly workbook, shown MM/DD/YYYY. Do not type over it.</t>
        </r>
      </text>
    </comment>
    <comment ref="D1" authorId="0" shapeId="0" xr:uid="{00000000-0006-0000-0100-000004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5000000}">
      <text>
        <r>
          <rPr>
            <sz val="11"/>
            <color theme="1"/>
            <rFont val="Calibri"/>
            <family val="2"/>
            <scheme val="minor"/>
          </rPr>
          <t>Linked - reads the Latest Date Worked entered in the matching specialty sheet of the monthly workbook, shown MM/DD/YYYY. Do not type over it.</t>
        </r>
      </text>
    </comment>
    <comment ref="L1" authorId="0" shapeId="0" xr:uid="{00000000-0006-0000-0100-000006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7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8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9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A000000}">
      <text>
        <r>
          <rPr>
            <sz val="11"/>
            <color theme="1"/>
            <rFont val="Calibri"/>
            <family val="2"/>
            <scheme val="minor"/>
          </rPr>
          <t>The limit applied to this row, as days or calendar months.</t>
        </r>
      </text>
    </comment>
    <comment ref="Q1" authorId="0" shapeId="0" xr:uid="{00000000-0006-0000-0100-00000B000000}">
      <text>
        <r>
          <rPr>
            <sz val="11"/>
            <color theme="1"/>
            <rFont val="Calibri"/>
            <family val="2"/>
            <scheme val="minor"/>
          </rPr>
          <t>The carrier row in Carrier_Timely_Filing_Reference.xlsx that the primary payer was matched to.</t>
        </r>
      </text>
    </comment>
    <comment ref="R1" authorId="0" shapeId="0" xr:uid="{00000000-0006-0000-0100-00000C000000}">
      <text>
        <r>
          <rPr>
            <sz val="11"/>
            <color theme="1"/>
            <rFont val="Calibri"/>
            <family val="2"/>
            <scheme val="minor"/>
          </rPr>
          <t>Corrected claim window from Carrier_Timely_Filing_Reference.xlsx.</t>
        </r>
      </text>
    </comment>
    <comment ref="S1" authorId="0" shapeId="0" xr:uid="{00000000-0006-0000-0100-00000D000000}">
      <text>
        <r>
          <rPr>
            <sz val="11"/>
            <color theme="1"/>
            <rFont val="Calibri"/>
            <family val="2"/>
            <scheme val="minor"/>
          </rPr>
          <t>Whether the carrier counts the corrected claim window from the date of service or from the processed date.</t>
        </r>
      </text>
    </comment>
    <comment ref="T1" authorId="0" shapeId="0" xr:uid="{00000000-0006-0000-0100-00000E000000}">
      <text>
        <r>
          <rPr>
            <sz val="11"/>
            <color theme="1"/>
            <rFont val="Calibri"/>
            <family val="2"/>
            <scheme val="minor"/>
          </rPr>
          <t>Reconsideration / appeal window from Carrier_Timely_Filing_Reference.xlsx.</t>
        </r>
      </text>
    </comment>
    <comment ref="U1" authorId="0" shapeId="0" xr:uid="{00000000-0006-0000-0100-00000F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<sst xmlns="http://schemas.openxmlformats.org/spreadsheetml/2006/main" count="8791" uniqueCount="1034">
  <si>
    <t>ALL Claims 2026-S1 - Master</t>
  </si>
  <si>
    <t>Every one of the 477 claims for 2026 S1, all specialties and all six months in one place, on the 'All Claims' tab.</t>
  </si>
  <si>
    <t>Row order - timely filing deadline</t>
  </si>
  <si>
    <t>Sorted by Days Until Deadline, most urgent first, except that Finalized claims with a Latest Date Worked are moved to the bottom (still in deadline order among themselves). A negative number means the filing window has already closed; a blank means no limit is on file. The counts below update automatically (Finalized claims with a Latest Date Worked have their deadline cells left empty and are not counted), and the row order is a snapshot - to bring it up to date, sort ascending on Days Until Deadline and then move the Finalized rows with a Latest Date Worked back to the bottom.</t>
  </si>
  <si>
    <t xml:space="preserve">    1 - Due in 5 days or less: 22</t>
  </si>
  <si>
    <t xml:space="preserve">    2 - Due in 6-30 days: 21</t>
  </si>
  <si>
    <t xml:space="preserve">    3 - Due in 31+ days: 152</t>
  </si>
  <si>
    <t xml:space="preserve">    4 - Past deadline: 239</t>
  </si>
  <si>
    <t xml:space="preserve">    5 - No limit on file: 43</t>
  </si>
  <si>
    <t>Filing Deadline is the date of service plus the primary payer's limit, from 'Carrier_Timely_Filing_Reference.xlsx'. Days Until Deadline is a live formula; the row order is a snapshot taken on 12 August 2026. Check Filing Limit and Limit Carrier for the figure applied - where a payer had two possible limits the shorter one was used.</t>
  </si>
  <si>
    <t>Four columns are live links - do not type in them</t>
  </si>
  <si>
    <t>Claim Status, Notes, Processed Date and Latest Date Worked (shaded pale green) are formulas. Each one looks up its claim by Primary Claim ID in the matching specialty sheet of the matching monthly workbook and returns whatever is entered there. Edit any of the four in a monthly file, save it, and this file shows the change.</t>
  </si>
  <si>
    <t>Typing directly into these four columns here replaces the formula and breaks the link for that row. Make every edit in the monthly workbooks.</t>
  </si>
  <si>
    <t>Processed Date and Latest Date Worked are shown MM/DD/YYYY, the same as every other date column. Processed Date was seeded from the date in the Notes where there was one and from the Insurance Check Date otherwise.</t>
  </si>
  <si>
    <t>Days Until Corrected Claim Deadline and Days Until Appeal Deadline are live formulas counted from whichever date each carrier uses - see Corrected Claim From and Appeal From. They are not links, so they recalculate here from this file's own Processed Date, which is itself linked to the monthly workbook.</t>
  </si>
  <si>
    <t>Refreshing</t>
  </si>
  <si>
    <t>Keep all seven files together in this folder and do not rename them. When you open this file, Excel asks whether to update links - choose Enable Content / Update. To refresh while it is open: Data &gt; Queries &amp; Connections &gt; Edit Links &gt; Update Values. Values are also cached, so the last known status and notes appear even if you decline the update.</t>
  </si>
  <si>
    <t>Linked source files</t>
  </si>
  <si>
    <t xml:space="preserve">    [1]  SPC26S1 - 01 January v3.xlsx</t>
  </si>
  <si>
    <t xml:space="preserve">    [2]  SPC26S1 - 02 February v3.xlsx</t>
  </si>
  <si>
    <t xml:space="preserve">    [3]  SPC26S1 - 03 March v3.xlsx</t>
  </si>
  <si>
    <t xml:space="preserve">    [4]  SPC26S1 - 04 April v3.xlsx</t>
  </si>
  <si>
    <t xml:space="preserve">    [5]  SPC26S1 - 05 May v3.xlsx</t>
  </si>
  <si>
    <t xml:space="preserve">    [6]  SPC26S1 - 06 June v3.xlsx</t>
  </si>
  <si>
    <t>Every other column is a static copy of the source data.</t>
  </si>
  <si>
    <t>Statuses currently in use: Denied, Finalized, Not found, PAID, Pending, Received, Rejected, Under Review.</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</si>
  <si>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</si>
  <si>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</si>
  <si>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</si>
  <si>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</si>
  <si>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</si>
  <si>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</si>
  <si>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</si>
  <si>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</si>
  <si>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</si>
  <si>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</si>
  <si>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</si>
  <si>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</si>
  <si>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</si>
  <si>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</si>
  <si>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</si>
  <si>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</si>
  <si>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</si>
  <si>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</si>
  <si>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</si>
  <si>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</si>
  <si>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</si>
  <si>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Service Month</t>
  </si>
  <si>
    <t>Specialty</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</si>
  <si>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</si>
  <si>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</si>
  <si>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</si>
  <si>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</si>
  <si>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</si>
  <si>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</si>
  <si>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</si>
  <si>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</si>
  <si>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</si>
  <si>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</si>
  <si>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</si>
  <si>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</si>
  <si>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</si>
  <si>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</si>
  <si>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</si>
  <si>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</si>
  <si>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</si>
  <si>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</si>
  <si>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HF527306886</t>
  </si>
  <si>
    <t>Arizona Priority Care Plus</t>
  </si>
  <si>
    <t>No Payer</t>
  </si>
  <si>
    <t>63685 x1</t>
  </si>
  <si>
    <t>60 days</t>
  </si>
  <si>
    <t>AZ PRIORITY CARE</t>
  </si>
  <si>
    <t>365 days</t>
  </si>
  <si>
    <t>Processed date</t>
  </si>
  <si>
    <t>2026-01 January</t>
  </si>
  <si>
    <t>ORTHO</t>
  </si>
  <si>
    <t>1</t>
  </si>
  <si>
    <t>M961</t>
  </si>
  <si>
    <t>M5416</t>
  </si>
  <si>
    <t>KALLGREN, MARK</t>
  </si>
  <si>
    <t>Premier Endoscopy Center, LLC</t>
  </si>
  <si>
    <t>HF503610126</t>
  </si>
  <si>
    <t>Tricare for Life (All Regions)</t>
  </si>
  <si>
    <t>Humana</t>
  </si>
  <si>
    <t>A6023+A2 x20</t>
  </si>
  <si>
    <t>90 days</t>
  </si>
  <si>
    <t>HUMANA COMMERCIAL</t>
  </si>
  <si>
    <t>Date of service</t>
  </si>
  <si>
    <t>DME</t>
  </si>
  <si>
    <t>A2</t>
  </si>
  <si>
    <t>20</t>
  </si>
  <si>
    <t>G894</t>
  </si>
  <si>
    <t>G90513</t>
  </si>
  <si>
    <t>MCMURDIE, TODD</t>
  </si>
  <si>
    <t>ASAP - Surprise - Reems</t>
  </si>
  <si>
    <t>HF540310616</t>
  </si>
  <si>
    <t>Humana Gold Plus HMO</t>
  </si>
  <si>
    <t>36246+59+RT x1; 36245+59 x1; 37242 x1; 36248+59 x3</t>
  </si>
  <si>
    <t>HUMANA MA</t>
  </si>
  <si>
    <t>540 days</t>
  </si>
  <si>
    <t>GAE</t>
  </si>
  <si>
    <t>59</t>
  </si>
  <si>
    <t>RT</t>
  </si>
  <si>
    <t>1, 3</t>
  </si>
  <si>
    <t>M1711</t>
  </si>
  <si>
    <t>I798</t>
  </si>
  <si>
    <t>M25561</t>
  </si>
  <si>
    <t>HUNTER, DREW</t>
  </si>
  <si>
    <t>ASAP Surgery Centers North Valley LLC</t>
  </si>
  <si>
    <t>HF479029623</t>
  </si>
  <si>
    <t>36248+59 x2; 37242 x1; 36246+59+RT x1; 36245+59 x1</t>
  </si>
  <si>
    <t>2, 1</t>
  </si>
  <si>
    <t>HF532613047</t>
  </si>
  <si>
    <t>United Healthcare</t>
  </si>
  <si>
    <t>99494 x1</t>
  </si>
  <si>
    <t>UHC COMMERCIAL</t>
  </si>
  <si>
    <t>180 days</t>
  </si>
  <si>
    <t>BH</t>
  </si>
  <si>
    <t>F4320</t>
  </si>
  <si>
    <t>MEARS, CHAD</t>
  </si>
  <si>
    <t>ASAP Peoria</t>
  </si>
  <si>
    <t>HF331360774</t>
  </si>
  <si>
    <t>Blue Cross Blue Shield of Arizona (BCBS AZ)</t>
  </si>
  <si>
    <t>99494 x1; 99492 x1</t>
  </si>
  <si>
    <t>BCBS</t>
  </si>
  <si>
    <t>SARKAR, AWNIK</t>
  </si>
  <si>
    <t>HF537320032</t>
  </si>
  <si>
    <t>93925 x1</t>
  </si>
  <si>
    <t>US</t>
  </si>
  <si>
    <t>I739</t>
  </si>
  <si>
    <t>TURLEY, TODD</t>
  </si>
  <si>
    <t>ASAP - DEER VALLEY</t>
  </si>
  <si>
    <t>HF536495012</t>
  </si>
  <si>
    <t>Optum Care Medical Network of Arizona, Utah, &amp; Washington (LifePrint)</t>
  </si>
  <si>
    <t>93970 x1</t>
  </si>
  <si>
    <t>OPTUM</t>
  </si>
  <si>
    <t>R600</t>
  </si>
  <si>
    <t>M79605</t>
  </si>
  <si>
    <t>M79604</t>
  </si>
  <si>
    <t>HF537684538</t>
  </si>
  <si>
    <t>HF533641085</t>
  </si>
  <si>
    <t>CIGNA</t>
  </si>
  <si>
    <t>63047 x1</t>
  </si>
  <si>
    <t>CIGNA / CIGNA MEDICARE</t>
  </si>
  <si>
    <t>M48062</t>
  </si>
  <si>
    <t>O'NEIL, ROY</t>
  </si>
  <si>
    <t>HF456567442</t>
  </si>
  <si>
    <t>UnitedHealthcare Community Plan / Arizona Long Term Care</t>
  </si>
  <si>
    <t>G90523</t>
  </si>
  <si>
    <t>HF491900072</t>
  </si>
  <si>
    <t>63047+LT x1</t>
  </si>
  <si>
    <t>UHC COMMUNITY</t>
  </si>
  <si>
    <t>LT</t>
  </si>
  <si>
    <t>KRAUSE, JEFFREY</t>
  </si>
  <si>
    <t>HF442148430</t>
  </si>
  <si>
    <t>Cigna Medicare Advantage</t>
  </si>
  <si>
    <t>LEATHEM, JARRETT</t>
  </si>
  <si>
    <t>ASAP - Gilbert</t>
  </si>
  <si>
    <t>HF434792716</t>
  </si>
  <si>
    <t>99493 x1</t>
  </si>
  <si>
    <t>F1190</t>
  </si>
  <si>
    <t>HF494223308</t>
  </si>
  <si>
    <t>M25551</t>
  </si>
  <si>
    <t>M25552</t>
  </si>
  <si>
    <t>BURGHER, ABRAM</t>
  </si>
  <si>
    <t>HF383758253</t>
  </si>
  <si>
    <t>M48061</t>
  </si>
  <si>
    <t>MAYURAN, VIKRAM</t>
  </si>
  <si>
    <t>HF526889546</t>
  </si>
  <si>
    <t>HF537685966</t>
  </si>
  <si>
    <t>Medicare Part B Arizona *</t>
  </si>
  <si>
    <t>F330</t>
  </si>
  <si>
    <t>HF513229920</t>
  </si>
  <si>
    <t>HealthSpring Medicare Advantage</t>
  </si>
  <si>
    <t>I872</t>
  </si>
  <si>
    <t>I83812</t>
  </si>
  <si>
    <t>HF359780591</t>
  </si>
  <si>
    <t>TRIADA GAP BENEFITS</t>
  </si>
  <si>
    <t>F411</t>
  </si>
  <si>
    <t>HF470511781</t>
  </si>
  <si>
    <t>27279+LT x1</t>
  </si>
  <si>
    <t>M461</t>
  </si>
  <si>
    <t>HF524606724</t>
  </si>
  <si>
    <t>HF518924824</t>
  </si>
  <si>
    <t>Mercy Care Plan (AHCCCS) - Complete Care &amp; Long Term Care (LTC)</t>
  </si>
  <si>
    <t>Allwell - All States (Centene)</t>
  </si>
  <si>
    <t>A6023+A2 x10</t>
  </si>
  <si>
    <t>95 days</t>
  </si>
  <si>
    <t>WELLCARE BY ALLWELL</t>
  </si>
  <si>
    <t>10</t>
  </si>
  <si>
    <t>ASAP - Mesa</t>
  </si>
  <si>
    <t>HF505789977</t>
  </si>
  <si>
    <t>37242 x1; 36245+59 x1; 36248+59 x1; 36246+59+RT x1</t>
  </si>
  <si>
    <t>HF475536429</t>
  </si>
  <si>
    <t>99492 x1; 99494 x1</t>
  </si>
  <si>
    <t>HF431164004</t>
  </si>
  <si>
    <t>F331</t>
  </si>
  <si>
    <t>ASAP - Goodyear</t>
  </si>
  <si>
    <t>HF535417942</t>
  </si>
  <si>
    <t>LIEN 05</t>
  </si>
  <si>
    <t>F4323</t>
  </si>
  <si>
    <t>HF499806568</t>
  </si>
  <si>
    <t>99494 x1; 99493 x1</t>
  </si>
  <si>
    <t>2026-02 February</t>
  </si>
  <si>
    <t>HF543361488</t>
  </si>
  <si>
    <t>Aetna Medicare PPO</t>
  </si>
  <si>
    <t>36248+59 x3; 37242 x1; 36246+59+RT x1</t>
  </si>
  <si>
    <t>120 days</t>
  </si>
  <si>
    <t>AETNA</t>
  </si>
  <si>
    <t>3, 1</t>
  </si>
  <si>
    <t>HF349133597</t>
  </si>
  <si>
    <t>AARP MedicareComplete (SecureHorizons &amp; Oxford Network)</t>
  </si>
  <si>
    <t>63048 x1; 63047 x1; 64708 x1</t>
  </si>
  <si>
    <t>AARP MA CHOICE / MEDICARE COMPLETE</t>
  </si>
  <si>
    <t>M51362</t>
  </si>
  <si>
    <t>M4696, G59</t>
  </si>
  <si>
    <t>LUKE, TIMOTHY</t>
  </si>
  <si>
    <t>HF540909294</t>
  </si>
  <si>
    <t>63048 x1; 63047 x1</t>
  </si>
  <si>
    <t>99493 x1; 99494 x1</t>
  </si>
  <si>
    <t>HF342585384</t>
  </si>
  <si>
    <t>TRIWEST VA CCN CLAIMS</t>
  </si>
  <si>
    <t>99494 x2; 99493 x1</t>
  </si>
  <si>
    <t>TRIWEST</t>
  </si>
  <si>
    <t>F332</t>
  </si>
  <si>
    <t>HF489558936</t>
  </si>
  <si>
    <t>36246+59+RT x1; 75710+XU+RT x1; 76937 x1; 75774+XU x4; 36248+59 x3; 37242 x1</t>
  </si>
  <si>
    <t>59, XU</t>
  </si>
  <si>
    <t>1, 4, 3</t>
  </si>
  <si>
    <t>HF513477727</t>
  </si>
  <si>
    <t>L0648+KX x1</t>
  </si>
  <si>
    <t>KX</t>
  </si>
  <si>
    <t>M4316</t>
  </si>
  <si>
    <t>HF331718997</t>
  </si>
  <si>
    <t>99494 x2; 99492 x1</t>
  </si>
  <si>
    <t>HF500464709</t>
  </si>
  <si>
    <t>UHC Group Medicare Advantage</t>
  </si>
  <si>
    <t>63030+50 x1</t>
  </si>
  <si>
    <t>UHC MA</t>
  </si>
  <si>
    <t>50</t>
  </si>
  <si>
    <t>M5126</t>
  </si>
  <si>
    <t>HF544828362</t>
  </si>
  <si>
    <t>A6010+A1 x20</t>
  </si>
  <si>
    <t>A1</t>
  </si>
  <si>
    <t>L97529</t>
  </si>
  <si>
    <t>HF460603685</t>
  </si>
  <si>
    <t>HF443112560</t>
  </si>
  <si>
    <t>22845+59 x1; 22853 x1</t>
  </si>
  <si>
    <t>M4807</t>
  </si>
  <si>
    <t>Banner Desert Medical Center</t>
  </si>
  <si>
    <t>HF334213960</t>
  </si>
  <si>
    <t>63047+58 x1</t>
  </si>
  <si>
    <t>58</t>
  </si>
  <si>
    <t>HF333306186</t>
  </si>
  <si>
    <t>75710+26+XU+RT x1; 36246+59+RT x1; 75774+26+XU x5</t>
  </si>
  <si>
    <t>2026-03 March</t>
  </si>
  <si>
    <t>26, 59</t>
  </si>
  <si>
    <t>XU, RT</t>
  </si>
  <si>
    <t>1, 5</t>
  </si>
  <si>
    <t>HF539049375</t>
  </si>
  <si>
    <t>CIGNA HealthSprings</t>
  </si>
  <si>
    <t>93970 x1; 93923 x1</t>
  </si>
  <si>
    <t>E139</t>
  </si>
  <si>
    <t>I10</t>
  </si>
  <si>
    <t>99493 x1; 99494 x2</t>
  </si>
  <si>
    <t>1, 2</t>
  </si>
  <si>
    <t>BAUGHER, TIMOTHY</t>
  </si>
  <si>
    <t>HF517981468</t>
  </si>
  <si>
    <t>63048 x1</t>
  </si>
  <si>
    <t>M4726</t>
  </si>
  <si>
    <t>M4120</t>
  </si>
  <si>
    <t>MCCUNNIFF, PETER</t>
  </si>
  <si>
    <t>HF372010397</t>
  </si>
  <si>
    <t>HF515864933</t>
  </si>
  <si>
    <t>HF417864409</t>
  </si>
  <si>
    <t>F39</t>
  </si>
  <si>
    <t>HF490461961</t>
  </si>
  <si>
    <t>MORALES, DAVID</t>
  </si>
  <si>
    <t>HF496014369</t>
  </si>
  <si>
    <t>Arizona Complete Health (Centene)</t>
  </si>
  <si>
    <t>AZ COMPLETE</t>
  </si>
  <si>
    <t>M51370</t>
  </si>
  <si>
    <t>HF537038069</t>
  </si>
  <si>
    <t>22853 x1; 22551 x1; 22845+59 x1</t>
  </si>
  <si>
    <t>M4802</t>
  </si>
  <si>
    <t>M50021</t>
  </si>
  <si>
    <t>HF509386349</t>
  </si>
  <si>
    <t>HF549992587</t>
  </si>
  <si>
    <t>L0650+NU x1</t>
  </si>
  <si>
    <t>NU</t>
  </si>
  <si>
    <t>M47896</t>
  </si>
  <si>
    <t>HF495165589</t>
  </si>
  <si>
    <t>22853 x1; 22845+59 x1; 22551 x1</t>
  </si>
  <si>
    <t>M4317</t>
  </si>
  <si>
    <t>HF536440270</t>
  </si>
  <si>
    <t>22853 x1; 22612 x1</t>
  </si>
  <si>
    <t>HF404885397</t>
  </si>
  <si>
    <t>63655 x1; 63685 x1</t>
  </si>
  <si>
    <t>HF499452983</t>
  </si>
  <si>
    <t>99492+79 x1; 99494 x1</t>
  </si>
  <si>
    <t>79</t>
  </si>
  <si>
    <t>HF545096268</t>
  </si>
  <si>
    <t>L03116</t>
  </si>
  <si>
    <t>M2012</t>
  </si>
  <si>
    <t>Q66212</t>
  </si>
  <si>
    <t>KOMINSKY, STEPHEN</t>
  </si>
  <si>
    <t>HF492208813</t>
  </si>
  <si>
    <t>M5412</t>
  </si>
  <si>
    <t>R609</t>
  </si>
  <si>
    <t>HF505830380</t>
  </si>
  <si>
    <t>93970 x1; 93923 x1; 93925 x1</t>
  </si>
  <si>
    <t>HF341023592</t>
  </si>
  <si>
    <t>HF542079660</t>
  </si>
  <si>
    <t>HF546700195</t>
  </si>
  <si>
    <t>Tricare West</t>
  </si>
  <si>
    <t>I70213</t>
  </si>
  <si>
    <t>HF419953579</t>
  </si>
  <si>
    <t>M47816</t>
  </si>
  <si>
    <t>M47817</t>
  </si>
  <si>
    <t>Z79891</t>
  </si>
  <si>
    <t>ADLER, STEVEN</t>
  </si>
  <si>
    <t>HF550612373</t>
  </si>
  <si>
    <t>HF549281205</t>
  </si>
  <si>
    <t>M5417</t>
  </si>
  <si>
    <t>ASAP - Biltmore</t>
  </si>
  <si>
    <t>HF537299610</t>
  </si>
  <si>
    <t>I83811</t>
  </si>
  <si>
    <t>HF545494297</t>
  </si>
  <si>
    <t>M1712</t>
  </si>
  <si>
    <t>E785</t>
  </si>
  <si>
    <t>HF545223898</t>
  </si>
  <si>
    <t>ChampVA - HAC</t>
  </si>
  <si>
    <t>99492 x1</t>
  </si>
  <si>
    <t>HF548742459</t>
  </si>
  <si>
    <t>UnitedHealthcare / All Savers Insurance</t>
  </si>
  <si>
    <t>M5489</t>
  </si>
  <si>
    <t>HF481780302</t>
  </si>
  <si>
    <t>99494 x1; 99492+79 x1</t>
  </si>
  <si>
    <t>2026-04 April</t>
  </si>
  <si>
    <t>HF467496856</t>
  </si>
  <si>
    <t>M4807, M5416</t>
  </si>
  <si>
    <t>M5417, M5116</t>
  </si>
  <si>
    <t>HF531362064</t>
  </si>
  <si>
    <t>63047 x1; 63048 x1</t>
  </si>
  <si>
    <t>M5416, M4807</t>
  </si>
  <si>
    <t>M5116, M5417</t>
  </si>
  <si>
    <t>HF535105976</t>
  </si>
  <si>
    <t>93923 x1; 93970 x1</t>
  </si>
  <si>
    <t>E1140</t>
  </si>
  <si>
    <t>ASAP - DEER VALLEY 240</t>
  </si>
  <si>
    <t>HF442066976</t>
  </si>
  <si>
    <t>93970 x1; 93925 x1</t>
  </si>
  <si>
    <t>HF523440375</t>
  </si>
  <si>
    <t>L0637+NU x1</t>
  </si>
  <si>
    <t>HF553228745</t>
  </si>
  <si>
    <t>M8008XA</t>
  </si>
  <si>
    <t>HF517884474</t>
  </si>
  <si>
    <t>36248+59 x1; 75710+26+XU+LT x1; 36246+59+LT x1</t>
  </si>
  <si>
    <t>59, 26</t>
  </si>
  <si>
    <t>XU, LT</t>
  </si>
  <si>
    <t>M25562</t>
  </si>
  <si>
    <t>HF530195235</t>
  </si>
  <si>
    <t>Devoted Health Plan</t>
  </si>
  <si>
    <t>DEVOTED</t>
  </si>
  <si>
    <t>2026-05 May</t>
  </si>
  <si>
    <t>HF518562105</t>
  </si>
  <si>
    <t>I83893</t>
  </si>
  <si>
    <t>I82401</t>
  </si>
  <si>
    <t>HF469471726</t>
  </si>
  <si>
    <t>Mercy Care RBHA</t>
  </si>
  <si>
    <t>93970 x1; 93925 x1; 93923 x1</t>
  </si>
  <si>
    <t>HF329310676</t>
  </si>
  <si>
    <t>A6010+A1 x10</t>
  </si>
  <si>
    <t>M5127</t>
  </si>
  <si>
    <t>MARTINEZ, DIANA</t>
  </si>
  <si>
    <t>HF550437353</t>
  </si>
  <si>
    <t>Banner Health &amp; Aetna Health Insurance Company</t>
  </si>
  <si>
    <t>93923 x1</t>
  </si>
  <si>
    <t>BANNER HEALTH &amp; AETNA</t>
  </si>
  <si>
    <t>HF537334664</t>
  </si>
  <si>
    <t>A6010+A2 x20</t>
  </si>
  <si>
    <t>A6023+A1 x20</t>
  </si>
  <si>
    <t>OROC, RENEE</t>
  </si>
  <si>
    <t>ASAP Prescott Valley</t>
  </si>
  <si>
    <t>HF394953225</t>
  </si>
  <si>
    <t>20930 x1</t>
  </si>
  <si>
    <t>HF429774034</t>
  </si>
  <si>
    <t>HF434869353</t>
  </si>
  <si>
    <t>G588</t>
  </si>
  <si>
    <t>HF536642190</t>
  </si>
  <si>
    <t>75710+XU+LT x1; 36245+59 x1; 36248+59 x3; 36246+59+LT x1</t>
  </si>
  <si>
    <t>XU, 59</t>
  </si>
  <si>
    <t>HF525461225</t>
  </si>
  <si>
    <t>22845+59 x1; 22853+59 x1; 22551 x1; 22853 x1</t>
  </si>
  <si>
    <t>M542</t>
  </si>
  <si>
    <t>HF540895134</t>
  </si>
  <si>
    <t>Arshad, Jawad</t>
  </si>
  <si>
    <t>HF550434312</t>
  </si>
  <si>
    <t>HOLLISTER, ALICIA</t>
  </si>
  <si>
    <t>HF537403736</t>
  </si>
  <si>
    <t>HF330559209</t>
  </si>
  <si>
    <t>Banner Aetna</t>
  </si>
  <si>
    <t>HF554254508</t>
  </si>
  <si>
    <t>HF518096784</t>
  </si>
  <si>
    <t>Aetna Legacy</t>
  </si>
  <si>
    <t>HF330200116</t>
  </si>
  <si>
    <t>75774+26+XU x3; 36246+59+LT x1; 36245+59 x1; 36248+59 x1; 76937+26 x1; 37242 x1; 75710+26+XU+LT x1</t>
  </si>
  <si>
    <t>HF519300380</t>
  </si>
  <si>
    <t>HF538331188</t>
  </si>
  <si>
    <t>22551 x1; 22853 x1; 22845+59 x1; 22853+59 x1</t>
  </si>
  <si>
    <t>HF331720981</t>
  </si>
  <si>
    <t>A6010+A2 x10; A6023+A2 x10</t>
  </si>
  <si>
    <t>HF524312806</t>
  </si>
  <si>
    <t>Medica Health Plan Solutions (Mayo Plan - CHI Health)</t>
  </si>
  <si>
    <t>MEDICA</t>
  </si>
  <si>
    <t>HF553588238</t>
  </si>
  <si>
    <t>HF492424635</t>
  </si>
  <si>
    <t>22856 x1; 22858 x1</t>
  </si>
  <si>
    <t>M9971</t>
  </si>
  <si>
    <t>M2030</t>
  </si>
  <si>
    <t>HF522022623</t>
  </si>
  <si>
    <t>HF497777502</t>
  </si>
  <si>
    <t>HF528969654</t>
  </si>
  <si>
    <t>L1851+NU+RT x1</t>
  </si>
  <si>
    <t>HF453012792</t>
  </si>
  <si>
    <t>Health Choice Arizona</t>
  </si>
  <si>
    <t>HEALTH CHOICE MEDICAID</t>
  </si>
  <si>
    <t>HF534780004</t>
  </si>
  <si>
    <t>22845+59 x1; 20930 x1; 22853 x1; 22551 x1</t>
  </si>
  <si>
    <t>M5030</t>
  </si>
  <si>
    <t>G8929</t>
  </si>
  <si>
    <t>HF525117988</t>
  </si>
  <si>
    <t>HF518754066</t>
  </si>
  <si>
    <t>HF554716705</t>
  </si>
  <si>
    <t>HF387689153</t>
  </si>
  <si>
    <t>HF353314392</t>
  </si>
  <si>
    <t>DME Region D</t>
  </si>
  <si>
    <t>HF384867230</t>
  </si>
  <si>
    <t>HF342742988</t>
  </si>
  <si>
    <t>HF387811074</t>
  </si>
  <si>
    <t>22853 x1; 22845+59 x1; 22551 x1; 20930 x1</t>
  </si>
  <si>
    <t>M5010</t>
  </si>
  <si>
    <t>M4722</t>
  </si>
  <si>
    <t>Q068</t>
  </si>
  <si>
    <t>HF551129077</t>
  </si>
  <si>
    <t>Banner Medicare Advantage Prime HMO (BMAH)</t>
  </si>
  <si>
    <t>93925 x1; 93923 x1; 93970 x1</t>
  </si>
  <si>
    <t>BANNER MEDICARE ADVANTAGE</t>
  </si>
  <si>
    <t>65 days</t>
  </si>
  <si>
    <t>G9519</t>
  </si>
  <si>
    <t>M5116</t>
  </si>
  <si>
    <t>HF436451045</t>
  </si>
  <si>
    <t>HF548665870</t>
  </si>
  <si>
    <t>36246+59+RT x1; 36245+59 x1; 75710+26+XU+RT x1; 37242 x1; 36248+59 x3; 76937+26 x1; 75774+26+XU x5</t>
  </si>
  <si>
    <t>2026-06 June</t>
  </si>
  <si>
    <t>RT, XU</t>
  </si>
  <si>
    <t>1, 3, 5</t>
  </si>
  <si>
    <t>HF497623124</t>
  </si>
  <si>
    <t>AMBETTER</t>
  </si>
  <si>
    <t>TERRILL, STEPHANIE</t>
  </si>
  <si>
    <t>HF420733336</t>
  </si>
  <si>
    <t>Aetna</t>
  </si>
  <si>
    <t>HF529780586</t>
  </si>
  <si>
    <t>L1851+KX+RT x1</t>
  </si>
  <si>
    <t>BARCOME, MARYBETH</t>
  </si>
  <si>
    <t>HF331075211</t>
  </si>
  <si>
    <t>HF331630717</t>
  </si>
  <si>
    <t>HF480313866</t>
  </si>
  <si>
    <t>HF330717562</t>
  </si>
  <si>
    <t>United HealthCare Dual Complete</t>
  </si>
  <si>
    <t>I70213, R202, M79604</t>
  </si>
  <si>
    <t>R202, I70213, M79605</t>
  </si>
  <si>
    <t>M79604, R202</t>
  </si>
  <si>
    <t>M79605, I70213</t>
  </si>
  <si>
    <t>HF546093906</t>
  </si>
  <si>
    <t>Banner University Family Care - Arizona Long Term Care System</t>
  </si>
  <si>
    <t>HF550003369</t>
  </si>
  <si>
    <t>A6010+A2 x40</t>
  </si>
  <si>
    <t>40</t>
  </si>
  <si>
    <t>M2011</t>
  </si>
  <si>
    <t>M2041</t>
  </si>
  <si>
    <t>HF549150041</t>
  </si>
  <si>
    <t>HF399755417</t>
  </si>
  <si>
    <t>HF552607845</t>
  </si>
  <si>
    <t>36248+59 x3; 36247+59+LT x1</t>
  </si>
  <si>
    <t>M722</t>
  </si>
  <si>
    <t>M79672</t>
  </si>
  <si>
    <t>HF534608085</t>
  </si>
  <si>
    <t>36246+59+RT x1; 36245+59 x1; 75774+26+XU x5; 75710+26+XU+RT x1; 36248+59 x3</t>
  </si>
  <si>
    <t>1, 5, 3</t>
  </si>
  <si>
    <t>HF533821631</t>
  </si>
  <si>
    <t>93923 x1; 93925 x1</t>
  </si>
  <si>
    <t>I8393</t>
  </si>
  <si>
    <t>HF458717535</t>
  </si>
  <si>
    <t>HF550504744</t>
  </si>
  <si>
    <t>93923 x1; 93925 x1; 93970 x1</t>
  </si>
  <si>
    <t>G5790</t>
  </si>
  <si>
    <t>M5459</t>
  </si>
  <si>
    <t>M546</t>
  </si>
  <si>
    <t>N39498</t>
  </si>
  <si>
    <t>HF549730183</t>
  </si>
  <si>
    <t>22845+59 x1; 22853 x1; 22551 x1; 22853+59 x1</t>
  </si>
  <si>
    <t>M50022, M50023</t>
  </si>
  <si>
    <t>M50023, M50122, M5412</t>
  </si>
  <si>
    <t>M50122, M5412, M5000</t>
  </si>
  <si>
    <t>M5412, M5000, M542</t>
  </si>
  <si>
    <t>HF544192008</t>
  </si>
  <si>
    <t>93923 x1; 93970 x1; 93925 x1</t>
  </si>
  <si>
    <t>HF479934906</t>
  </si>
  <si>
    <t>F4312</t>
  </si>
  <si>
    <t>HF555357253</t>
  </si>
  <si>
    <t>HF523293759</t>
  </si>
  <si>
    <t>HF427171307</t>
  </si>
  <si>
    <t>LIEN 03</t>
  </si>
  <si>
    <t>M50022</t>
  </si>
  <si>
    <t>M50023</t>
  </si>
  <si>
    <t>M50122</t>
  </si>
  <si>
    <t>HF475049197</t>
  </si>
  <si>
    <t>HF543653317</t>
  </si>
  <si>
    <t>TONDINI, JENISE</t>
  </si>
  <si>
    <t>HF545888888</t>
  </si>
  <si>
    <t>A6023+A2 x40</t>
  </si>
  <si>
    <t>Van Dyke, Sandra</t>
  </si>
  <si>
    <t>HF549060053</t>
  </si>
  <si>
    <t>WC-509516716</t>
  </si>
  <si>
    <t>S335XXA</t>
  </si>
  <si>
    <t>HF522538764</t>
  </si>
  <si>
    <t>HF494160468</t>
  </si>
  <si>
    <t>99494 x1; 99494 x1</t>
  </si>
  <si>
    <t>F32A</t>
  </si>
  <si>
    <t>HF485806241</t>
  </si>
  <si>
    <t>HF533960930</t>
  </si>
  <si>
    <t>Molina Complete Care of Arizona (Magellan Complete Care AZ)</t>
  </si>
  <si>
    <t>HF554018380</t>
  </si>
  <si>
    <t>63030+RT x1</t>
  </si>
  <si>
    <t>HF330335441</t>
  </si>
  <si>
    <t>R2243</t>
  </si>
  <si>
    <t>HF556870121</t>
  </si>
  <si>
    <t>R2242</t>
  </si>
  <si>
    <t>HF495815066</t>
  </si>
  <si>
    <t>HF528535429</t>
  </si>
  <si>
    <t>HF508345961</t>
  </si>
  <si>
    <t>CURRIE, DAVID</t>
  </si>
  <si>
    <t>HF437377904</t>
  </si>
  <si>
    <t>T85123A</t>
  </si>
  <si>
    <t>T85193A</t>
  </si>
  <si>
    <t>A6010+A2 x10</t>
  </si>
  <si>
    <t>HF440522373</t>
  </si>
  <si>
    <t>HF465243875</t>
  </si>
  <si>
    <t>I83011</t>
  </si>
  <si>
    <t>HF419899260</t>
  </si>
  <si>
    <t>22856 x1</t>
  </si>
  <si>
    <t>V892XXD</t>
  </si>
  <si>
    <t>HF559665893</t>
  </si>
  <si>
    <t>I6522</t>
  </si>
  <si>
    <t>HF557656306</t>
  </si>
  <si>
    <t>HF524861323</t>
  </si>
  <si>
    <t>T85192A</t>
  </si>
  <si>
    <t>HF536050996</t>
  </si>
  <si>
    <t>M62838</t>
  </si>
  <si>
    <t>HF554098828</t>
  </si>
  <si>
    <t>HF443156488</t>
  </si>
  <si>
    <t>HF329710667</t>
  </si>
  <si>
    <t>HF492807840</t>
  </si>
  <si>
    <t>36248+59 x3; 75774+26+XU x5; 36245+59 x1; 37242 x1; 75710+26+XU+RT x1; 76937+26 x1; 36246+59+RT x1</t>
  </si>
  <si>
    <t>3, 5, 1</t>
  </si>
  <si>
    <t>HF552622415</t>
  </si>
  <si>
    <t>75774+26+XU x4; 36245+59 x1; 36248+59 x2; 76937+26 x1; 75710+26+XU+RT x1; 37242 x1; 36246+59+RT x1</t>
  </si>
  <si>
    <t>4, 1, 2</t>
  </si>
  <si>
    <t>HF438667754</t>
  </si>
  <si>
    <t>HF548971165</t>
  </si>
  <si>
    <t>HF488155930</t>
  </si>
  <si>
    <t>WONG, KELLY</t>
  </si>
  <si>
    <t>HF557730068</t>
  </si>
  <si>
    <t>M5450</t>
  </si>
  <si>
    <t>HF533281585</t>
  </si>
  <si>
    <t>36248+59 x3; 37242 x1</t>
  </si>
  <si>
    <t>HF548297248</t>
  </si>
  <si>
    <t>Z86718</t>
  </si>
  <si>
    <t>HF428301616</t>
  </si>
  <si>
    <t>HF548537700</t>
  </si>
  <si>
    <t>568647541</t>
  </si>
  <si>
    <t>HF509523131</t>
  </si>
  <si>
    <t>HF554317461</t>
  </si>
  <si>
    <t>Q7649</t>
  </si>
  <si>
    <t>568647625</t>
  </si>
  <si>
    <t>HF547910822</t>
  </si>
  <si>
    <t>HF354421716</t>
  </si>
  <si>
    <t>HF386554880</t>
  </si>
  <si>
    <t>76937 x1; 37242 x1; 36245+59 x1; 36248+59 x3; 75774+XU x5; 75710+XU+LT x1; 36246+59+LT x1</t>
  </si>
  <si>
    <t>HF329403331</t>
  </si>
  <si>
    <t>22845+59 x1; 22853+59 x1; 22853 x1; 22551 x1</t>
  </si>
  <si>
    <t>M50021, M50022</t>
  </si>
  <si>
    <t>M50022, M5412</t>
  </si>
  <si>
    <t>M5412, M542</t>
  </si>
  <si>
    <t>HF545081997</t>
  </si>
  <si>
    <t>20930 x1; 22612 x1; 63042+59+LT x1</t>
  </si>
  <si>
    <t>M4126</t>
  </si>
  <si>
    <t>HF525787835</t>
  </si>
  <si>
    <t>36245+59 x1; 75774+26+XU x4; 75710+26+XU+LT x1; 37242 x1; 36246+59 x1; 76937+26 x1; 36246+59+LT x1</t>
  </si>
  <si>
    <t>1, 4</t>
  </si>
  <si>
    <t>HF330028627</t>
  </si>
  <si>
    <t>36248+59 x3; 75710+26+XU+RT x1; 36246+59+RT x1; 36245+59 x1; 75774+26+XU x5</t>
  </si>
  <si>
    <t>3, 1, 5</t>
  </si>
  <si>
    <t>HF464911322</t>
  </si>
  <si>
    <t>HF537490920</t>
  </si>
  <si>
    <t>HF506477391</t>
  </si>
  <si>
    <t>HF549710983</t>
  </si>
  <si>
    <t>M25571</t>
  </si>
  <si>
    <t>M792</t>
  </si>
  <si>
    <t>M79671</t>
  </si>
  <si>
    <t>HF558969171</t>
  </si>
  <si>
    <t>HF343217183</t>
  </si>
  <si>
    <t>63047+59 x1; 63030+LT x1</t>
  </si>
  <si>
    <t>59, LT</t>
  </si>
  <si>
    <t>HF527805618</t>
  </si>
  <si>
    <t>HF545581499</t>
  </si>
  <si>
    <t>93925 x1; 93923 x1</t>
  </si>
  <si>
    <t>64708 x1; 63047 x1</t>
  </si>
  <si>
    <t>G549</t>
  </si>
  <si>
    <t>HF556915332</t>
  </si>
  <si>
    <t>27279 x1</t>
  </si>
  <si>
    <t>HF400854650</t>
  </si>
  <si>
    <t>63685 x1; 63655 x1</t>
  </si>
  <si>
    <t>T85122D</t>
  </si>
  <si>
    <t>HF537452337</t>
  </si>
  <si>
    <t>HF522230488</t>
  </si>
  <si>
    <t>Oscar Health</t>
  </si>
  <si>
    <t>OSCAR HEALTH</t>
  </si>
  <si>
    <t>HUERTA, KARLA</t>
  </si>
  <si>
    <t>HF329739318</t>
  </si>
  <si>
    <t>ASAP - Avondale</t>
  </si>
  <si>
    <t>HF559372689</t>
  </si>
  <si>
    <t>99484 x1</t>
  </si>
  <si>
    <t>Z1331</t>
  </si>
  <si>
    <t>WILSON, JARED</t>
  </si>
  <si>
    <t>ASAP - Tucson</t>
  </si>
  <si>
    <t>HF553337209</t>
  </si>
  <si>
    <t>HF499093825</t>
  </si>
  <si>
    <t>A6023+A1 x10</t>
  </si>
  <si>
    <t>HF441046082</t>
  </si>
  <si>
    <t>HF342712719</t>
  </si>
  <si>
    <t>20930 x1; 22840+59 x1; 22840 x1</t>
  </si>
  <si>
    <t>M4692</t>
  </si>
  <si>
    <t>M4322</t>
  </si>
  <si>
    <t>M50121</t>
  </si>
  <si>
    <t>HF547083886</t>
  </si>
  <si>
    <t>HF560310366</t>
  </si>
  <si>
    <t>L0650+KX x1</t>
  </si>
  <si>
    <t>S22080S</t>
  </si>
  <si>
    <t>76937+26 x1; 75774+26+XU x4; 36245+59 x4; 75710+26+XU+RT x1; 37242 x1</t>
  </si>
  <si>
    <t>XU</t>
  </si>
  <si>
    <t>37242 x1; 75774+XU x4; 36245+59 x4; 76937 x1; 75710+XU+LT x1</t>
  </si>
  <si>
    <t>HF561451630</t>
  </si>
  <si>
    <t>HF482747140</t>
  </si>
  <si>
    <t>HF330403020</t>
  </si>
  <si>
    <t>HF469884720</t>
  </si>
  <si>
    <t>HF544048268</t>
  </si>
  <si>
    <t>22612 x1</t>
  </si>
  <si>
    <t>M7138</t>
  </si>
  <si>
    <t>HF562904021</t>
  </si>
  <si>
    <t>HF563307378</t>
  </si>
  <si>
    <t>G959</t>
  </si>
  <si>
    <t>HF547456904</t>
  </si>
  <si>
    <t>HF372182502</t>
  </si>
  <si>
    <t>G9009</t>
  </si>
  <si>
    <t>HF560559288</t>
  </si>
  <si>
    <t>HF496850534</t>
  </si>
  <si>
    <t>Surest (A United Healthcare Company - Formerly BIND)</t>
  </si>
  <si>
    <t>M50222</t>
  </si>
  <si>
    <t>HF535371970</t>
  </si>
  <si>
    <t>63030+LT x1</t>
  </si>
  <si>
    <t>HF559365958</t>
  </si>
  <si>
    <t>99484+95 x1</t>
  </si>
  <si>
    <t>95</t>
  </si>
  <si>
    <t>R7989</t>
  </si>
  <si>
    <t>HF539945835</t>
  </si>
  <si>
    <t>HF475689954</t>
  </si>
  <si>
    <t>568648953</t>
  </si>
  <si>
    <t>HF330419338</t>
  </si>
  <si>
    <t>M47814</t>
  </si>
  <si>
    <t>HF498472279</t>
  </si>
  <si>
    <t>75774+26+XU x4; 36245+59 x4; 37242 x1; 75710+26+XU+RT x1; 76937+26 x1</t>
  </si>
  <si>
    <t>4, 1</t>
  </si>
  <si>
    <t>HF540421253</t>
  </si>
  <si>
    <t>76937 x1; 37242+LT x1; 36247+LT x1</t>
  </si>
  <si>
    <t>HF528506830</t>
  </si>
  <si>
    <t>G5773</t>
  </si>
  <si>
    <t>HF554188284</t>
  </si>
  <si>
    <t>Banner University Family Care / ACC (AHCCS Complete Care)</t>
  </si>
  <si>
    <t>M79662</t>
  </si>
  <si>
    <t>HF330426606</t>
  </si>
  <si>
    <t>HF510131965</t>
  </si>
  <si>
    <t>HF508997880</t>
  </si>
  <si>
    <t>HF524772530</t>
  </si>
  <si>
    <t>36245+59 x1; 37242 x1; 75774+26+XU x5; 36246+59+RT x1; 36248+59 x3; 75710+26+XU+RT x1; 76937+26 x1</t>
  </si>
  <si>
    <t>HF545433577</t>
  </si>
  <si>
    <t>HF429349260</t>
  </si>
  <si>
    <t>22853 x1</t>
  </si>
  <si>
    <t>HF546406685</t>
  </si>
  <si>
    <t>36246+59+RT x1; 36245+59 x1; 76937+26 x1; 37242 x1; 36248+59 x3; 75774+26+XU x5; 75710+26+XU+RT x1</t>
  </si>
  <si>
    <t>HF521915818</t>
  </si>
  <si>
    <t>HF559503595</t>
  </si>
  <si>
    <t>HF557103622</t>
  </si>
  <si>
    <t>HF510777417</t>
  </si>
  <si>
    <t>75710+26+XU+RT x1; 36245+59 x1; 75774+26+XU x5</t>
  </si>
  <si>
    <t>HF368912344</t>
  </si>
  <si>
    <t>CareGuard</t>
  </si>
  <si>
    <t>HF463070842</t>
  </si>
  <si>
    <t>HF554708597</t>
  </si>
  <si>
    <t>HF495192860</t>
  </si>
  <si>
    <t>M50222, M50322</t>
  </si>
  <si>
    <t>HF559340413</t>
  </si>
  <si>
    <t>Aetna Medicare HMO</t>
  </si>
  <si>
    <t>75774+26+XU x5; 36245+59 x5; 76937+26 x1; 75710+26+XU+RT x1; 37242 x1</t>
  </si>
  <si>
    <t>5, 1</t>
  </si>
  <si>
    <t>HF513154140</t>
  </si>
  <si>
    <t>MERCY CARE MEDICAID</t>
  </si>
  <si>
    <t>HF551547091</t>
  </si>
  <si>
    <t>HF526296603</t>
  </si>
  <si>
    <t>ASAP Sun City</t>
  </si>
  <si>
    <t>HF512498576</t>
  </si>
  <si>
    <t>Mercy Care Health Plan Advantage (AHCCCS)</t>
  </si>
  <si>
    <t>64708 x1</t>
  </si>
  <si>
    <t>150 days</t>
  </si>
  <si>
    <t>MERCY CARE ADVANTAGE</t>
  </si>
  <si>
    <t>G542</t>
  </si>
  <si>
    <t>NYSTROM, NILS</t>
  </si>
  <si>
    <t>HF538936351</t>
  </si>
  <si>
    <t>L0457+KX x1</t>
  </si>
  <si>
    <t>HF495515510</t>
  </si>
  <si>
    <t>75710+XU+LT x1; 75774+XU x5</t>
  </si>
  <si>
    <t>HF347481536</t>
  </si>
  <si>
    <t>22853 x1; 22612 x1; 22840 x1</t>
  </si>
  <si>
    <t>Honor Health Deer Valley Medical Center</t>
  </si>
  <si>
    <t>HF541974005</t>
  </si>
  <si>
    <t>HF512527332</t>
  </si>
  <si>
    <t>99492 x1; 99494 x2</t>
  </si>
  <si>
    <t>MEDICARE</t>
  </si>
  <si>
    <t>HF355458320</t>
  </si>
  <si>
    <t>CIGNA MEDICARE SUPPLEMENT INSURANCE</t>
  </si>
  <si>
    <t>Advanced Spine and Pain LLC DME PEO</t>
  </si>
  <si>
    <t>Advanced Spine and Pain LLC DME - Peoria</t>
  </si>
  <si>
    <t>HF495505953</t>
  </si>
  <si>
    <t>Advanced Spine and Pain LLC DME SUR</t>
  </si>
  <si>
    <t>Advanced Spine and Pain LLC DME - Surprise Reems</t>
  </si>
  <si>
    <t>HF411545637</t>
  </si>
  <si>
    <t>36246+59+RT x1; 76937+26 x1; 37242 x1; 75710+26+XU+RT x1; 36248+59 x1; 36245+59 x1; 75774+26+XU x3</t>
  </si>
  <si>
    <t>HF506234182</t>
  </si>
  <si>
    <t>AARP United Healthcare</t>
  </si>
  <si>
    <t>HF453265315</t>
  </si>
  <si>
    <t>M5451</t>
  </si>
  <si>
    <t>HF329340284</t>
  </si>
  <si>
    <t>Aetna Senior Supplemental (AESSI) - Secondary Only 62118</t>
  </si>
  <si>
    <t>37242 x1</t>
  </si>
  <si>
    <t>HF333259521</t>
  </si>
  <si>
    <t>Unicare Life and Health Insurance (Anthem)</t>
  </si>
  <si>
    <t>37242 x1; 75774+26+XU x3; 75710+26+XU+RT x1; 36246+59+RT x1; 36245+59 x1; 76937+26 x1; 36248+59 x1</t>
  </si>
  <si>
    <t>HF455471322</t>
  </si>
  <si>
    <t>COMBINED INSURANCE CO OF AMERICA</t>
  </si>
  <si>
    <t>75710+26+XU+RT x1; 75774+26+XU x3; 36246+59+RT x1; 36248+59 x1; 36245+59 x1; 76937+26 x1; 37242 x1</t>
  </si>
  <si>
    <t>HF529978681</t>
  </si>
  <si>
    <t>F4322</t>
  </si>
  <si>
    <t>HF436968693</t>
  </si>
  <si>
    <t>HF532831698</t>
  </si>
  <si>
    <t>Bankers Life Colonial Penn Life</t>
  </si>
  <si>
    <t>36248+59 x3; 36245+59 x1; 75774+26+XU x5; 75710+26+XU+RT x1; 76937+26 x1; 36246+59+RT x1</t>
  </si>
  <si>
    <t>HF543360308</t>
  </si>
  <si>
    <t>37242+53 x1; 76937+26 x1; 36140 x1</t>
  </si>
  <si>
    <t>53, 26</t>
  </si>
  <si>
    <t>I70209</t>
  </si>
  <si>
    <t>HF411566237</t>
  </si>
  <si>
    <t>Blue Cross Blue Shield of Arizona</t>
  </si>
  <si>
    <t>HF411712712</t>
  </si>
  <si>
    <t>HF460854286</t>
  </si>
  <si>
    <t>75710+26+XU+LT x1; 76937+26 x1; 75774+26+XU x4; 36245+59 x1; 36248+59 x3</t>
  </si>
  <si>
    <t>UHC DUAL COMPLETE</t>
  </si>
  <si>
    <t>75774+26+XU x3; 76937+26 x1; 36248+59 x1; 37242 x1; 36245+59 x1; 36246+59+LT x1; 75710+26+XU+LT x1</t>
  </si>
  <si>
    <t>HF544172142</t>
  </si>
  <si>
    <t>Z8781</t>
  </si>
  <si>
    <t>HF538917701</t>
  </si>
  <si>
    <t>76937+26 x3</t>
  </si>
  <si>
    <t>26</t>
  </si>
  <si>
    <t>3</t>
  </si>
  <si>
    <t>HF540630932</t>
  </si>
  <si>
    <t>HF537353546</t>
  </si>
  <si>
    <t>HF467995431</t>
  </si>
  <si>
    <t>I872, I70213</t>
  </si>
  <si>
    <t>HF548452117</t>
  </si>
  <si>
    <t>G9050</t>
  </si>
  <si>
    <t>HF497918792</t>
  </si>
  <si>
    <t>75774+26+XU x5; 75710+26+XU+RT x1; 36245+59 x1</t>
  </si>
  <si>
    <t>HF435406148</t>
  </si>
  <si>
    <t>SILAC INSURANCE</t>
  </si>
  <si>
    <t>HF499790971</t>
  </si>
  <si>
    <t>L3916+KX+RT x1; L3916+KX+LT x1</t>
  </si>
  <si>
    <t>RT, LT</t>
  </si>
  <si>
    <t>G5601, G5602</t>
  </si>
  <si>
    <t>M25531, G589</t>
  </si>
  <si>
    <t>G589</t>
  </si>
  <si>
    <t>HF497596195</t>
  </si>
  <si>
    <t>HF546941796</t>
  </si>
  <si>
    <t>Physicians Mutual Insurance Company - ENS</t>
  </si>
  <si>
    <t>HF433355246</t>
  </si>
  <si>
    <t>M4306</t>
  </si>
  <si>
    <t>Advanced Spine and Pain LLC DME GWY</t>
  </si>
  <si>
    <t>Advanced Spine and Pain LLC DME - Greenway</t>
  </si>
  <si>
    <t>HF444976688</t>
  </si>
  <si>
    <t>HF498304433</t>
  </si>
  <si>
    <t>DME Region C</t>
  </si>
  <si>
    <t>Advanced Spine and Pain LLC DME GIL</t>
  </si>
  <si>
    <t>Advanced Spine and Pain LLC DME - Gilbert</t>
  </si>
  <si>
    <t>HF544045379</t>
  </si>
  <si>
    <t>Mutual of Omaha Medicare Advantage OFAP</t>
  </si>
  <si>
    <t>63030+LT x1; 63047 x1; 63030+RT x1</t>
  </si>
  <si>
    <t>LT, RT</t>
  </si>
  <si>
    <t>HF549983763</t>
  </si>
  <si>
    <t>Mutual of Omaha Insurance Company</t>
  </si>
  <si>
    <t>HF339893207</t>
  </si>
  <si>
    <t>63655 x1</t>
  </si>
  <si>
    <t>HF538467882</t>
  </si>
  <si>
    <t>HF545896181</t>
  </si>
  <si>
    <t>MediCo Insurance Company</t>
  </si>
  <si>
    <t>L1851+KX x1</t>
  </si>
  <si>
    <t>I8312</t>
  </si>
  <si>
    <t>HF364689537</t>
  </si>
  <si>
    <t>HF550420682</t>
  </si>
  <si>
    <t>HF544007270</t>
  </si>
  <si>
    <t>HF419012518</t>
  </si>
  <si>
    <t>HF551760467</t>
  </si>
  <si>
    <t>HF545895005</t>
  </si>
  <si>
    <t>BANKERS FIDELITY</t>
  </si>
  <si>
    <t>HF455478612</t>
  </si>
  <si>
    <t>G609</t>
  </si>
  <si>
    <t>G5783</t>
  </si>
  <si>
    <t>HF538308641</t>
  </si>
  <si>
    <t>63047+XS x1; 63048 x1; 22612 x1</t>
  </si>
  <si>
    <t>XS</t>
  </si>
  <si>
    <t>M5416, M4317</t>
  </si>
  <si>
    <t>M48062, M4807</t>
  </si>
  <si>
    <t>HF473973377</t>
  </si>
  <si>
    <t>HF541294637</t>
  </si>
  <si>
    <t>Medicare Railroad (RR Medicare MetraHealth) 00882</t>
  </si>
  <si>
    <t>HF425603516</t>
  </si>
  <si>
    <t>HF329719904</t>
  </si>
  <si>
    <t>HF539238719</t>
  </si>
  <si>
    <t>HF550289743</t>
  </si>
  <si>
    <t>HF549224659</t>
  </si>
  <si>
    <t>HF553586044</t>
  </si>
  <si>
    <t>I4891</t>
  </si>
  <si>
    <t>HF518773107</t>
  </si>
  <si>
    <t>Z4789</t>
  </si>
  <si>
    <t>HF534535040</t>
  </si>
  <si>
    <t>HF543718565</t>
  </si>
  <si>
    <t>G5781</t>
  </si>
  <si>
    <t>HF541770771</t>
  </si>
  <si>
    <t>E1142</t>
  </si>
  <si>
    <t>HF331440491</t>
  </si>
  <si>
    <t>HF342287357</t>
  </si>
  <si>
    <t>93925 x1; 93970 x1; 93923 x1</t>
  </si>
  <si>
    <t>HF480155713</t>
  </si>
  <si>
    <t>A6023+A1 x40</t>
  </si>
  <si>
    <t>HF509774874</t>
  </si>
  <si>
    <t>Continental Benefits</t>
  </si>
  <si>
    <t>HF456620712</t>
  </si>
  <si>
    <t>37242 x1; 36246+59+RT x1; 36245+59 x1; 36248+59 x1; 75710+26+XU+RT x1; 75774+26+XU x3; 76937+26 x1</t>
  </si>
  <si>
    <t>HF551816064</t>
  </si>
  <si>
    <t>HF465696073</t>
  </si>
  <si>
    <t>HF330326072</t>
  </si>
  <si>
    <t>HF470696196</t>
  </si>
  <si>
    <t>HF546095290</t>
  </si>
  <si>
    <t>63047+RT x1</t>
  </si>
  <si>
    <t>HF342328217</t>
  </si>
  <si>
    <t>HF555347656</t>
  </si>
  <si>
    <t>HF505008638</t>
  </si>
  <si>
    <t>ILWU PMA COASTWISE</t>
  </si>
  <si>
    <t>HF465024111</t>
  </si>
  <si>
    <t>G2581</t>
  </si>
  <si>
    <t>M9963</t>
  </si>
  <si>
    <t>HF552793919</t>
  </si>
  <si>
    <t>93880 x1; 93923 x1; 93970 x1</t>
  </si>
  <si>
    <t>I7110</t>
  </si>
  <si>
    <t>HF509011086</t>
  </si>
  <si>
    <t>HF454494056</t>
  </si>
  <si>
    <t>HF548056702</t>
  </si>
  <si>
    <t>T85123D</t>
  </si>
  <si>
    <t>Z9682</t>
  </si>
  <si>
    <t>HF552240602</t>
  </si>
  <si>
    <t>HF551706140</t>
  </si>
  <si>
    <t>Advanced Spine and Pain LLC DME MSA</t>
  </si>
  <si>
    <t>Advanced Spine and Pain LLC DME - Mesa</t>
  </si>
  <si>
    <t>HF449199201</t>
  </si>
  <si>
    <t>HF557330085</t>
  </si>
  <si>
    <t>M4312</t>
  </si>
  <si>
    <t>HF514978991</t>
  </si>
  <si>
    <t>HF418448812</t>
  </si>
  <si>
    <t>HF555898882</t>
  </si>
  <si>
    <t>36246+59+LT x1; 37242 x1; 36245+59 x1; 76937+26 x1; 75710+26+XU+LT x1; 36248+59 x3; 75774+26+XU x5</t>
  </si>
  <si>
    <t>LT, XU</t>
  </si>
  <si>
    <t>HF535853050</t>
  </si>
  <si>
    <t>HF469070076</t>
  </si>
  <si>
    <t>HF441452642</t>
  </si>
  <si>
    <t>HF495874808</t>
  </si>
  <si>
    <t>HF488150554</t>
  </si>
  <si>
    <t>27279+RT x1</t>
  </si>
  <si>
    <t>HF550915147</t>
  </si>
  <si>
    <t>Aetna Life &amp; Casualty Company</t>
  </si>
  <si>
    <t>L1851+KX+RT x1; L1851+KX+LT x1</t>
  </si>
  <si>
    <t>M25561, M25562</t>
  </si>
  <si>
    <t>M1711, M1712</t>
  </si>
  <si>
    <t>HF537014260</t>
  </si>
  <si>
    <t>HF406148821</t>
  </si>
  <si>
    <t>75774+26+XU x5; 36246+59+LT x1; 37242 x1; 36248+59 x3; 75710+26+XU+LT x1; 36245+59 x1; 76937+26 x1</t>
  </si>
  <si>
    <t>5, 1, 3</t>
  </si>
  <si>
    <t>HF552653702</t>
  </si>
  <si>
    <t>Advanced Spine and Pain LLC DME GYR</t>
  </si>
  <si>
    <t>Advanced Spine and Pain LLC DME - Goodyear</t>
  </si>
  <si>
    <t>HF546470119</t>
  </si>
  <si>
    <t>HF330285753</t>
  </si>
  <si>
    <t>HF558055336</t>
  </si>
  <si>
    <t>HF555483131</t>
  </si>
  <si>
    <t>HF494117278</t>
  </si>
  <si>
    <t>HF423871454</t>
  </si>
  <si>
    <t>ACE MEDICARE SUPPLEMENTAL</t>
  </si>
  <si>
    <t>L1843+KX+LT x1</t>
  </si>
  <si>
    <t>M19072</t>
  </si>
  <si>
    <t>M4156</t>
  </si>
  <si>
    <t>HF531871840</t>
  </si>
  <si>
    <t>HF441949223</t>
  </si>
  <si>
    <t>R2240</t>
  </si>
  <si>
    <t>HF446078490</t>
  </si>
  <si>
    <t>HF545128862</t>
  </si>
  <si>
    <t>CSI Life Medicare Supplement</t>
  </si>
  <si>
    <t>L3916+KX+RT x1</t>
  </si>
  <si>
    <t>G5601</t>
  </si>
  <si>
    <t>HF428858741</t>
  </si>
  <si>
    <t>L1851+KX+LT x1; L1851+KX+RT x1</t>
  </si>
  <si>
    <t>M1712, M1711</t>
  </si>
  <si>
    <t>HF340120024</t>
  </si>
  <si>
    <t>HF348110860</t>
  </si>
  <si>
    <t>F418</t>
  </si>
  <si>
    <t>HF561443798</t>
  </si>
  <si>
    <t>HF479558457</t>
  </si>
  <si>
    <t>HF548675546</t>
  </si>
  <si>
    <t>M533</t>
  </si>
  <si>
    <t>HF329358524</t>
  </si>
  <si>
    <t>HF559660036</t>
  </si>
  <si>
    <t>HF336577433</t>
  </si>
  <si>
    <t>566076310</t>
  </si>
  <si>
    <t>HF540923124</t>
  </si>
  <si>
    <t>HF335035633</t>
  </si>
  <si>
    <t>566076314</t>
  </si>
  <si>
    <t>HF559203629</t>
  </si>
  <si>
    <t>L0456+KX x1</t>
  </si>
  <si>
    <t>F4321</t>
  </si>
  <si>
    <t>HF511435057</t>
  </si>
  <si>
    <t>HF334376585</t>
  </si>
  <si>
    <t>Health Net of Arizona, California, Oregon &amp; Washington - All Plans</t>
  </si>
  <si>
    <t>HF460794896</t>
  </si>
  <si>
    <t>HF562630958</t>
  </si>
  <si>
    <t>USAA Life Insurance Company</t>
  </si>
  <si>
    <t>36247+59+RT x1; 76937+26 x1; 37242 x1; 75710+26+XU+RT x1; 36248+59 x4; 75774+26+XU x5</t>
  </si>
  <si>
    <t>1, 4, 5</t>
  </si>
  <si>
    <t>HF559271506</t>
  </si>
  <si>
    <t>HF539993491</t>
  </si>
  <si>
    <t>Alignment Health Care</t>
  </si>
  <si>
    <t>Not on reference list</t>
  </si>
  <si>
    <t>HF532203609</t>
  </si>
  <si>
    <t>UMR Wausau / UHIS</t>
  </si>
  <si>
    <t>UMR / WAUSAU</t>
  </si>
  <si>
    <t>M21371</t>
  </si>
  <si>
    <t>HF362284092</t>
  </si>
  <si>
    <t>75710+XU+LT x1; 75774+XU x5; 36245+59 x1; 36248+59 x3; 37242 x1; 36246+59+LT x1; 76937 x1</t>
  </si>
  <si>
    <t>HF522250673</t>
  </si>
  <si>
    <t>75710+26+XU+LT x1; 75774+26+XU x4; 36246+59+LT x1; 37242 x1; 36245+59 x1; 76937+26 x1; 36248+59 x1</t>
  </si>
  <si>
    <t>HF548333203</t>
  </si>
  <si>
    <t>M4326</t>
  </si>
  <si>
    <t>HF538908740</t>
  </si>
  <si>
    <t>HF403746522</t>
  </si>
  <si>
    <t>HF548715732</t>
  </si>
  <si>
    <t>HF543849258</t>
  </si>
  <si>
    <t>HF516521878</t>
  </si>
  <si>
    <t>HF387513216</t>
  </si>
  <si>
    <t>HF559981122</t>
  </si>
  <si>
    <t>EMI Health (Educators Mutual - EMIA)</t>
  </si>
  <si>
    <t>HF547777590</t>
  </si>
  <si>
    <t>Banner University Care Dual Advantage Plan</t>
  </si>
  <si>
    <t>75774+XU x5; 76937 x1; 37242 x1; 36245+59 x1; 75710+XU+RT x1; 36246+59+RT x1; 36248+59 x3</t>
  </si>
  <si>
    <t>HF450934372</t>
  </si>
  <si>
    <t>Gold Kidney Health Plan</t>
  </si>
  <si>
    <t>22853+58 x1; 22853+58+59 x1</t>
  </si>
  <si>
    <t>HF396771694</t>
  </si>
  <si>
    <t>63655+53 x1</t>
  </si>
  <si>
    <t>53</t>
  </si>
  <si>
    <t>HF488600206</t>
  </si>
  <si>
    <t>Imperial Insurance Companies Inc Exchange AZ (IEXAZ) (WAYSTAR ONLY)</t>
  </si>
  <si>
    <t>63030+50 x1; 64708 x1</t>
  </si>
  <si>
    <t>HF511715901</t>
  </si>
  <si>
    <t>HF546044961</t>
  </si>
  <si>
    <t>AFSAT MEDICAL PLAN</t>
  </si>
  <si>
    <t>HF550464457</t>
  </si>
  <si>
    <t>HF526933634</t>
  </si>
  <si>
    <t>HF449340318</t>
  </si>
  <si>
    <t>HF551860180</t>
  </si>
  <si>
    <t>HF509754338</t>
  </si>
  <si>
    <t>HF396841556</t>
  </si>
  <si>
    <t>76937+26 x1; 36248+59 x2; 36245+59 x1; 75710+26+XU+RT x1; 75774+26+XU x4; 36246+59+RT x1; 37242 x1</t>
  </si>
  <si>
    <t>1, 2, 4</t>
  </si>
  <si>
    <t>HF542472046</t>
  </si>
  <si>
    <t>99484+25 x1</t>
  </si>
  <si>
    <t>25</t>
  </si>
  <si>
    <t>R6884</t>
  </si>
  <si>
    <t>G5771</t>
  </si>
  <si>
    <t>HF557340272</t>
  </si>
  <si>
    <t>HF493646829</t>
  </si>
  <si>
    <t>L0637+KX x1</t>
  </si>
  <si>
    <t>M4727</t>
  </si>
  <si>
    <t>M51369</t>
  </si>
  <si>
    <t>HF551421253</t>
  </si>
  <si>
    <t>Summit Administration Services, Inc</t>
  </si>
  <si>
    <t>HF559371386</t>
  </si>
  <si>
    <t>HF444036229</t>
  </si>
  <si>
    <t>HF559343228</t>
  </si>
  <si>
    <t>HF551929698</t>
  </si>
  <si>
    <t>63047 x1; 64708 x1</t>
  </si>
  <si>
    <t>M48062, G549</t>
  </si>
  <si>
    <t>M4686, M48062</t>
  </si>
  <si>
    <t>HF561201154</t>
  </si>
  <si>
    <t>HF563174710</t>
  </si>
  <si>
    <t>HF476520532</t>
  </si>
  <si>
    <t>Meritain Health</t>
  </si>
  <si>
    <t>63047 x1; 63048 x1; 64708 x2</t>
  </si>
  <si>
    <t>G544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</si>
</sst>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color rgb="FF006100"/>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3" fillId="0" borderId="1" xfId="0" applyNumberFormat="1" applyFont="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4" fontId="3" fillId="0" borderId="1" xfId="0" applyNumberFormat="1" applyFont="1" applyBorder="1" applyAlignment="1">
      <alignment vertical="top"/>
    </xf>
    <xf numFmtId="1" fontId="3" fillId="0" borderId="1" xfId="0" applyNumberFormat="1" applyFont="1" applyBorder="1" applyAlignment="1">
      <alignment horizontal="left" vertical="top"/>
    </xf>
  </cellXfs>
  <cellStyles count="1">
    <cellStyle name="Normal" xfId="0" builtinId="0"/>
  </cellStyles>
  <dxfs count="24">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PC26S1%20-%2001%20January%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C26S1%20-%2002%20February%20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C26S1%20-%2003%20March%20v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C26S1%20-%2004%20April%20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C26S1%20-%2005%20May%20v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C26S1%20-%2006%20June%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PAID</v>
          </cell>
          <cell r="B2" t="str">
            <v>Secondary - Pending check</v>
          </cell>
          <cell r="C2">
            <v>46071</v>
          </cell>
          <cell r="D2">
            <v>545752977</v>
          </cell>
          <cell r="K2">
            <v>46129</v>
          </cell>
        </row>
        <row r="3">
          <cell r="A3" t="str">
            <v>Pending</v>
          </cell>
          <cell r="B3" t="str">
            <v>Secondary - Pending check</v>
          </cell>
          <cell r="C3">
            <v>46071</v>
          </cell>
          <cell r="D3">
            <v>547309790</v>
          </cell>
          <cell r="K3"/>
        </row>
        <row r="4">
          <cell r="A4" t="str">
            <v>Denied</v>
          </cell>
          <cell r="B4"/>
          <cell r="C4">
            <v>46129</v>
          </cell>
          <cell r="D4">
            <v>555619522</v>
          </cell>
          <cell r="K4"/>
        </row>
        <row r="5">
          <cell r="A5" t="str">
            <v>Pending</v>
          </cell>
          <cell r="B5" t="str">
            <v>Secondary</v>
          </cell>
          <cell r="C5">
            <v>46072</v>
          </cell>
          <cell r="D5">
            <v>547756234</v>
          </cell>
          <cell r="K5"/>
        </row>
        <row r="6">
          <cell r="A6" t="str">
            <v>Denied</v>
          </cell>
          <cell r="B6" t="str">
            <v>Uploaded MR - PIQ-82135368</v>
          </cell>
          <cell r="C6">
            <v>46142</v>
          </cell>
          <cell r="D6">
            <v>545332485</v>
          </cell>
          <cell r="K6">
            <v>46122</v>
          </cell>
        </row>
        <row r="7">
          <cell r="A7" t="str">
            <v>Denied</v>
          </cell>
          <cell r="B7" t="str">
            <v xml:space="preserve">Jess uploaded MR </v>
          </cell>
          <cell r="C7">
            <v>46063</v>
          </cell>
          <cell r="D7">
            <v>545484752</v>
          </cell>
          <cell r="K7"/>
        </row>
        <row r="8">
          <cell r="A8" t="str">
            <v>Denied</v>
          </cell>
          <cell r="B8" t="str">
            <v xml:space="preserve">Jess uploaded MR </v>
          </cell>
          <cell r="C8">
            <v>46141</v>
          </cell>
          <cell r="D8">
            <v>545748574</v>
          </cell>
          <cell r="K8"/>
        </row>
        <row r="9">
          <cell r="A9" t="str">
            <v>Denied</v>
          </cell>
          <cell r="B9" t="str">
            <v>Added Date of Current Illness, claim note, and resubmitted</v>
          </cell>
          <cell r="C9">
            <v>46133</v>
          </cell>
          <cell r="D9">
            <v>556348109</v>
          </cell>
          <cell r="K9">
            <v>46129</v>
          </cell>
        </row>
        <row r="10">
          <cell r="A10" t="str">
            <v>Denied</v>
          </cell>
          <cell r="B10" t="str">
            <v>Under review - TAT 15 days - Ref # 10605826 - Rep Muthamma</v>
          </cell>
          <cell r="C10">
            <v>46064</v>
          </cell>
          <cell r="D10">
            <v>548015539</v>
          </cell>
          <cell r="K10">
            <v>46134</v>
          </cell>
        </row>
        <row r="11">
          <cell r="A11" t="str">
            <v>Pending</v>
          </cell>
          <cell r="B11" t="str">
            <v>secondary - Resubmitted to AmeTrust</v>
          </cell>
          <cell r="C11">
            <v>46094</v>
          </cell>
          <cell r="D11">
            <v>547442681</v>
          </cell>
          <cell r="K11">
            <v>46304</v>
          </cell>
        </row>
        <row r="12">
          <cell r="A12" t="str">
            <v>Received</v>
          </cell>
          <cell r="B12" t="str">
            <v xml:space="preserve">Resubmitted - no changes </v>
          </cell>
          <cell r="C12">
            <v>46128</v>
          </cell>
          <cell r="D12">
            <v>555599776</v>
          </cell>
          <cell r="K12">
            <v>46122</v>
          </cell>
        </row>
        <row r="13">
          <cell r="A13" t="str">
            <v>Denied</v>
          </cell>
          <cell r="B13" t="str">
            <v>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v>
          </cell>
          <cell r="C13">
            <v>46287</v>
          </cell>
          <cell r="D13">
            <v>556349314</v>
          </cell>
          <cell r="K13">
            <v>46300</v>
          </cell>
        </row>
        <row r="14">
          <cell r="A14" t="str">
            <v>Pending</v>
          </cell>
          <cell r="B14" t="str">
            <v>Not shifting - working on it Shifted to PR - Ins didn't receive PT update - I talked to PT on the phone, she said she will contact the insurance to take care of the IQ this week</v>
          </cell>
          <cell r="C14">
            <v>46066</v>
          </cell>
          <cell r="D14">
            <v>547976909</v>
          </cell>
          <cell r="K14">
            <v>46245</v>
          </cell>
        </row>
        <row r="15">
          <cell r="A15" t="str">
            <v>Rejected</v>
          </cell>
          <cell r="B15" t="str">
            <v>ASAP DEER VALLEY NPI missing - Resubmitted</v>
          </cell>
          <cell r="C15">
            <v>46098</v>
          </cell>
          <cell r="D15">
            <v>557090486</v>
          </cell>
          <cell r="K15">
            <v>46135</v>
          </cell>
        </row>
        <row r="16">
          <cell r="A16" t="str">
            <v>Rejected</v>
          </cell>
          <cell r="B16" t="str">
            <v xml:space="preserve">Tfierro working on PT eligibility on dos  </v>
          </cell>
          <cell r="C16">
            <v>46070</v>
          </cell>
          <cell r="D16">
            <v>565238310</v>
          </cell>
          <cell r="K16">
            <v>46289</v>
          </cell>
        </row>
        <row r="17">
          <cell r="A17" t="str">
            <v>Denied</v>
          </cell>
          <cell r="B17" t="str">
            <v>Resubmitted with Riddle last name - Tricare active on DOS - VA doesn't cover BH</v>
          </cell>
          <cell r="C17">
            <v>46198</v>
          </cell>
          <cell r="D17">
            <v>566830437</v>
          </cell>
          <cell r="K17">
            <v>46300</v>
          </cell>
        </row>
      </sheetData>
      <sheetData sheetId="1">
        <row r="2">
          <cell r="A2" t="str">
            <v>Denied</v>
          </cell>
          <cell r="B2" t="str">
            <v>Resubmitted again - Aisha said peoria is active from jan 2026 - Reprocessing claim - Confirmation Number: 26119900211</v>
          </cell>
          <cell r="C2">
            <v>46148</v>
          </cell>
          <cell r="D2">
            <v>546188740</v>
          </cell>
          <cell r="K2">
            <v>46300</v>
          </cell>
        </row>
        <row r="3">
          <cell r="A3" t="str">
            <v>Finalized</v>
          </cell>
          <cell r="B3" t="str">
            <v>PAID - Rep Paul - PTAN issue holding payment - Escalation to Recoupment Dept. so they can confirm EFT info update made on 06/18/2025 and close the PTAN alert dated 05/26/2023 - When solved, TAT for checks to be sent is 7-10 bd - Ref # 0634705-26</v>
          </cell>
          <cell r="C3">
            <v>46160</v>
          </cell>
          <cell r="D3">
            <v>557650217</v>
          </cell>
          <cell r="K3">
            <v>46261</v>
          </cell>
        </row>
        <row r="4">
          <cell r="A4" t="str">
            <v>Finalized</v>
          </cell>
          <cell r="B4" t="str">
            <v>PAID - Rep Paul - PTAN issue holding payment - Escalation to Recoupment Dept. so they can confirm EFT info update made on 06/18/2025 and close the PTAN alert dated 05/26/2023 - When solved, TAT for checks to be sent is 7-10 bd - Ref # 0634705-26</v>
          </cell>
          <cell r="C4">
            <v>46086</v>
          </cell>
          <cell r="D4">
            <v>546883608</v>
          </cell>
          <cell r="K4">
            <v>46261</v>
          </cell>
        </row>
        <row r="5">
          <cell r="A5" t="str">
            <v>Finalized</v>
          </cell>
          <cell r="B5" t="str">
            <v>PAID - Rep Paul - PTAN issue holding payment - Escalation to Recoupment Dept. so they can confirm EFT info update made on 06/18/2025 and close the PTAN alert dated 05/26/2023 - When solved, TAT for checks to be sent is 7-10 bd - Ref # 0634705-26</v>
          </cell>
          <cell r="C5">
            <v>46071</v>
          </cell>
          <cell r="D5">
            <v>546884583</v>
          </cell>
          <cell r="K5">
            <v>46261</v>
          </cell>
        </row>
        <row r="6">
          <cell r="A6" t="str">
            <v>Denied</v>
          </cell>
          <cell r="B6" t="str">
            <v>Reprocess claim - CCN 26084823876002 Pending</v>
          </cell>
          <cell r="C6">
            <v>46196</v>
          </cell>
          <cell r="D6">
            <v>561884409</v>
          </cell>
          <cell r="K6">
            <v>46300</v>
          </cell>
        </row>
        <row r="7">
          <cell r="A7" t="str">
            <v>Pending</v>
          </cell>
          <cell r="B7" t="str">
            <v>secondary - I need to crossover claim - Corrected adjustments, and resubmitted</v>
          </cell>
          <cell r="C7">
            <v>46089</v>
          </cell>
          <cell r="D7">
            <v>546184427</v>
          </cell>
          <cell r="K7">
            <v>46141</v>
          </cell>
        </row>
        <row r="8">
          <cell r="A8" t="str">
            <v>Pending</v>
          </cell>
          <cell r="B8" t="str">
            <v>secondary - I need to crossover claim - Edited charges for A6219, and resubmitted</v>
          </cell>
          <cell r="C8">
            <v>46156</v>
          </cell>
          <cell r="D8">
            <v>557162806</v>
          </cell>
          <cell r="K8">
            <v>46136</v>
          </cell>
        </row>
      </sheetData>
      <sheetData sheetId="2">
        <row r="2">
          <cell r="A2" t="str">
            <v>Finalized</v>
          </cell>
          <cell r="B2"/>
          <cell r="C2">
            <v>46135</v>
          </cell>
          <cell r="D2">
            <v>548880209</v>
          </cell>
          <cell r="K2"/>
        </row>
        <row r="3">
          <cell r="A3" t="str">
            <v>Finalized</v>
          </cell>
          <cell r="B3"/>
          <cell r="C3">
            <v>46147</v>
          </cell>
          <cell r="D3">
            <v>548873847</v>
          </cell>
          <cell r="K3"/>
        </row>
        <row r="4">
          <cell r="A4" t="str">
            <v>Denied</v>
          </cell>
          <cell r="B4"/>
          <cell r="C4">
            <v>46135</v>
          </cell>
          <cell r="D4">
            <v>548883662</v>
          </cell>
          <cell r="K4"/>
        </row>
        <row r="5">
          <cell r="A5" t="str">
            <v>Finalized</v>
          </cell>
          <cell r="B5"/>
          <cell r="C5">
            <v>46120</v>
          </cell>
          <cell r="D5">
            <v>548916508</v>
          </cell>
          <cell r="K5"/>
        </row>
        <row r="6">
          <cell r="A6" t="str">
            <v>Finalized</v>
          </cell>
          <cell r="B6"/>
          <cell r="C6">
            <v>46120</v>
          </cell>
          <cell r="D6">
            <v>548917446</v>
          </cell>
          <cell r="K6"/>
        </row>
        <row r="7">
          <cell r="A7" t="str">
            <v>Denied</v>
          </cell>
          <cell r="B7"/>
          <cell r="C7">
            <v>46099</v>
          </cell>
          <cell r="D7">
            <v>552345092</v>
          </cell>
          <cell r="K7"/>
        </row>
        <row r="8">
          <cell r="A8"/>
          <cell r="B8"/>
          <cell r="C8">
            <v>46121</v>
          </cell>
          <cell r="D8">
            <v>548877808</v>
          </cell>
          <cell r="K8"/>
        </row>
        <row r="9">
          <cell r="A9"/>
          <cell r="B9"/>
          <cell r="C9">
            <v>46142</v>
          </cell>
          <cell r="D9">
            <v>554116779</v>
          </cell>
          <cell r="K9"/>
        </row>
        <row r="10">
          <cell r="A10"/>
          <cell r="B10"/>
          <cell r="C10">
            <v>46111</v>
          </cell>
          <cell r="D10">
            <v>552170540</v>
          </cell>
          <cell r="K10"/>
        </row>
        <row r="11">
          <cell r="A11"/>
          <cell r="B11"/>
          <cell r="C11">
            <v>46127</v>
          </cell>
          <cell r="D11">
            <v>555373347</v>
          </cell>
          <cell r="K11"/>
        </row>
        <row r="12">
          <cell r="A12"/>
          <cell r="B12"/>
          <cell r="C12">
            <v>46141</v>
          </cell>
          <cell r="D12">
            <v>548926996</v>
          </cell>
          <cell r="K12"/>
        </row>
      </sheetData>
      <sheetData sheetId="3">
        <row r="2">
          <cell r="A2"/>
          <cell r="B2"/>
          <cell r="C2"/>
          <cell r="D2">
            <v>557028860</v>
          </cell>
          <cell r="K2"/>
        </row>
        <row r="3">
          <cell r="A3" t="str">
            <v>Received</v>
          </cell>
          <cell r="B3"/>
          <cell r="C3">
            <v>46112</v>
          </cell>
          <cell r="D3">
            <v>545934422</v>
          </cell>
          <cell r="K3"/>
        </row>
        <row r="4">
          <cell r="A4" t="str">
            <v>Finalized</v>
          </cell>
          <cell r="B4"/>
          <cell r="C4">
            <v>46156</v>
          </cell>
          <cell r="D4">
            <v>545934840</v>
          </cell>
          <cell r="K4"/>
        </row>
        <row r="5">
          <cell r="A5"/>
          <cell r="B5"/>
          <cell r="C5">
            <v>46045</v>
          </cell>
          <cell r="D5">
            <v>546049607</v>
          </cell>
          <cell r="K5"/>
        </row>
        <row r="6">
          <cell r="A6"/>
          <cell r="B6"/>
          <cell r="C6"/>
          <cell r="D6">
            <v>548591390</v>
          </cell>
          <cell r="K6"/>
        </row>
        <row r="7">
          <cell r="A7" t="str">
            <v>Denied</v>
          </cell>
          <cell r="B7"/>
          <cell r="C7">
            <v>46163</v>
          </cell>
          <cell r="D7">
            <v>547275123</v>
          </cell>
          <cell r="K7"/>
        </row>
        <row r="8">
          <cell r="A8" t="str">
            <v>Denied</v>
          </cell>
          <cell r="B8" t="str">
            <v>On it</v>
          </cell>
          <cell r="C8">
            <v>46052</v>
          </cell>
          <cell r="D8">
            <v>547576017</v>
          </cell>
          <cell r="K8"/>
        </row>
        <row r="9">
          <cell r="A9" t="str">
            <v>Under Review</v>
          </cell>
          <cell r="B9" t="str">
            <v>Waiting for account to get activated again</v>
          </cell>
          <cell r="C9">
            <v>46111</v>
          </cell>
          <cell r="D9">
            <v>549178846</v>
          </cell>
          <cell r="K9"/>
        </row>
        <row r="10">
          <cell r="A10"/>
          <cell r="B10"/>
          <cell r="C10">
            <v>46177</v>
          </cell>
          <cell r="D10">
            <v>557657640</v>
          </cell>
          <cell r="K10"/>
        </row>
      </sheetData>
      <sheetData sheetId="4">
        <row r="2">
          <cell r="A2" t="str">
            <v>Received</v>
          </cell>
          <cell r="B2"/>
          <cell r="C2">
            <v>46199</v>
          </cell>
          <cell r="D2">
            <v>555109108</v>
          </cell>
          <cell r="K2"/>
        </row>
        <row r="3">
          <cell r="A3"/>
          <cell r="B3"/>
          <cell r="C3"/>
          <cell r="D3">
            <v>557356991</v>
          </cell>
          <cell r="K3"/>
        </row>
        <row r="4">
          <cell r="A4" t="str">
            <v>Received</v>
          </cell>
          <cell r="B4"/>
          <cell r="C4">
            <v>46069</v>
          </cell>
          <cell r="D4">
            <v>548717876</v>
          </cell>
          <cell r="K4"/>
        </row>
        <row r="5">
          <cell r="A5" t="str">
            <v>Received</v>
          </cell>
          <cell r="B5"/>
          <cell r="C5">
            <v>46160</v>
          </cell>
          <cell r="D5">
            <v>547451314</v>
          </cell>
          <cell r="K5"/>
        </row>
        <row r="6">
          <cell r="A6"/>
          <cell r="B6"/>
          <cell r="C6">
            <v>46163</v>
          </cell>
          <cell r="D6">
            <v>547465291</v>
          </cell>
          <cell r="K6"/>
        </row>
        <row r="7">
          <cell r="A7" t="str">
            <v>Received</v>
          </cell>
          <cell r="B7"/>
          <cell r="C7">
            <v>46160</v>
          </cell>
          <cell r="D7">
            <v>547481511</v>
          </cell>
          <cell r="K7"/>
        </row>
        <row r="8">
          <cell r="A8"/>
          <cell r="B8"/>
          <cell r="C8">
            <v>46156</v>
          </cell>
          <cell r="D8">
            <v>548573158</v>
          </cell>
          <cell r="K8"/>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Denied</v>
          </cell>
          <cell r="B2" t="str">
            <v>Rep Briana - Jarrett Leathem is not contracted with member's Focus Network - Reference number 11216220</v>
          </cell>
          <cell r="C2">
            <v>46098</v>
          </cell>
          <cell r="D2">
            <v>548676737</v>
          </cell>
          <cell r="K2">
            <v>46183</v>
          </cell>
        </row>
        <row r="3">
          <cell r="A3" t="str">
            <v>Denied</v>
          </cell>
          <cell r="B3" t="str">
            <v>DND - Non contracted provider</v>
          </cell>
          <cell r="C3">
            <v>46148</v>
          </cell>
          <cell r="D3">
            <v>548979329</v>
          </cell>
          <cell r="K3">
            <v>46183</v>
          </cell>
        </row>
        <row r="4">
          <cell r="A4" t="str">
            <v>Finalized</v>
          </cell>
          <cell r="B4"/>
          <cell r="C4">
            <v>46119</v>
          </cell>
          <cell r="D4">
            <v>549765437</v>
          </cell>
          <cell r="K4"/>
        </row>
        <row r="5">
          <cell r="A5" t="str">
            <v>Denied</v>
          </cell>
          <cell r="B5" t="str">
            <v>Added Date of Current Illness, claim note, and resubmitted</v>
          </cell>
          <cell r="C5">
            <v>46147</v>
          </cell>
          <cell r="D5">
            <v>557794433</v>
          </cell>
          <cell r="K5">
            <v>46142</v>
          </cell>
        </row>
        <row r="6">
          <cell r="A6" t="str">
            <v>Denied</v>
          </cell>
          <cell r="B6" t="str">
            <v>Awaiting resolution on claim #556349314 (DOS 01/27/2026) before reprocessing DND 99493 This non-payable code is for required reporting only - Added Date of Current Illness, claim note, and resubmitted</v>
          </cell>
          <cell r="C6">
            <v>46147</v>
          </cell>
          <cell r="D6">
            <v>557794882</v>
          </cell>
          <cell r="K6">
            <v>46284</v>
          </cell>
        </row>
        <row r="7">
          <cell r="A7" t="str">
            <v>Denied</v>
          </cell>
          <cell r="B7" t="str">
            <v>Rep Muthamma - Under review - Ref # 11253575</v>
          </cell>
          <cell r="C7">
            <v>46101</v>
          </cell>
          <cell r="D7">
            <v>550288006</v>
          </cell>
          <cell r="K7">
            <v>46183</v>
          </cell>
        </row>
        <row r="8">
          <cell r="A8" t="str">
            <v>Denied</v>
          </cell>
          <cell r="B8" t="str">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ell>
          <cell r="C8">
            <v>46147</v>
          </cell>
          <cell r="D8">
            <v>557793858</v>
          </cell>
          <cell r="K8">
            <v>46266</v>
          </cell>
        </row>
        <row r="9">
          <cell r="A9" t="str">
            <v>Denied</v>
          </cell>
          <cell r="B9" t="str">
            <v>Changed primary code - Used 99492, and resubmitted</v>
          </cell>
          <cell r="C9">
            <v>46147</v>
          </cell>
          <cell r="D9">
            <v>557794229</v>
          </cell>
          <cell r="K9">
            <v>46247</v>
          </cell>
        </row>
      </sheetData>
      <sheetData sheetId="1">
        <row r="2">
          <cell r="A2" t="str">
            <v>Pending</v>
          </cell>
          <cell r="B2" t="str">
            <v xml:space="preserve">secondary - waiting for posting to crossover to secondary - primary paid </v>
          </cell>
          <cell r="C2">
            <v>46105</v>
          </cell>
          <cell r="D2">
            <v>553137846</v>
          </cell>
          <cell r="K2">
            <v>46300</v>
          </cell>
        </row>
        <row r="3">
          <cell r="A3" t="str">
            <v>Finalized</v>
          </cell>
          <cell r="B3" t="str">
            <v>Adjusted balance - DND Bundling with Home Health (NPI 1154898542) claim - Inpatient from 02/06/2026 till 03/07/2026</v>
          </cell>
          <cell r="C3">
            <v>46133</v>
          </cell>
          <cell r="D3">
            <v>553677900</v>
          </cell>
          <cell r="K3">
            <v>46300</v>
          </cell>
        </row>
        <row r="4">
          <cell r="A4" t="str">
            <v>Pending</v>
          </cell>
          <cell r="B4" t="str">
            <v xml:space="preserve">secondary - we need to crossover to secondary - primary paid </v>
          </cell>
          <cell r="C4">
            <v>46133</v>
          </cell>
          <cell r="D4">
            <v>550531610</v>
          </cell>
          <cell r="K4">
            <v>46300</v>
          </cell>
        </row>
        <row r="5">
          <cell r="A5" t="str">
            <v>Finalized</v>
          </cell>
          <cell r="B5" t="str">
            <v>PAID</v>
          </cell>
          <cell r="C5">
            <v>46133</v>
          </cell>
          <cell r="D5">
            <v>551104780</v>
          </cell>
          <cell r="K5">
            <v>46261</v>
          </cell>
        </row>
        <row r="6">
          <cell r="A6" t="str">
            <v>Finalized</v>
          </cell>
          <cell r="B6" t="str">
            <v xml:space="preserve">PAID - Surprise Reems - Pending check secondary - Waiting on PTAN issue to be solved - Payment on hold </v>
          </cell>
          <cell r="C6">
            <v>46121</v>
          </cell>
          <cell r="D6">
            <v>553095408</v>
          </cell>
          <cell r="K6">
            <v>46246</v>
          </cell>
        </row>
        <row r="7">
          <cell r="A7" t="str">
            <v>Finalized</v>
          </cell>
          <cell r="B7" t="str">
            <v>Shifted to PT - ABN signed - L0637 dispensed on 01/16/2023 supplier ARIZONA SPINE AND PAIN SPECIALISTS LLC - DND L0650 - Remark M3 Equipment is the same or similar to equipment already being used.</v>
          </cell>
          <cell r="C7">
            <v>46101</v>
          </cell>
          <cell r="D7">
            <v>550127169</v>
          </cell>
          <cell r="K7">
            <v>46300</v>
          </cell>
        </row>
        <row r="8">
          <cell r="A8" t="str">
            <v>Denied</v>
          </cell>
          <cell r="B8" t="str">
            <v>Gilbert - jurisdiction issue</v>
          </cell>
          <cell r="C8">
            <v>46147</v>
          </cell>
          <cell r="D8">
            <v>557715576</v>
          </cell>
          <cell r="K8"/>
        </row>
        <row r="9">
          <cell r="A9" t="str">
            <v>Under Review</v>
          </cell>
          <cell r="B9" t="str">
            <v xml:space="preserve">Auth issue - Denied payment again - Bri resubmitted - Provider TAX ID/NPI Combination is not on file with BCBS AZ. </v>
          </cell>
          <cell r="C9">
            <v>46227</v>
          </cell>
          <cell r="D9">
            <v>565140993</v>
          </cell>
          <cell r="K9">
            <v>46196</v>
          </cell>
        </row>
        <row r="10">
          <cell r="A10" t="str">
            <v>Denied</v>
          </cell>
          <cell r="B10" t="str">
            <v>No authorization found or requested - Checking if we need auth on Curo portal # 19801266 - Pending - Review</v>
          </cell>
          <cell r="C10">
            <v>46106</v>
          </cell>
          <cell r="D10">
            <v>550530483</v>
          </cell>
          <cell r="K10">
            <v>46197</v>
          </cell>
        </row>
        <row r="11">
          <cell r="A11" t="str">
            <v>Denied</v>
          </cell>
          <cell r="B11" t="str">
            <v>Denied again - Edited charges per unit to 271.22 based on cms fee schedule 2026</v>
          </cell>
          <cell r="C11">
            <v>46149</v>
          </cell>
          <cell r="D11">
            <v>556897081</v>
          </cell>
          <cell r="K11">
            <v>46134</v>
          </cell>
        </row>
        <row r="12">
          <cell r="A12" t="str">
            <v>Denied</v>
          </cell>
          <cell r="B12" t="str">
            <v>Rep Keran - Escalate claim - Call ref # REQ0679770 - TAT 30 days</v>
          </cell>
          <cell r="C12">
            <v>46112</v>
          </cell>
          <cell r="D12">
            <v>553079628</v>
          </cell>
          <cell r="K12">
            <v>46244</v>
          </cell>
        </row>
      </sheetData>
      <sheetData sheetId="2">
        <row r="2">
          <cell r="A2" t="str">
            <v>Received</v>
          </cell>
          <cell r="B2"/>
          <cell r="C2">
            <v>46135</v>
          </cell>
          <cell r="D2">
            <v>549217008</v>
          </cell>
          <cell r="K2"/>
        </row>
        <row r="3">
          <cell r="A3" t="str">
            <v>Denied</v>
          </cell>
          <cell r="B3" t="str">
            <v>Uploaded MR - PIQ-83274799</v>
          </cell>
          <cell r="C3">
            <v>46155</v>
          </cell>
          <cell r="D3">
            <v>549217692</v>
          </cell>
          <cell r="K3">
            <v>46142</v>
          </cell>
        </row>
        <row r="4">
          <cell r="A4" t="str">
            <v>Denied</v>
          </cell>
          <cell r="B4" t="str">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ell>
          <cell r="C4">
            <v>46126</v>
          </cell>
          <cell r="D4">
            <v>549219539</v>
          </cell>
          <cell r="K4">
            <v>46258</v>
          </cell>
        </row>
        <row r="5">
          <cell r="A5" t="str">
            <v>Denied</v>
          </cell>
          <cell r="B5" t="str">
            <v>Uploaded MR - PIQ-83275318</v>
          </cell>
          <cell r="C5">
            <v>46155</v>
          </cell>
          <cell r="D5">
            <v>551974048</v>
          </cell>
          <cell r="K5">
            <v>46142</v>
          </cell>
        </row>
        <row r="6">
          <cell r="A6" t="str">
            <v>Denied</v>
          </cell>
          <cell r="B6" t="str">
            <v>Provider active, resubmitted</v>
          </cell>
          <cell r="C6">
            <v>46154</v>
          </cell>
          <cell r="D6">
            <v>557784595</v>
          </cell>
          <cell r="K6">
            <v>46142</v>
          </cell>
        </row>
      </sheetData>
      <sheetData sheetId="3">
        <row r="2">
          <cell r="A2" t="str">
            <v>Finalized</v>
          </cell>
          <cell r="B2"/>
          <cell r="C2">
            <v>46128</v>
          </cell>
          <cell r="D2">
            <v>549835748</v>
          </cell>
          <cell r="K2"/>
        </row>
        <row r="3">
          <cell r="A3" t="str">
            <v>Pending</v>
          </cell>
          <cell r="B3" t="str">
            <v>secondary - Added primary claim ID and submitted electronically</v>
          </cell>
          <cell r="C3">
            <v>46091</v>
          </cell>
          <cell r="D3">
            <v>550306697</v>
          </cell>
          <cell r="K3">
            <v>46251</v>
          </cell>
        </row>
        <row r="4">
          <cell r="A4" t="str">
            <v>Denied</v>
          </cell>
          <cell r="B4" t="str">
            <v>Added service line with 63030 - Split bilateral service with mod RT and LT, and resubmitted</v>
          </cell>
          <cell r="C4">
            <v>46202</v>
          </cell>
          <cell r="D4">
            <v>563073824</v>
          </cell>
          <cell r="K4">
            <v>46195</v>
          </cell>
        </row>
        <row r="5">
          <cell r="A5" t="str">
            <v>Denied</v>
          </cell>
          <cell r="B5" t="str">
            <v>Deanne is reviewing this one - Rep Jessie - Claim contains a non anesthesia service, and rendering is listed as an anesthesiologist on ins end</v>
          </cell>
          <cell r="C5">
            <v>46147</v>
          </cell>
          <cell r="D5">
            <v>555677002</v>
          </cell>
          <cell r="K5">
            <v>46247</v>
          </cell>
        </row>
        <row r="6">
          <cell r="A6" t="str">
            <v>Finalized</v>
          </cell>
          <cell r="B6" t="str">
            <v>Uploaded MR - PIQ-86018866</v>
          </cell>
          <cell r="C6">
            <v>46233</v>
          </cell>
          <cell r="D6">
            <v>551412333</v>
          </cell>
          <cell r="K6">
            <v>46192</v>
          </cell>
        </row>
        <row r="7">
          <cell r="A7" t="str">
            <v>Received</v>
          </cell>
          <cell r="B7" t="str">
            <v>Provider TAX ID/NPI Combination is not on file with BCBS AZ.</v>
          </cell>
          <cell r="C7">
            <v>46212</v>
          </cell>
          <cell r="D7">
            <v>563274947</v>
          </cell>
          <cell r="K7"/>
        </row>
        <row r="8">
          <cell r="A8" t="str">
            <v>Denied</v>
          </cell>
          <cell r="B8" t="str">
            <v>We need to reprocess when claim 568613230 gets adjusted - Added mod 58, and resubmitted</v>
          </cell>
          <cell r="C8">
            <v>46189</v>
          </cell>
          <cell r="D8">
            <v>562083380</v>
          </cell>
          <cell r="K8">
            <v>46247</v>
          </cell>
        </row>
        <row r="9">
          <cell r="A9" t="str">
            <v>Denied</v>
          </cell>
          <cell r="B9" t="str">
            <v xml:space="preserve">Filed appeal # Z264AZW09999 on portal - Basis: add-on to auth'd/paid 63047, intraop findings. Op note attached - Add-on 63048 requires auth according to medicaid auth tool - Auth # OP4987640976 didn't include 63048 - DND 63048 due to missing auth </v>
          </cell>
          <cell r="C9">
            <v>46218</v>
          </cell>
          <cell r="D9">
            <v>564578362</v>
          </cell>
          <cell r="K9">
            <v>46285</v>
          </cell>
        </row>
        <row r="10">
          <cell r="A10" t="str">
            <v>Finalized</v>
          </cell>
          <cell r="B10" t="str">
            <v>Uploaded MR - PIQ-86126921</v>
          </cell>
          <cell r="C10">
            <v>46142</v>
          </cell>
          <cell r="D10">
            <v>551321878</v>
          </cell>
          <cell r="K10">
            <v>46195</v>
          </cell>
        </row>
        <row r="11">
          <cell r="A11" t="str">
            <v>Denied</v>
          </cell>
          <cell r="B11" t="str">
            <v>Sent mailed auth appeal request to PO Box 64 Huntingdon Valley, PA 19006 - Auth # 20260114-002504 Denied</v>
          </cell>
          <cell r="C11">
            <v>46107</v>
          </cell>
          <cell r="D11">
            <v>552275426</v>
          </cell>
          <cell r="K11">
            <v>46195</v>
          </cell>
        </row>
      </sheetData>
      <sheetData sheetId="4">
        <row r="2">
          <cell r="A2" t="str">
            <v>PAID</v>
          </cell>
          <cell r="B2" t="str">
            <v>secondary - pending posting - Primary paid - Edited referring provider, and resubmitted</v>
          </cell>
          <cell r="C2">
            <v>46211</v>
          </cell>
          <cell r="D2">
            <v>563152890</v>
          </cell>
          <cell r="K2">
            <v>46196</v>
          </cell>
        </row>
        <row r="3">
          <cell r="A3" t="str">
            <v>PAID</v>
          </cell>
          <cell r="B3" t="str">
            <v>secondary - pending posting - Primary paid - Edited referring provider, and resubmitted</v>
          </cell>
          <cell r="C3">
            <v>46211</v>
          </cell>
          <cell r="D3">
            <v>563153622</v>
          </cell>
          <cell r="K3">
            <v>46196</v>
          </cell>
        </row>
        <row r="4">
          <cell r="A4" t="str">
            <v>PAID</v>
          </cell>
          <cell r="B4" t="str">
            <v>secondary - pending posting - Primary paid - Edited referring provider, and resubmitted</v>
          </cell>
          <cell r="C4">
            <v>46210</v>
          </cell>
          <cell r="D4">
            <v>563152081</v>
          </cell>
          <cell r="K4">
            <v>46196</v>
          </cell>
        </row>
        <row r="5">
          <cell r="A5" t="str">
            <v>PAID</v>
          </cell>
          <cell r="B5" t="str">
            <v>secondary - pending posting - Primary paid - Edited referring provider, and resubmitted</v>
          </cell>
          <cell r="C5">
            <v>46210</v>
          </cell>
          <cell r="D5">
            <v>563152473</v>
          </cell>
          <cell r="K5">
            <v>46196</v>
          </cell>
        </row>
        <row r="6">
          <cell r="A6" t="str">
            <v>Pending</v>
          </cell>
          <cell r="B6" t="str">
            <v>secondary - Added primary claim ID and submitted electronically - Medicare paid as primary - Resubmitted to Medicare</v>
          </cell>
          <cell r="C6">
            <v>46211</v>
          </cell>
          <cell r="D6">
            <v>563161793</v>
          </cell>
          <cell r="K6">
            <v>46251</v>
          </cell>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Finalized</v>
          </cell>
          <cell r="B2" t="str">
            <v xml:space="preserve">Claim was adjusted - we should have billed this to Optum, and now we're out the 90 days we have to submit the claim </v>
          </cell>
          <cell r="C2">
            <v>46126</v>
          </cell>
          <cell r="D2">
            <v>555140726</v>
          </cell>
          <cell r="K2">
            <v>46245</v>
          </cell>
        </row>
        <row r="3">
          <cell r="A3" t="str">
            <v>Denied</v>
          </cell>
          <cell r="B3" t="str">
            <v>Expected to denied as it's not covered - Resubmitted to BCBS AZ - Group corrected to MAY001 for BCBSAZ (53589) per BCBSAZ portal. A0021 is Medica-side group only</v>
          </cell>
          <cell r="C3">
            <v>46129</v>
          </cell>
          <cell r="D3">
            <v>553329086</v>
          </cell>
          <cell r="K3">
            <v>46266</v>
          </cell>
        </row>
        <row r="4">
          <cell r="A4" t="str">
            <v>Finalized</v>
          </cell>
          <cell r="B4" t="str">
            <v>Adjusted balance - Paid accordingly</v>
          </cell>
          <cell r="C4">
            <v>46141</v>
          </cell>
          <cell r="D4">
            <v>551389428</v>
          </cell>
          <cell r="K4">
            <v>46268</v>
          </cell>
        </row>
        <row r="5">
          <cell r="A5" t="str">
            <v>Finalized</v>
          </cell>
          <cell r="B5" t="str">
            <v>Adjusted balance - Paid accordingly</v>
          </cell>
          <cell r="C5">
            <v>46141</v>
          </cell>
          <cell r="D5">
            <v>552404210</v>
          </cell>
          <cell r="K5">
            <v>46268</v>
          </cell>
        </row>
        <row r="6">
          <cell r="A6" t="str">
            <v>Pending</v>
          </cell>
          <cell r="B6" t="str">
            <v>secondary - Primary paid - Updated Supplemental insurance info, and resubmitted</v>
          </cell>
          <cell r="C6">
            <v>46283</v>
          </cell>
          <cell r="D6">
            <v>552644739</v>
          </cell>
          <cell r="K6">
            <v>46290</v>
          </cell>
        </row>
        <row r="7">
          <cell r="A7" t="str">
            <v>Finalized</v>
          </cell>
          <cell r="B7" t="str">
            <v>Adjusted balance - Paid accordingly</v>
          </cell>
          <cell r="C7">
            <v>46141</v>
          </cell>
          <cell r="D7">
            <v>552606577</v>
          </cell>
          <cell r="K7">
            <v>46268</v>
          </cell>
        </row>
        <row r="8">
          <cell r="A8" t="str">
            <v>Finalized</v>
          </cell>
          <cell r="B8" t="str">
            <v>Shifted balance to PR as per EOB - ChampVA doesn't cover BH</v>
          </cell>
          <cell r="C8">
            <v>46210</v>
          </cell>
          <cell r="D8">
            <v>552857208</v>
          </cell>
          <cell r="K8">
            <v>46268</v>
          </cell>
        </row>
        <row r="9">
          <cell r="A9" t="str">
            <v>Pending</v>
          </cell>
          <cell r="B9" t="str">
            <v xml:space="preserve">secondary - Medicare didn't crossover to Mercy Care - Transmit electronically - Primary paid </v>
          </cell>
          <cell r="C9">
            <v>46134</v>
          </cell>
          <cell r="D9">
            <v>554160609</v>
          </cell>
          <cell r="K9">
            <v>46268</v>
          </cell>
        </row>
        <row r="10">
          <cell r="A10" t="str">
            <v>Under Review</v>
          </cell>
          <cell r="B10" t="str">
            <v>Waiting for payment to be posted, so I can cross over to secondary - Primary paid - Edited rendering and referral provider, and resubmitted - Invalid rendering provider NPIInvalid rendering provider NPI - Rejected</v>
          </cell>
          <cell r="C10">
            <v>46268</v>
          </cell>
          <cell r="D10">
            <v>555138984</v>
          </cell>
          <cell r="K10">
            <v>46254</v>
          </cell>
        </row>
        <row r="11">
          <cell r="A11" t="str">
            <v>Denied</v>
          </cell>
          <cell r="B11" t="str">
            <v xml:space="preserve">Resubmitted to Banner - Expected to be denied due to timely filing </v>
          </cell>
          <cell r="C11">
            <v>46125</v>
          </cell>
          <cell r="D11">
            <v>554403926</v>
          </cell>
          <cell r="K11">
            <v>46268</v>
          </cell>
        </row>
        <row r="12">
          <cell r="A12" t="str">
            <v>Denied</v>
          </cell>
          <cell r="B12" t="str">
            <v>Jess corrected rendering to TIMOTHY BAUGHER, and resubmitted - We had JARRETT LEATHEM - DND The procedure code is inconsistent with the provider type/specialty (taxonomy).</v>
          </cell>
          <cell r="C12">
            <v>46134</v>
          </cell>
          <cell r="D12">
            <v>566722180</v>
          </cell>
          <cell r="K12">
            <v>46231</v>
          </cell>
        </row>
        <row r="13">
          <cell r="A13" t="str">
            <v>Denied</v>
          </cell>
          <cell r="B13" t="str">
            <v>Optum has no record of 99492 - that code was billed to UHC, not Optum - Resubmitted with 99492</v>
          </cell>
          <cell r="C13">
            <v>46141</v>
          </cell>
          <cell r="D13">
            <v>551769931</v>
          </cell>
          <cell r="K13">
            <v>46265</v>
          </cell>
        </row>
        <row r="14">
          <cell r="A14" t="str">
            <v>Pending</v>
          </cell>
          <cell r="B14" t="str">
            <v xml:space="preserve">secondary - Rep Gloria C - Ins started the refund request - Rep sent claim back to have it reprocessed - Ref # 188336955 - Ticket # SF20260903906271400 - TAT 30 bd - OP by secondary insurance </v>
          </cell>
          <cell r="C14">
            <v>46196</v>
          </cell>
          <cell r="D14">
            <v>551830492</v>
          </cell>
          <cell r="K14">
            <v>46268</v>
          </cell>
        </row>
        <row r="15">
          <cell r="A15" t="str">
            <v>Denied</v>
          </cell>
          <cell r="B15" t="str">
            <v>Corrected rendering provider, and resubmitted</v>
          </cell>
          <cell r="C15">
            <v>46121</v>
          </cell>
          <cell r="D15">
            <v>551874008</v>
          </cell>
          <cell r="K15">
            <v>46265</v>
          </cell>
        </row>
        <row r="16">
          <cell r="A16" t="str">
            <v>Denied</v>
          </cell>
          <cell r="B16" t="str">
            <v xml:space="preserve">Resubmitted to Alignment active on DOS </v>
          </cell>
          <cell r="C16">
            <v>46121</v>
          </cell>
          <cell r="D16">
            <v>552405449</v>
          </cell>
          <cell r="K16">
            <v>46257</v>
          </cell>
        </row>
        <row r="17">
          <cell r="A17" t="str">
            <v>Finalized</v>
          </cell>
          <cell r="B17" t="str">
            <v>PAID - Removed mod 79 - Added mod 24, and resubmitted - Added mod 79, and resubmitted</v>
          </cell>
          <cell r="C17">
            <v>46288</v>
          </cell>
          <cell r="D17">
            <v>563362999</v>
          </cell>
          <cell r="K17">
            <v>46286</v>
          </cell>
        </row>
        <row r="18">
          <cell r="A18" t="str">
            <v>Denied</v>
          </cell>
          <cell r="B18" t="str">
            <v>Edited insured's info, and resubmitted - DND Remark: Patient/Insured health identification number and name do not match</v>
          </cell>
          <cell r="C18">
            <v>46135</v>
          </cell>
          <cell r="D18">
            <v>552859864</v>
          </cell>
          <cell r="K18">
            <v>46268</v>
          </cell>
        </row>
        <row r="19">
          <cell r="A19" t="str">
            <v>Denied</v>
          </cell>
          <cell r="B19" t="str">
            <v xml:space="preserve">Filed reconsideration with the 02/27/2026 order notes for BHE prior to SCS trial + March 2026 Monthly Review Summary - PIQ-90338069 - Jess uploaded MR </v>
          </cell>
          <cell r="C19">
            <v>46161</v>
          </cell>
          <cell r="D19">
            <v>553133483</v>
          </cell>
          <cell r="K19">
            <v>46268</v>
          </cell>
        </row>
        <row r="20">
          <cell r="A20" t="str">
            <v>Denied</v>
          </cell>
          <cell r="B20" t="str">
            <v>Added Date of Current Illness, claim note, and resubmitted</v>
          </cell>
          <cell r="C20">
            <v>46167</v>
          </cell>
          <cell r="D20">
            <v>553148506</v>
          </cell>
          <cell r="K20">
            <v>46265</v>
          </cell>
        </row>
        <row r="21">
          <cell r="A21" t="str">
            <v>PAID</v>
          </cell>
          <cell r="B21" t="str">
            <v>Duplicate payment - checks VP3502669763 and 5533489. VP3502669763 not found in NGO or Optum. Posting team notified to review - possible OP</v>
          </cell>
          <cell r="C21">
            <v>46185</v>
          </cell>
          <cell r="D21">
            <v>553362911</v>
          </cell>
          <cell r="K21">
            <v>46266</v>
          </cell>
        </row>
        <row r="22">
          <cell r="A22" t="str">
            <v>Under Review</v>
          </cell>
          <cell r="B22" t="str">
            <v>Sent email to AZ Blue for insights - active coverage on DOS - DND Expenses incurred after coverage terminated</v>
          </cell>
          <cell r="C22">
            <v>46124</v>
          </cell>
          <cell r="D22">
            <v>553498942</v>
          </cell>
          <cell r="K22">
            <v>46268</v>
          </cell>
        </row>
        <row r="23">
          <cell r="A23" t="str">
            <v>Finalized</v>
          </cell>
          <cell r="B23" t="str">
            <v>Corrected claim back to 99214 and posted the adjustments as per payment -  we originally billed 99214, which matches the encounter notes for that date. The claim was then resubmitted with 99493 + 99494, but those codes are tied to DOS 03/18/2026 and match that date's note instead.</v>
          </cell>
          <cell r="C23">
            <v>46141</v>
          </cell>
          <cell r="D23">
            <v>555169750</v>
          </cell>
          <cell r="K23">
            <v>46266</v>
          </cell>
        </row>
        <row r="24">
          <cell r="A24" t="str">
            <v>Finalized</v>
          </cell>
          <cell r="B24" t="str">
            <v>Shifted balance to PR as per EOB - ChampVA doesn't cover BH</v>
          </cell>
          <cell r="C24">
            <v>46123</v>
          </cell>
          <cell r="D24">
            <v>554246495</v>
          </cell>
          <cell r="K24">
            <v>46268</v>
          </cell>
        </row>
        <row r="25">
          <cell r="A25" t="str">
            <v>Denied</v>
          </cell>
          <cell r="B25" t="str">
            <v>Reprocess when claim 570543000 is paid</v>
          </cell>
          <cell r="C25">
            <v>46141</v>
          </cell>
          <cell r="D25">
            <v>554088972</v>
          </cell>
          <cell r="K25">
            <v>46266</v>
          </cell>
        </row>
        <row r="26">
          <cell r="A26" t="str">
            <v>Denied</v>
          </cell>
          <cell r="B26" t="str">
            <v>Bundling with Claim ID 26F500108500 Line ID 1 on date of service 03/24/2026 CPT 64640</v>
          </cell>
          <cell r="C26">
            <v>46197</v>
          </cell>
          <cell r="D26">
            <v>563362114</v>
          </cell>
          <cell r="K26">
            <v>46148</v>
          </cell>
        </row>
        <row r="27">
          <cell r="A27" t="str">
            <v>Pending</v>
          </cell>
          <cell r="B27" t="str">
            <v>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ell>
          <cell r="C27">
            <v>46184</v>
          </cell>
          <cell r="D27">
            <v>553283455</v>
          </cell>
          <cell r="K27">
            <v>46300</v>
          </cell>
        </row>
        <row r="28">
          <cell r="A28" t="str">
            <v>Denied</v>
          </cell>
          <cell r="B28" t="str">
            <v xml:space="preserve">Added referral # we have for SCS, and resubmitted - Not expected to be paid given that VA doesn't cover BH, and we don't have an RFS - DND due to missing referral </v>
          </cell>
          <cell r="C28">
            <v>46128</v>
          </cell>
          <cell r="D28">
            <v>554404221</v>
          </cell>
          <cell r="K28">
            <v>46268</v>
          </cell>
        </row>
        <row r="29">
          <cell r="A29" t="str">
            <v>Denied</v>
          </cell>
          <cell r="B29" t="str">
            <v>Resubmitted to Optum - DND R10: Optum Behavioral Health Responsibility</v>
          </cell>
          <cell r="C29">
            <v>46128</v>
          </cell>
          <cell r="D29">
            <v>553124954</v>
          </cell>
          <cell r="K29">
            <v>46269</v>
          </cell>
        </row>
        <row r="30">
          <cell r="A30" t="str">
            <v>PAID</v>
          </cell>
          <cell r="B30" t="str">
            <v xml:space="preserve">secondary - PENDING POSTING - Adjusted allowed amount as per secondary EOB </v>
          </cell>
          <cell r="C30">
            <v>46164</v>
          </cell>
          <cell r="D30">
            <v>553577987</v>
          </cell>
          <cell r="K30">
            <v>46269</v>
          </cell>
        </row>
      </sheetData>
      <sheetData sheetId="1">
        <row r="2">
          <cell r="A2" t="str">
            <v>Finalized</v>
          </cell>
          <cell r="B2" t="str">
            <v>Adjusted balanced - No auth on file - DND no auth</v>
          </cell>
          <cell r="C2">
            <v>46141</v>
          </cell>
          <cell r="D2">
            <v>551735634</v>
          </cell>
          <cell r="K2">
            <v>46300</v>
          </cell>
        </row>
        <row r="3">
          <cell r="A3" t="str">
            <v>Finalized</v>
          </cell>
          <cell r="B3" t="str">
            <v>Adjusted balanced - No auth on file - DND no auth</v>
          </cell>
          <cell r="C3">
            <v>46121</v>
          </cell>
          <cell r="D3">
            <v>553103783</v>
          </cell>
          <cell r="K3">
            <v>46300</v>
          </cell>
        </row>
        <row r="4">
          <cell r="A4" t="str">
            <v>Finalized</v>
          </cell>
          <cell r="B4" t="str">
            <v>PAID</v>
          </cell>
          <cell r="C4">
            <v>46249</v>
          </cell>
          <cell r="D4">
            <v>557717115</v>
          </cell>
          <cell r="K4">
            <v>46261</v>
          </cell>
        </row>
        <row r="5">
          <cell r="A5" t="str">
            <v>Denied</v>
          </cell>
          <cell r="B5" t="str">
            <v xml:space="preserve">Added UTN, and resubmitted - DND no auth </v>
          </cell>
          <cell r="C5">
            <v>46122</v>
          </cell>
          <cell r="D5">
            <v>554946837</v>
          </cell>
          <cell r="K5">
            <v>46300</v>
          </cell>
        </row>
        <row r="6">
          <cell r="A6" t="str">
            <v>Finalized</v>
          </cell>
          <cell r="B6" t="str">
            <v>Shifted to PT - Surgical Dressing: not separately payable if incident to a physician's service - Palmetto GBA July 2026 DMEPOS_Jurisdiction_List article - DND A6023 Not covered</v>
          </cell>
          <cell r="C6">
            <v>46156</v>
          </cell>
          <cell r="D6">
            <v>556757813</v>
          </cell>
          <cell r="K6">
            <v>46300</v>
          </cell>
        </row>
        <row r="7">
          <cell r="A7" t="str">
            <v>Finalized</v>
          </cell>
          <cell r="B7" t="str">
            <v>PAID</v>
          </cell>
          <cell r="C7">
            <v>46249</v>
          </cell>
          <cell r="D7">
            <v>556761529</v>
          </cell>
          <cell r="K7">
            <v>46261</v>
          </cell>
        </row>
        <row r="8">
          <cell r="A8" t="str">
            <v>Finalized</v>
          </cell>
          <cell r="B8" t="str">
            <v>Shifted to PT - ABN signed - Another L0650 was dispensed in the last 5 years - DND L0650 M3 Equipment is the same or similar to equipment already being used</v>
          </cell>
          <cell r="C8">
            <v>46121</v>
          </cell>
          <cell r="D8">
            <v>554941943</v>
          </cell>
          <cell r="K8">
            <v>46300</v>
          </cell>
        </row>
        <row r="9">
          <cell r="A9" t="str">
            <v>Finalized</v>
          </cell>
          <cell r="B9" t="str">
            <v>Adjusted balance - Dr. Krause was approved by Optum Medicare Adv on 04/08/2026 - JEFFREY A KRAUSE OON</v>
          </cell>
          <cell r="C9">
            <v>46129</v>
          </cell>
          <cell r="D9">
            <v>555728365</v>
          </cell>
          <cell r="K9">
            <v>46257</v>
          </cell>
        </row>
        <row r="10">
          <cell r="A10" t="str">
            <v>Finalized</v>
          </cell>
          <cell r="B10" t="str">
            <v xml:space="preserve">Amanda adjusted balance - Denied with remark: The time limit for filing has expired - Claim was submitted on 07/14/2026 due to a credentialing issue pending resolution </v>
          </cell>
          <cell r="C10">
            <v>46227</v>
          </cell>
          <cell r="D10">
            <v>552871981</v>
          </cell>
          <cell r="K10">
            <v>46245</v>
          </cell>
        </row>
        <row r="11">
          <cell r="A11" t="str">
            <v>Denied</v>
          </cell>
          <cell r="B11" t="str">
            <v>Uploaded MR - PIQ-92059096</v>
          </cell>
          <cell r="C11">
            <v>46216</v>
          </cell>
          <cell r="D11">
            <v>554940052</v>
          </cell>
          <cell r="K11">
            <v>46300</v>
          </cell>
        </row>
      </sheetData>
      <sheetData sheetId="2">
        <row r="2">
          <cell r="A2" t="str">
            <v>Denied</v>
          </cell>
          <cell r="B2" t="str">
            <v>Uploaded MR - PIQ-86274627</v>
          </cell>
          <cell r="C2">
            <v>46217</v>
          </cell>
          <cell r="D2">
            <v>555067836</v>
          </cell>
          <cell r="K2">
            <v>46197</v>
          </cell>
        </row>
        <row r="3">
          <cell r="A3" t="str">
            <v>Under Review</v>
          </cell>
          <cell r="B3" t="str">
            <v>Checking tax code on UMR records - I'm expecting a response by email</v>
          </cell>
          <cell r="C3">
            <v>46132</v>
          </cell>
          <cell r="D3">
            <v>555069563</v>
          </cell>
          <cell r="K3">
            <v>46197</v>
          </cell>
        </row>
      </sheetData>
      <sheetData sheetId="3">
        <row r="2">
          <cell r="A2" t="str">
            <v>Denied</v>
          </cell>
          <cell r="B2" t="str">
            <v>Corrected auth #, and resubmitted - UTN # required</v>
          </cell>
          <cell r="C2">
            <v>46107</v>
          </cell>
          <cell r="D2">
            <v>553613990</v>
          </cell>
          <cell r="K2">
            <v>46279</v>
          </cell>
        </row>
        <row r="3">
          <cell r="A3" t="str">
            <v>Denied</v>
          </cell>
          <cell r="B3" t="str">
            <v>Claim sent back for reprocessing - Confirmation Number: 4726257491890 - Rendering provider MCCUNNIFF - DND Missing/incomplete/invalid credentialing data</v>
          </cell>
          <cell r="C3">
            <v>46203</v>
          </cell>
          <cell r="D3">
            <v>552282896</v>
          </cell>
          <cell r="K3">
            <v>46279</v>
          </cell>
        </row>
        <row r="4">
          <cell r="A4" t="str">
            <v>Pending</v>
          </cell>
          <cell r="B4" t="str">
            <v>Payment approved - DX updated new one M54.16 resubmitted by Felipe - DND These are non-covered services because this is not deemed a 'medical necessity' by the payer</v>
          </cell>
          <cell r="C4">
            <v>46108</v>
          </cell>
          <cell r="D4">
            <v>553223068</v>
          </cell>
          <cell r="K4">
            <v>46266</v>
          </cell>
        </row>
        <row r="5">
          <cell r="A5" t="str">
            <v>Denied</v>
          </cell>
          <cell r="B5" t="str">
            <v>Claim sent back for reprocessing - Confirmation Number: 4726257492330 - Rendering provider MCCUNNIFF - DND Missing/incomplete/invalid credentialing data</v>
          </cell>
          <cell r="C5">
            <v>46203</v>
          </cell>
          <cell r="D5">
            <v>555372244</v>
          </cell>
          <cell r="K5">
            <v>46279</v>
          </cell>
        </row>
        <row r="6">
          <cell r="A6" t="str">
            <v>Pending</v>
          </cell>
          <cell r="B6" t="str">
            <v xml:space="preserve">secondary - Added COB info to crossover electronically - Primary paid </v>
          </cell>
          <cell r="C6">
            <v>46122</v>
          </cell>
          <cell r="D6">
            <v>553825634</v>
          </cell>
          <cell r="K6">
            <v>46279</v>
          </cell>
        </row>
        <row r="7">
          <cell r="A7" t="str">
            <v>Pending</v>
          </cell>
          <cell r="B7" t="str">
            <v xml:space="preserve">secondary - Added COB info to crossover electronically - Primary paid </v>
          </cell>
          <cell r="C7">
            <v>46126</v>
          </cell>
          <cell r="D7">
            <v>554186385</v>
          </cell>
          <cell r="K7">
            <v>46279</v>
          </cell>
        </row>
        <row r="8">
          <cell r="A8" t="str">
            <v>Denied</v>
          </cell>
          <cell r="B8" t="str">
            <v>Recon sent to fax 615-401-4642 by Christian J - DND 63048 Treatment was deemed by the payer to have been rendered in an inappropriate or invalid place of service</v>
          </cell>
          <cell r="C8">
            <v>46204</v>
          </cell>
          <cell r="D8">
            <v>552284225</v>
          </cell>
          <cell r="K8"/>
        </row>
        <row r="9">
          <cell r="A9" t="str">
            <v>Denied</v>
          </cell>
          <cell r="B9" t="str">
            <v xml:space="preserve">Adjusted balance - Auth only included 62330 - DND 63047 missing auth </v>
          </cell>
          <cell r="C9">
            <v>46097</v>
          </cell>
          <cell r="D9">
            <v>551964467</v>
          </cell>
          <cell r="K9">
            <v>46279</v>
          </cell>
        </row>
        <row r="10">
          <cell r="A10" t="str">
            <v>PAID</v>
          </cell>
          <cell r="B10" t="str">
            <v>PENDING POSTING</v>
          </cell>
          <cell r="C10">
            <v>46203</v>
          </cell>
          <cell r="D10">
            <v>553643849</v>
          </cell>
          <cell r="K10"/>
        </row>
        <row r="11">
          <cell r="A11" t="str">
            <v>Denied</v>
          </cell>
          <cell r="B11" t="str">
            <v>Jess resubmitted claim on 08/31/2026</v>
          </cell>
          <cell r="C11">
            <v>46108</v>
          </cell>
          <cell r="D11">
            <v>553652690</v>
          </cell>
          <cell r="K11">
            <v>46265</v>
          </cell>
        </row>
        <row r="12">
          <cell r="A12" t="str">
            <v>Denied</v>
          </cell>
          <cell r="B12" t="str">
            <v>Uploaded op notes from 03/12/2026 to 03/15/2026 - Request ID 35165602 - DND incomplete documentation - Jess uploaded MR</v>
          </cell>
          <cell r="C12">
            <v>46220</v>
          </cell>
          <cell r="D12">
            <v>553656838</v>
          </cell>
          <cell r="K12">
            <v>46279</v>
          </cell>
        </row>
        <row r="13">
          <cell r="A13" t="str">
            <v>Denied</v>
          </cell>
          <cell r="B13" t="str">
            <v>Uploaded MR - PIQ-90849065</v>
          </cell>
          <cell r="C13">
            <v>46127</v>
          </cell>
          <cell r="D13">
            <v>555351211</v>
          </cell>
          <cell r="K13">
            <v>46279</v>
          </cell>
        </row>
        <row r="14">
          <cell r="A14" t="str">
            <v>Pending</v>
          </cell>
          <cell r="B14" t="str">
            <v>secondary - Primary paid</v>
          </cell>
          <cell r="C14">
            <v>46163</v>
          </cell>
          <cell r="D14">
            <v>553378154</v>
          </cell>
          <cell r="K14">
            <v>46268</v>
          </cell>
        </row>
      </sheetData>
      <sheetData sheetId="4">
        <row r="2">
          <cell r="A2" t="str">
            <v>Denied</v>
          </cell>
          <cell r="B2" t="str">
            <v>Corrected ordering/referring provider, and resubmitted</v>
          </cell>
          <cell r="C2">
            <v>46113</v>
          </cell>
          <cell r="D2">
            <v>571606148</v>
          </cell>
          <cell r="K2">
            <v>46278</v>
          </cell>
        </row>
        <row r="3">
          <cell r="A3" t="str">
            <v>Denied</v>
          </cell>
          <cell r="B3" t="str">
            <v>Corrected ordering/referring provider, and resubmitted</v>
          </cell>
          <cell r="C3">
            <v>46126</v>
          </cell>
          <cell r="D3">
            <v>571606263</v>
          </cell>
          <cell r="K3">
            <v>46278</v>
          </cell>
        </row>
        <row r="4">
          <cell r="A4" t="str">
            <v>Denied</v>
          </cell>
          <cell r="B4" t="str">
            <v>Edited dx order, and resubmitted - DND Diagnosis was invalid for the date(s) of service reported</v>
          </cell>
          <cell r="C4">
            <v>46113</v>
          </cell>
          <cell r="D4">
            <v>571606836</v>
          </cell>
          <cell r="K4">
            <v>46278</v>
          </cell>
        </row>
        <row r="5">
          <cell r="A5" t="str">
            <v>Denied</v>
          </cell>
          <cell r="B5" t="str">
            <v>Resubmitted to UHC as primary - DND This care may be covered by another payer per coordination of benefits</v>
          </cell>
          <cell r="C5">
            <v>46135</v>
          </cell>
          <cell r="D5">
            <v>571607238</v>
          </cell>
          <cell r="K5">
            <v>46278</v>
          </cell>
        </row>
        <row r="6">
          <cell r="A6" t="str">
            <v>Under Review</v>
          </cell>
          <cell r="B6" t="str">
            <v xml:space="preserve">I need to ask Juan for MR </v>
          </cell>
          <cell r="C6">
            <v>46220</v>
          </cell>
          <cell r="D6">
            <v>553063753</v>
          </cell>
          <cell r="K6"/>
        </row>
        <row r="7">
          <cell r="A7" t="str">
            <v>Not found</v>
          </cell>
          <cell r="B7" t="str">
            <v xml:space="preserve">secondary - Resubmitted to Tricare for life - claim sent to tricare west and cant be locate it on Availity </v>
          </cell>
          <cell r="C7">
            <v>46114</v>
          </cell>
          <cell r="D7">
            <v>553857983</v>
          </cell>
          <cell r="K7">
            <v>46278</v>
          </cell>
        </row>
        <row r="8">
          <cell r="A8" t="str">
            <v>Finalized</v>
          </cell>
          <cell r="B8" t="str">
            <v>PAID - Insurance approved correction - Edited dx order, used I83811 as a primary code, and resubmitted - Denied payment for 93970 with remark: invalid dx</v>
          </cell>
          <cell r="C8">
            <v>46127</v>
          </cell>
          <cell r="D8">
            <v>569508762</v>
          </cell>
          <cell r="K8">
            <v>46269</v>
          </cell>
        </row>
        <row r="9">
          <cell r="A9" t="str">
            <v>Denied</v>
          </cell>
          <cell r="B9" t="str">
            <v>Resubmitted to the same payer - Active coverage on DOS - DND Expenses incurred after coverage terminated</v>
          </cell>
          <cell r="C9">
            <v>46126</v>
          </cell>
          <cell r="D9">
            <v>571608266</v>
          </cell>
          <cell r="K9">
            <v>46278</v>
          </cell>
        </row>
        <row r="10">
          <cell r="A10" t="str">
            <v>Denied</v>
          </cell>
          <cell r="B10" t="str">
            <v>Edited dx codes, and resubmitted - DND due to invalid dx</v>
          </cell>
          <cell r="C10">
            <v>46113</v>
          </cell>
          <cell r="D10">
            <v>553787632</v>
          </cell>
          <cell r="K10">
            <v>46282</v>
          </cell>
        </row>
        <row r="11">
          <cell r="A11" t="str">
            <v>Finalized</v>
          </cell>
          <cell r="B11" t="str">
            <v>Adjusted balance - 93923 bundled with 93925 - DND 93923  Mutually exclusive procedures cannot be done in the same day/setting</v>
          </cell>
          <cell r="C11">
            <v>46129</v>
          </cell>
          <cell r="D11">
            <v>553810379</v>
          </cell>
          <cell r="K11">
            <v>46278</v>
          </cell>
        </row>
        <row r="12">
          <cell r="A12" t="str">
            <v>Finalized</v>
          </cell>
          <cell r="B12" t="str">
            <v>Adjusted balance - 93923 bundled with 93925 - DND 93923  Mutually exclusive procedures cannot be done in the same day/setting</v>
          </cell>
          <cell r="C12">
            <v>46127</v>
          </cell>
          <cell r="D12">
            <v>555438747</v>
          </cell>
          <cell r="K12">
            <v>46278</v>
          </cell>
        </row>
        <row r="13">
          <cell r="A13" t="str">
            <v>Denied</v>
          </cell>
          <cell r="B13" t="str">
            <v>Corrected cpt codes, added code 7, and resubmitted</v>
          </cell>
          <cell r="C13">
            <v>46146</v>
          </cell>
          <cell r="D13">
            <v>571612561</v>
          </cell>
          <cell r="K13">
            <v>46278</v>
          </cell>
        </row>
      </sheetData>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BH"/>
      <sheetName val="DME"/>
      <sheetName val="GAE"/>
      <sheetName val="ORTHO"/>
      <sheetName val="US"/>
    </sheetNames>
    <sheetDataSet>
      <sheetData sheetId="0"/>
      <sheetData sheetId="1">
        <row r="2">
          <cell r="A2" t="str">
            <v>Denied</v>
          </cell>
          <cell r="B2" t="str">
            <v>Resubmitted to Humana - HCO/HMO listed Humana - DND Charges are covered under a capitation agreement/managed care plan</v>
          </cell>
          <cell r="C2">
            <v>46157</v>
          </cell>
          <cell r="D2">
            <v>554943318</v>
          </cell>
          <cell r="K2">
            <v>46265</v>
          </cell>
        </row>
        <row r="3">
          <cell r="A3" t="str">
            <v>Pending</v>
          </cell>
          <cell r="B3" t="str">
            <v>secondary - Sent on 06/08/2026 - None of the secon claims are paid - Primary paid</v>
          </cell>
          <cell r="C3"/>
          <cell r="D3">
            <v>556872696</v>
          </cell>
          <cell r="K3"/>
        </row>
        <row r="4">
          <cell r="A4" t="str">
            <v>Denied</v>
          </cell>
          <cell r="B4" t="str">
            <v>Jess resubmitted claim</v>
          </cell>
          <cell r="C4">
            <v>46162</v>
          </cell>
          <cell r="D4">
            <v>566720408</v>
          </cell>
          <cell r="K4">
            <v>46231</v>
          </cell>
        </row>
        <row r="5">
          <cell r="A5" t="str">
            <v>Denied</v>
          </cell>
          <cell r="B5" t="str">
            <v>Waiting to post and adjust balance - DND The time limit for filing has expired - Added Date of Current Illness, claim note, and resubmitted</v>
          </cell>
          <cell r="C5">
            <v>46262</v>
          </cell>
          <cell r="D5">
            <v>556413148</v>
          </cell>
          <cell r="K5">
            <v>46257</v>
          </cell>
        </row>
        <row r="6">
          <cell r="A6" t="str">
            <v>Denied</v>
          </cell>
          <cell r="B6" t="str">
            <v xml:space="preserve">Checking with our credentialing team - OON Provider Dr. Sarkar - DND  No coverage </v>
          </cell>
          <cell r="C6">
            <v>46157</v>
          </cell>
          <cell r="D6">
            <v>556564886</v>
          </cell>
          <cell r="K6">
            <v>46276</v>
          </cell>
        </row>
        <row r="7">
          <cell r="A7" t="str">
            <v>Denied</v>
          </cell>
          <cell r="B7" t="str">
            <v>Added Date of Current Illness, claim note, and resubmitted - DND 99493 This non-payable code is for required reporting only.</v>
          </cell>
          <cell r="C7">
            <v>46167</v>
          </cell>
          <cell r="D7">
            <v>556918462</v>
          </cell>
          <cell r="K7">
            <v>46265</v>
          </cell>
        </row>
        <row r="8">
          <cell r="A8" t="str">
            <v>Finalized</v>
          </cell>
          <cell r="B8" t="str">
            <v>Shifted balance to PT - ChampVA doesn't cover BH - $25.00 was assigned to PR 3</v>
          </cell>
          <cell r="C8">
            <v>46157</v>
          </cell>
          <cell r="D8">
            <v>557054917</v>
          </cell>
          <cell r="K8">
            <v>46265</v>
          </cell>
        </row>
        <row r="9">
          <cell r="A9" t="str">
            <v>Denied</v>
          </cell>
          <cell r="B9" t="str">
            <v>Added Date of Current Illness, claim note, and resubmitted</v>
          </cell>
          <cell r="C9">
            <v>46167</v>
          </cell>
          <cell r="D9">
            <v>557132196</v>
          </cell>
          <cell r="K9">
            <v>46265</v>
          </cell>
        </row>
        <row r="10">
          <cell r="A10" t="str">
            <v>Denied</v>
          </cell>
          <cell r="B10" t="str">
            <v>Added active referral for DOS and resubmitted, but these are non-covered services by VA. We need a separate RFS approval to get BH covarage</v>
          </cell>
          <cell r="C10">
            <v>46161</v>
          </cell>
          <cell r="D10">
            <v>555379100</v>
          </cell>
          <cell r="K10">
            <v>46257</v>
          </cell>
        </row>
        <row r="11">
          <cell r="A11" t="str">
            <v>Under Review</v>
          </cell>
          <cell r="B11" t="str">
            <v>Waiting for account to get activated again</v>
          </cell>
          <cell r="C11"/>
          <cell r="D11">
            <v>556047036</v>
          </cell>
          <cell r="K11"/>
        </row>
        <row r="12">
          <cell r="A12" t="str">
            <v>Under Review</v>
          </cell>
          <cell r="B12" t="str">
            <v>Waiting for account to get activated again</v>
          </cell>
          <cell r="C12"/>
          <cell r="D12">
            <v>557578390</v>
          </cell>
          <cell r="K12"/>
        </row>
      </sheetData>
      <sheetData sheetId="2">
        <row r="2">
          <cell r="A2" t="str">
            <v>Finalized</v>
          </cell>
          <cell r="B2" t="str">
            <v>Adjusted balance - Acodes not included in auth/referral</v>
          </cell>
          <cell r="C2">
            <v>46170</v>
          </cell>
          <cell r="D2">
            <v>558742342</v>
          </cell>
          <cell r="K2">
            <v>46245</v>
          </cell>
        </row>
        <row r="3">
          <cell r="A3" t="str">
            <v>Denied</v>
          </cell>
          <cell r="B3" t="str">
            <v>Filed appeal with MR on portal - Confirmation Number: 148586224 - L1851 requires auth, and we didn't get one</v>
          </cell>
          <cell r="C3">
            <v>46127</v>
          </cell>
          <cell r="D3">
            <v>555436823</v>
          </cell>
          <cell r="K3">
            <v>46283</v>
          </cell>
        </row>
        <row r="4">
          <cell r="A4" t="str">
            <v>Finalized</v>
          </cell>
          <cell r="B4" t="str">
            <v>Adjusted balance - Only 1 Incision was performed - 20 units each were order - We dispensed 40 unit each as per POD - DND Coverage/program guidelines were exceeded.</v>
          </cell>
          <cell r="C4">
            <v>46249</v>
          </cell>
          <cell r="D4">
            <v>556771003</v>
          </cell>
          <cell r="K4">
            <v>46283</v>
          </cell>
        </row>
        <row r="5">
          <cell r="A5" t="str">
            <v>Finalized</v>
          </cell>
          <cell r="B5" t="str">
            <v>Shift to PT - ABN signed - Another L0650 was dispensed back on 04/25/2022 - Supplier SONOSPINE ARIZONA LLC - DND L0650 M3 Equipment is the same or similar to equipment already being used</v>
          </cell>
          <cell r="C5">
            <v>46139</v>
          </cell>
          <cell r="D5">
            <v>556764690</v>
          </cell>
          <cell r="K5">
            <v>46283</v>
          </cell>
        </row>
        <row r="6">
          <cell r="A6" t="str">
            <v>Denied</v>
          </cell>
          <cell r="B6" t="str">
            <v>Resubmitted to Medicare Part B - Denied again - Resubmitted to Region B - PT state on portal: WI - DND N104 This claim/service is not payable under our claims jurisdiction area</v>
          </cell>
          <cell r="C6">
            <v>46247</v>
          </cell>
          <cell r="D6">
            <v>556799664</v>
          </cell>
          <cell r="K6">
            <v>46300</v>
          </cell>
        </row>
        <row r="7">
          <cell r="A7" t="str">
            <v>Pending</v>
          </cell>
          <cell r="B7" t="str">
            <v>secondary - Primary paid</v>
          </cell>
          <cell r="C7">
            <v>46151</v>
          </cell>
          <cell r="D7">
            <v>556803684</v>
          </cell>
          <cell r="K7">
            <v>46261</v>
          </cell>
        </row>
        <row r="8">
          <cell r="A8" t="str">
            <v>Finalized</v>
          </cell>
          <cell r="B8" t="str">
            <v>Adjusted balance - No ABN signed - Another L0650 was dispensed back on 04/25/2022 - Supplier SONOSPINE ARIZONA LLC - DND L0650 M3 Equipment is the same or similar to equipment already being used</v>
          </cell>
          <cell r="C8">
            <v>46148</v>
          </cell>
          <cell r="D8">
            <v>557840581</v>
          </cell>
          <cell r="K8">
            <v>46300</v>
          </cell>
        </row>
        <row r="9">
          <cell r="A9" t="str">
            <v>Denied</v>
          </cell>
          <cell r="B9" t="str">
            <v>secondary - Edited COB info, and resubmitted - Primary paid</v>
          </cell>
          <cell r="C9">
            <v>46281</v>
          </cell>
          <cell r="D9">
            <v>556808178</v>
          </cell>
          <cell r="K9">
            <v>46283</v>
          </cell>
        </row>
        <row r="10">
          <cell r="A10" t="str">
            <v>Denied</v>
          </cell>
          <cell r="B10" t="str">
            <v>MBI updated - Resubmitted - DND Missing/incomplete/invalid patient identifier</v>
          </cell>
          <cell r="C10">
            <v>46199</v>
          </cell>
          <cell r="D10">
            <v>556834981</v>
          </cell>
          <cell r="K10">
            <v>46283</v>
          </cell>
        </row>
        <row r="11">
          <cell r="A11" t="str">
            <v>Denied</v>
          </cell>
          <cell r="B11" t="str">
            <v>MBI updated on chart, and resubmitted - DND Missing/incomplete/invalid patient identifier</v>
          </cell>
          <cell r="C11">
            <v>46142</v>
          </cell>
          <cell r="D11">
            <v>557499174</v>
          </cell>
          <cell r="K11">
            <v>46278</v>
          </cell>
        </row>
        <row r="12">
          <cell r="A12" t="str">
            <v>Pending</v>
          </cell>
          <cell r="B12" t="str">
            <v xml:space="preserve">Secondary - Added rendering NPI 1518261023 to box 24j, cob info, and resubmitted </v>
          </cell>
          <cell r="C12">
            <v>46202</v>
          </cell>
          <cell r="D12">
            <v>557798679</v>
          </cell>
          <cell r="K12">
            <v>46284</v>
          </cell>
        </row>
        <row r="13">
          <cell r="A13" t="str">
            <v>Denied</v>
          </cell>
          <cell r="B13" t="str">
            <v>Appeal form completed with MR and forwarded to April for fax submission to payer - Fax # 855-699-8985</v>
          </cell>
          <cell r="C13">
            <v>46197</v>
          </cell>
          <cell r="D13">
            <v>555586629</v>
          </cell>
          <cell r="K13">
            <v>46300</v>
          </cell>
        </row>
        <row r="14">
          <cell r="A14" t="str">
            <v>Finalized</v>
          </cell>
          <cell r="B14" t="str">
            <v>Auth required for 63047 - No request found</v>
          </cell>
          <cell r="C14">
            <v>46127</v>
          </cell>
          <cell r="D14">
            <v>565388227</v>
          </cell>
          <cell r="K14">
            <v>46284</v>
          </cell>
        </row>
        <row r="15">
          <cell r="A15" t="str">
            <v>Under Review</v>
          </cell>
          <cell r="B15" t="str">
            <v>Call 800-636-2123 - DND A6010 Preferred Homecare is responsible for these services. Please submit the claim to Preferred Homecare for consideration</v>
          </cell>
          <cell r="C15">
            <v>46141</v>
          </cell>
          <cell r="D15">
            <v>556770603</v>
          </cell>
          <cell r="K15"/>
        </row>
        <row r="16">
          <cell r="A16" t="str">
            <v>Under Review</v>
          </cell>
          <cell r="B16" t="str">
            <v>Call 800-636-2123 - DND A6010 Preferred Homecare is responsible for these services. Please submit the claim to Preferred Homecare for consideration</v>
          </cell>
          <cell r="C16">
            <v>46141</v>
          </cell>
          <cell r="D16">
            <v>556772233</v>
          </cell>
          <cell r="K16"/>
        </row>
        <row r="17">
          <cell r="A17" t="str">
            <v>Under Review</v>
          </cell>
          <cell r="B17" t="str">
            <v>Checking with Bri - Dr. Awnik Sarkar OON with member's Independence Blue Cross PPO - Devereux Benefit Plan</v>
          </cell>
          <cell r="C17">
            <v>46141</v>
          </cell>
          <cell r="D17">
            <v>556801807</v>
          </cell>
          <cell r="K17"/>
        </row>
        <row r="18">
          <cell r="A18" t="str">
            <v>Finalized</v>
          </cell>
          <cell r="B18" t="str">
            <v xml:space="preserve">Adjusted balance - No auth request on file for collagen dressings - DND Acodes no auth </v>
          </cell>
          <cell r="C18">
            <v>46170</v>
          </cell>
          <cell r="D18">
            <v>556802417</v>
          </cell>
          <cell r="K18">
            <v>46285</v>
          </cell>
        </row>
        <row r="19">
          <cell r="A19" t="str">
            <v>Finalized</v>
          </cell>
          <cell r="B19" t="str">
            <v xml:space="preserve">Adjusted balance - No auth request on file for collagen dressings - DND Acodes no auth </v>
          </cell>
          <cell r="C19">
            <v>46167</v>
          </cell>
          <cell r="D19">
            <v>556804689</v>
          </cell>
          <cell r="K19">
            <v>46285</v>
          </cell>
        </row>
        <row r="20">
          <cell r="A20" t="str">
            <v>Finalized</v>
          </cell>
          <cell r="B20" t="str">
            <v xml:space="preserve">Adjusted balance - No auth request on file for collagen dressings - DND Acodes no auth </v>
          </cell>
          <cell r="C20">
            <v>46170</v>
          </cell>
          <cell r="D20">
            <v>556801421</v>
          </cell>
          <cell r="K20">
            <v>46285</v>
          </cell>
        </row>
        <row r="21">
          <cell r="A21" t="str">
            <v>Denied</v>
          </cell>
          <cell r="B21" t="str">
            <v xml:space="preserve">Uploaded missing MR to PIQ-85007180 - Jess uploaded POD </v>
          </cell>
          <cell r="C21">
            <v>46156</v>
          </cell>
          <cell r="D21">
            <v>561043971</v>
          </cell>
          <cell r="K21">
            <v>46285</v>
          </cell>
        </row>
        <row r="22">
          <cell r="A22" t="str">
            <v>Under Review</v>
          </cell>
          <cell r="B22" t="str">
            <v>Call 800-636-2123 - DND A6010 Preferred Homecare is responsible for these services. Please submit the claim to Preferred Homecare for consideration</v>
          </cell>
          <cell r="C22">
            <v>46143</v>
          </cell>
          <cell r="D22">
            <v>565388312</v>
          </cell>
          <cell r="K22"/>
        </row>
        <row r="23">
          <cell r="A23" t="str">
            <v>Under Review</v>
          </cell>
          <cell r="B23" t="str">
            <v>Call 800-636-2123 - DND A6010 Preferred Homecare is responsible for these services. Please submit the claim to Preferred Homecare for consideration</v>
          </cell>
          <cell r="C23">
            <v>46141</v>
          </cell>
          <cell r="D23">
            <v>556833981</v>
          </cell>
          <cell r="K23"/>
        </row>
        <row r="24">
          <cell r="A24" t="str">
            <v>Finalized</v>
          </cell>
          <cell r="B24" t="str">
            <v>Shift to PT - ABN signed -No coverage - Policy Number: MP.009.35 - PR non-covered</v>
          </cell>
          <cell r="C24">
            <v>46154</v>
          </cell>
          <cell r="D24">
            <v>558609820</v>
          </cell>
          <cell r="K24">
            <v>46285</v>
          </cell>
        </row>
        <row r="25">
          <cell r="A25" t="str">
            <v>Finalized</v>
          </cell>
          <cell r="B25" t="str">
            <v>Shift to PT - ABN signed -No coverage - Policy Number: MP.009.35 - PR non-covered</v>
          </cell>
          <cell r="C25">
            <v>46156</v>
          </cell>
          <cell r="D25">
            <v>557507395</v>
          </cell>
          <cell r="K25">
            <v>46285</v>
          </cell>
        </row>
        <row r="26">
          <cell r="A26" t="str">
            <v>Finalized</v>
          </cell>
          <cell r="B26" t="str">
            <v>Adjusted balance - BCBS M2K will not cover collagen dressings - DND A6010 Precertification/authorization/notification/pre-treatment absent</v>
          </cell>
          <cell r="C26">
            <v>46217</v>
          </cell>
          <cell r="D26">
            <v>562510509</v>
          </cell>
          <cell r="K26">
            <v>46285</v>
          </cell>
        </row>
        <row r="27">
          <cell r="A27" t="str">
            <v>Denied</v>
          </cell>
          <cell r="B27" t="str">
            <v>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v>
          </cell>
          <cell r="C27">
            <v>46215</v>
          </cell>
          <cell r="D27">
            <v>564913658</v>
          </cell>
          <cell r="K27">
            <v>46285</v>
          </cell>
        </row>
        <row r="28">
          <cell r="A28" t="str">
            <v>Under Review</v>
          </cell>
          <cell r="B28" t="str">
            <v>Call 800-636-2123 - DND A6010 Preferred Homecare is responsible for these services. Please submit the claim to Preferred Homecare for consideration</v>
          </cell>
          <cell r="C28">
            <v>46162</v>
          </cell>
          <cell r="D28">
            <v>558739471</v>
          </cell>
          <cell r="K28"/>
        </row>
        <row r="29">
          <cell r="A29" t="str">
            <v>Under Review</v>
          </cell>
          <cell r="B29" t="str">
            <v>Chat with anthem about medical records being received - Jess sent MR through fax with barcode letter</v>
          </cell>
          <cell r="C29">
            <v>46162</v>
          </cell>
          <cell r="D29">
            <v>562340666</v>
          </cell>
          <cell r="K29"/>
        </row>
        <row r="30">
          <cell r="A30" t="str">
            <v>Not found</v>
          </cell>
          <cell r="B30" t="str">
            <v>Check if the payer change worked - Submitted claim on portal with MR - Claim Id: 851901307 - Confirmation ID 843724183 - No auth request on file - Retro auth not available at this time</v>
          </cell>
          <cell r="C30">
            <v>46154</v>
          </cell>
          <cell r="D30">
            <v>556762240</v>
          </cell>
          <cell r="K30">
            <v>46285</v>
          </cell>
        </row>
        <row r="31">
          <cell r="A31" t="str">
            <v>Under Review</v>
          </cell>
          <cell r="B31" t="str">
            <v>Waiting for account to get activated again</v>
          </cell>
          <cell r="C31"/>
          <cell r="D31">
            <v>557846752</v>
          </cell>
          <cell r="K31"/>
        </row>
        <row r="32">
          <cell r="A32" t="str">
            <v>Under Review</v>
          </cell>
          <cell r="B32" t="str">
            <v>Waiting for account to get activated again</v>
          </cell>
          <cell r="C32"/>
          <cell r="D32">
            <v>562031529</v>
          </cell>
          <cell r="K32"/>
        </row>
      </sheetData>
      <sheetData sheetId="3">
        <row r="2">
          <cell r="A2" t="str">
            <v>Finalized</v>
          </cell>
          <cell r="B2" t="str">
            <v>Adjusted balance for 75710, 75774, 36245</v>
          </cell>
          <cell r="C2">
            <v>46162</v>
          </cell>
          <cell r="D2">
            <v>558686908</v>
          </cell>
          <cell r="K2">
            <v>46278</v>
          </cell>
        </row>
        <row r="3">
          <cell r="A3" t="str">
            <v>Denied</v>
          </cell>
          <cell r="B3" t="str">
            <v>Uploaded MR - PIQ-90772350</v>
          </cell>
          <cell r="C3">
            <v>46190</v>
          </cell>
          <cell r="D3">
            <v>558686302</v>
          </cell>
          <cell r="K3">
            <v>46278</v>
          </cell>
        </row>
        <row r="4">
          <cell r="A4" t="str">
            <v>Under Review</v>
          </cell>
          <cell r="B4" t="str">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ell>
          <cell r="C4">
            <v>46165</v>
          </cell>
          <cell r="D4">
            <v>558554119</v>
          </cell>
          <cell r="K4"/>
        </row>
        <row r="5">
          <cell r="A5" t="str">
            <v>Under Review</v>
          </cell>
          <cell r="B5" t="str">
            <v xml:space="preserve">DND 36248 due to exceeded MUE - DND 36245, 36246, and 75710 due to invalid dx </v>
          </cell>
          <cell r="C5">
            <v>46162</v>
          </cell>
          <cell r="D5">
            <v>558686340</v>
          </cell>
          <cell r="K5"/>
        </row>
        <row r="6">
          <cell r="A6" t="str">
            <v>Denied</v>
          </cell>
          <cell r="B6" t="str">
            <v xml:space="preserve">secondary - Added COB info, and resubmitted - Primary paid </v>
          </cell>
          <cell r="C6">
            <v>46162</v>
          </cell>
          <cell r="D6">
            <v>558686710</v>
          </cell>
          <cell r="K6">
            <v>46278</v>
          </cell>
        </row>
        <row r="7">
          <cell r="A7" t="str">
            <v>PAID</v>
          </cell>
          <cell r="B7" t="str">
            <v>PENDING POSTING</v>
          </cell>
          <cell r="C7">
            <v>46181</v>
          </cell>
          <cell r="D7">
            <v>558686759</v>
          </cell>
          <cell r="K7">
            <v>46199</v>
          </cell>
        </row>
      </sheetData>
      <sheetData sheetId="4">
        <row r="2">
          <cell r="A2" t="str">
            <v>Denied</v>
          </cell>
          <cell r="B2" t="str">
            <v>Filed new authorization on zyter # OPIXSO0914152025 -Authorization OPSQQU0402203650 was approved for 63655, but only from 06/30/2026 to 07/01/2026 - DND 63655 no auth</v>
          </cell>
          <cell r="C2">
            <v>46135</v>
          </cell>
          <cell r="D2">
            <v>556660363</v>
          </cell>
          <cell r="K2">
            <v>46279</v>
          </cell>
        </row>
        <row r="3">
          <cell r="A3" t="str">
            <v>Denied</v>
          </cell>
          <cell r="B3" t="str">
            <v xml:space="preserve">Filed authorization on zyter - Details Overview - OPFOEY0914142230 - No auth request found for 63655 - DND 63655 no auth </v>
          </cell>
          <cell r="C3">
            <v>46140</v>
          </cell>
          <cell r="D3">
            <v>556661876</v>
          </cell>
          <cell r="K3">
            <v>46279</v>
          </cell>
        </row>
        <row r="4">
          <cell r="A4" t="str">
            <v>Denied</v>
          </cell>
          <cell r="B4" t="str">
            <v>Filed new authorization on zyter # OPVWYI0914150455 - Authorization OPDCEJ0408161241 was approved for 63655, but only from 04/08/2026 to 04/09/2026 - DND 63655 no auth</v>
          </cell>
          <cell r="C4">
            <v>46136</v>
          </cell>
          <cell r="D4">
            <v>556715025</v>
          </cell>
          <cell r="K4">
            <v>46279</v>
          </cell>
        </row>
        <row r="5">
          <cell r="A5" t="str">
            <v>Pending</v>
          </cell>
          <cell r="B5" t="str">
            <v xml:space="preserve">secondary - Primary paid - Deanne removed RT mod, and resubmitted </v>
          </cell>
          <cell r="C5">
            <v>46136</v>
          </cell>
          <cell r="D5">
            <v>556710044</v>
          </cell>
          <cell r="K5">
            <v>46266</v>
          </cell>
        </row>
        <row r="6">
          <cell r="A6" t="str">
            <v>Denied</v>
          </cell>
          <cell r="B6" t="str">
            <v>MBI updated on chart, and resubmitted - DND Missing/incomplete/invalid patient identifier</v>
          </cell>
          <cell r="C6">
            <v>46147</v>
          </cell>
          <cell r="D6">
            <v>557458399</v>
          </cell>
          <cell r="K6">
            <v>46278</v>
          </cell>
        </row>
        <row r="7">
          <cell r="A7" t="str">
            <v>Denied</v>
          </cell>
          <cell r="B7" t="str">
            <v>Uploaded MR - PIQ-90772964</v>
          </cell>
          <cell r="C7">
            <v>46218</v>
          </cell>
          <cell r="D7">
            <v>556734047</v>
          </cell>
          <cell r="K7">
            <v>46278</v>
          </cell>
        </row>
        <row r="8">
          <cell r="A8" t="str">
            <v>Finalized</v>
          </cell>
          <cell r="B8" t="str">
            <v xml:space="preserve">Adjusted balance - DND The time limit for filing has expired - Deleted M5416, and resubmitted on portal - Dx M5116 with M5416 identify two conditions that cannot be reported together - CLAIM DOWNLOADED </v>
          </cell>
          <cell r="C8">
            <v>46261</v>
          </cell>
          <cell r="D8">
            <v>556735438</v>
          </cell>
          <cell r="K8">
            <v>46269</v>
          </cell>
        </row>
        <row r="9">
          <cell r="A9" t="str">
            <v>Finalized</v>
          </cell>
          <cell r="B9" t="str">
            <v>Adjusted balance</v>
          </cell>
          <cell r="C9">
            <v>46141</v>
          </cell>
          <cell r="D9">
            <v>556692374</v>
          </cell>
          <cell r="K9">
            <v>46278</v>
          </cell>
        </row>
        <row r="10">
          <cell r="A10" t="str">
            <v>Denied</v>
          </cell>
          <cell r="B10" t="str">
            <v>Uploaded MR - PIQ-90772754 - Delete 20936, and resubmitted</v>
          </cell>
          <cell r="C10">
            <v>46252</v>
          </cell>
          <cell r="D10">
            <v>556717576</v>
          </cell>
          <cell r="K10">
            <v>46278</v>
          </cell>
        </row>
        <row r="11">
          <cell r="A11" t="str">
            <v>Finalized</v>
          </cell>
          <cell r="B11" t="str">
            <v xml:space="preserve">Adjusted balance - Auth approval only included 63045 - DND procedures not authorized </v>
          </cell>
          <cell r="C11">
            <v>46183</v>
          </cell>
          <cell r="D11">
            <v>558964326</v>
          </cell>
          <cell r="K11">
            <v>46278</v>
          </cell>
        </row>
        <row r="12">
          <cell r="A12" t="str">
            <v>Denied</v>
          </cell>
          <cell r="B12" t="str">
            <v>Uploaded MR - ID 35635409 as per request - All CPT codes denied as no covered</v>
          </cell>
          <cell r="C12">
            <v>46202</v>
          </cell>
          <cell r="D12">
            <v>563133469</v>
          </cell>
          <cell r="K12">
            <v>46279</v>
          </cell>
        </row>
        <row r="13">
          <cell r="A13" t="str">
            <v>Denied</v>
          </cell>
          <cell r="B13" t="str">
            <v xml:space="preserve">Filed reconsideration - PIQ-90773073 - Decision ID #: D600552039 shows NAR </v>
          </cell>
          <cell r="C13">
            <v>46156</v>
          </cell>
          <cell r="D13">
            <v>558377934</v>
          </cell>
          <cell r="K13">
            <v>46278</v>
          </cell>
        </row>
        <row r="14">
          <cell r="A14" t="str">
            <v>Denied</v>
          </cell>
          <cell r="B14" t="str">
            <v xml:space="preserve">Delete 20930 and Dx M54.2 on portal as per action required option got triggered - Dx M542 with M5030 identify two conditions that cannot be reported together - Procedure 20930 is considered inclusive to other services reported - CLAIM DOWNLOADED </v>
          </cell>
          <cell r="C14">
            <v>46267</v>
          </cell>
          <cell r="D14">
            <v>558405759</v>
          </cell>
          <cell r="K14">
            <v>46257</v>
          </cell>
        </row>
        <row r="15">
          <cell r="A15" t="str">
            <v>Denied</v>
          </cell>
          <cell r="B15" t="str">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ell>
          <cell r="C15">
            <v>46220</v>
          </cell>
          <cell r="D15">
            <v>556732851</v>
          </cell>
          <cell r="K15">
            <v>46261</v>
          </cell>
        </row>
        <row r="16">
          <cell r="A16" t="str">
            <v>Denied</v>
          </cell>
          <cell r="B16" t="str">
            <v xml:space="preserve">Requested auth on portal - Current Status: Not certified - NAR received was for 62330, which doesn't require authorization according to portal-Availity - DND no auth on file </v>
          </cell>
          <cell r="C16">
            <v>46136</v>
          </cell>
          <cell r="D16">
            <v>554827888</v>
          </cell>
          <cell r="K16">
            <v>46279</v>
          </cell>
        </row>
        <row r="17">
          <cell r="A17" t="str">
            <v>Under Review</v>
          </cell>
          <cell r="B17" t="str">
            <v xml:space="preserve">trying to get access to EOB with imperial </v>
          </cell>
          <cell r="C17"/>
          <cell r="D17">
            <v>556696226</v>
          </cell>
          <cell r="K17"/>
        </row>
        <row r="18">
          <cell r="A18" t="str">
            <v>Under Review</v>
          </cell>
          <cell r="B18" t="str">
            <v>no access</v>
          </cell>
          <cell r="C18"/>
          <cell r="D18">
            <v>556723206</v>
          </cell>
          <cell r="K18"/>
        </row>
      </sheetData>
      <sheetData sheetId="5">
        <row r="2">
          <cell r="A2" t="str">
            <v>Finalized</v>
          </cell>
          <cell r="B2" t="str">
            <v>Adjusted - CPT 93923 bundles with 93925 and 93970 - 93923 billed on claim 568254615</v>
          </cell>
          <cell r="C2">
            <v>46199</v>
          </cell>
          <cell r="D2">
            <v>558639899</v>
          </cell>
          <cell r="K2">
            <v>46245</v>
          </cell>
        </row>
        <row r="3">
          <cell r="A3" t="str">
            <v>Pending</v>
          </cell>
          <cell r="B3" t="str">
            <v>Billed 93923 separately on claim 568675091</v>
          </cell>
          <cell r="C3">
            <v>46164</v>
          </cell>
          <cell r="D3">
            <v>558643131</v>
          </cell>
          <cell r="K3">
            <v>46248</v>
          </cell>
        </row>
        <row r="4">
          <cell r="A4" t="str">
            <v>Pending</v>
          </cell>
          <cell r="B4" t="str">
            <v>Billed 93923 separately on claim 568676394</v>
          </cell>
          <cell r="C4">
            <v>46185</v>
          </cell>
          <cell r="D4">
            <v>558643311</v>
          </cell>
          <cell r="K4">
            <v>46248</v>
          </cell>
        </row>
        <row r="5">
          <cell r="A5" t="str">
            <v>Pending</v>
          </cell>
          <cell r="B5" t="str">
            <v>Filed seperately claim on portal for 93923 - Claim Id: 851510753 - Confirmation ID is 843229305</v>
          </cell>
          <cell r="C5"/>
          <cell r="D5">
            <v>558643526</v>
          </cell>
          <cell r="K5">
            <v>46248</v>
          </cell>
        </row>
        <row r="6">
          <cell r="A6" t="str">
            <v>Denied</v>
          </cell>
          <cell r="B6" t="str">
            <v>Corrected ordering/referring provider, and resubmitted</v>
          </cell>
          <cell r="C6">
            <v>46157</v>
          </cell>
          <cell r="D6">
            <v>558637906</v>
          </cell>
          <cell r="K6">
            <v>46277</v>
          </cell>
        </row>
        <row r="7">
          <cell r="A7" t="str">
            <v>Pending</v>
          </cell>
          <cell r="B7" t="str">
            <v xml:space="preserve">secondary - crossover to secondary - primary paid </v>
          </cell>
          <cell r="C7">
            <v>46170</v>
          </cell>
          <cell r="D7">
            <v>558642115</v>
          </cell>
          <cell r="K7">
            <v>46277</v>
          </cell>
        </row>
        <row r="8">
          <cell r="A8" t="str">
            <v>Pending</v>
          </cell>
          <cell r="B8" t="str">
            <v xml:space="preserve">secondary - crossover to secondary - primary paid </v>
          </cell>
          <cell r="C8">
            <v>46155</v>
          </cell>
          <cell r="D8">
            <v>557577339</v>
          </cell>
          <cell r="K8">
            <v>46277</v>
          </cell>
        </row>
        <row r="9">
          <cell r="A9" t="str">
            <v>Denied</v>
          </cell>
          <cell r="B9" t="str">
            <v>Corrected ordering/referring provider, and resubmitted</v>
          </cell>
          <cell r="C9">
            <v>46154</v>
          </cell>
          <cell r="D9">
            <v>558245138</v>
          </cell>
          <cell r="K9">
            <v>46277</v>
          </cell>
        </row>
        <row r="10">
          <cell r="A10" t="str">
            <v>Denied</v>
          </cell>
          <cell r="B10" t="str">
            <v>Corrected ordering/referring provider, and resubmitted</v>
          </cell>
          <cell r="C10">
            <v>46154</v>
          </cell>
          <cell r="D10">
            <v>558246366</v>
          </cell>
          <cell r="K10">
            <v>46277</v>
          </cell>
        </row>
        <row r="11">
          <cell r="A11" t="str">
            <v>Denied</v>
          </cell>
          <cell r="B11" t="str">
            <v>Corrected ordering/referring provider, and resubmitted</v>
          </cell>
          <cell r="C11">
            <v>46154</v>
          </cell>
          <cell r="D11">
            <v>558247000</v>
          </cell>
          <cell r="K11">
            <v>46277</v>
          </cell>
        </row>
        <row r="12">
          <cell r="A12" t="str">
            <v>Denied</v>
          </cell>
          <cell r="B12" t="str">
            <v xml:space="preserve">Uploaded MR - PIQ-91107053 as per insurance request </v>
          </cell>
          <cell r="C12">
            <v>46216</v>
          </cell>
          <cell r="D12">
            <v>558304247</v>
          </cell>
          <cell r="K12">
            <v>46282</v>
          </cell>
        </row>
        <row r="13">
          <cell r="A13" t="str">
            <v>Denied</v>
          </cell>
          <cell r="B13" t="str">
            <v>Added mod XS to 93970, and resubmitted - Anthem Commercial Reimbursement Policy Number: C-23003 - secondary subject to MPPR rules</v>
          </cell>
          <cell r="C13">
            <v>46164</v>
          </cell>
          <cell r="D13">
            <v>558637485</v>
          </cell>
          <cell r="K13">
            <v>46283</v>
          </cell>
        </row>
        <row r="14">
          <cell r="A14" t="str">
            <v>Denied</v>
          </cell>
          <cell r="B14" t="str">
            <v>Changed 93970 to 93971, and resubmitted</v>
          </cell>
          <cell r="C14">
            <v>46184</v>
          </cell>
          <cell r="D14">
            <v>558308311</v>
          </cell>
          <cell r="K14">
            <v>46278</v>
          </cell>
        </row>
        <row r="15">
          <cell r="A15" t="str">
            <v>Denied</v>
          </cell>
          <cell r="B15" t="str">
            <v>Uploaded MR - PIQ-90770826</v>
          </cell>
          <cell r="C15">
            <v>46224</v>
          </cell>
          <cell r="D15">
            <v>558638750</v>
          </cell>
          <cell r="K15">
            <v>46278</v>
          </cell>
        </row>
        <row r="16">
          <cell r="A16" t="str">
            <v>Under Review</v>
          </cell>
          <cell r="B16" t="str">
            <v>START A CHAT AND ASK FOR A PIQ REVIEW OR STATUS</v>
          </cell>
          <cell r="C16">
            <v>46177</v>
          </cell>
          <cell r="D16">
            <v>565376983</v>
          </cell>
          <cell r="K16"/>
        </row>
        <row r="17">
          <cell r="A17" t="str">
            <v>Under Review</v>
          </cell>
          <cell r="B17" t="str">
            <v>secondary - check cob on noridian, if nothing there, check with April - 1A95CU0TY97</v>
          </cell>
          <cell r="C17">
            <v>46152</v>
          </cell>
          <cell r="D17">
            <v>558643419</v>
          </cell>
          <cell r="K17"/>
        </row>
        <row r="18">
          <cell r="A18" t="str">
            <v>Denied</v>
          </cell>
          <cell r="B18" t="str">
            <v>Added code 7, and resubmitted</v>
          </cell>
          <cell r="C18">
            <v>46160</v>
          </cell>
          <cell r="D18">
            <v>558643981</v>
          </cell>
          <cell r="K18">
            <v>46278</v>
          </cell>
        </row>
        <row r="19">
          <cell r="A19" t="str">
            <v>Under Review</v>
          </cell>
          <cell r="B19" t="str">
            <v>Send pending msm to Bri</v>
          </cell>
          <cell r="C19">
            <v>46153</v>
          </cell>
          <cell r="D19">
            <v>558622490</v>
          </cell>
          <cell r="K19"/>
        </row>
        <row r="20">
          <cell r="A20" t="str">
            <v>Under Review</v>
          </cell>
          <cell r="B20" t="str">
            <v xml:space="preserve">Waiting for Bri's reply - Juan sent MR to me </v>
          </cell>
          <cell r="C20">
            <v>46157</v>
          </cell>
          <cell r="D20">
            <v>557575573</v>
          </cell>
          <cell r="K20"/>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Pending</v>
          </cell>
          <cell r="B2" t="str">
            <v>Uploaded MR - PIQ-88903761</v>
          </cell>
          <cell r="C2"/>
          <cell r="D2">
            <v>559331282</v>
          </cell>
          <cell r="K2">
            <v>46244</v>
          </cell>
        </row>
        <row r="3">
          <cell r="A3" t="str">
            <v>Pending</v>
          </cell>
          <cell r="B3" t="str">
            <v>Uploaded MR - PIQ-88903858</v>
          </cell>
          <cell r="C3"/>
          <cell r="D3">
            <v>559334288</v>
          </cell>
          <cell r="K3">
            <v>46244</v>
          </cell>
        </row>
        <row r="4">
          <cell r="A4" t="str">
            <v>Pending</v>
          </cell>
          <cell r="B4" t="str">
            <v>On hold - Missing MR - Uploaded MR on portal</v>
          </cell>
          <cell r="C4"/>
          <cell r="D4">
            <v>558887755</v>
          </cell>
          <cell r="K4">
            <v>46245</v>
          </cell>
        </row>
        <row r="5">
          <cell r="A5" t="str">
            <v>Pending</v>
          </cell>
          <cell r="B5" t="str">
            <v>Corrected service line 1 to 99492, and resubmitted - Processed date 06/16/2026</v>
          </cell>
          <cell r="C5">
            <v>46189</v>
          </cell>
          <cell r="D5">
            <v>559931934</v>
          </cell>
          <cell r="K5">
            <v>46245</v>
          </cell>
        </row>
        <row r="6">
          <cell r="A6" t="str">
            <v>Pending</v>
          </cell>
          <cell r="B6" t="str">
            <v>Corrected service line 1 - Changed to 99492, and resubmitted - Processed date 06/10/2026</v>
          </cell>
          <cell r="C6">
            <v>46183</v>
          </cell>
          <cell r="D6">
            <v>560175340</v>
          </cell>
          <cell r="K6">
            <v>46245</v>
          </cell>
        </row>
        <row r="7">
          <cell r="A7" t="str">
            <v>Pending</v>
          </cell>
          <cell r="B7" t="str">
            <v>Uploaded MR - PIQ-88958247</v>
          </cell>
          <cell r="C7"/>
          <cell r="D7">
            <v>560027331</v>
          </cell>
          <cell r="K7">
            <v>46245</v>
          </cell>
        </row>
        <row r="8">
          <cell r="A8" t="str">
            <v>Denied</v>
          </cell>
          <cell r="B8" t="str">
            <v>UHC not active on DOS - Resubmitted to Mercy Care (secondary)</v>
          </cell>
          <cell r="C8">
            <v>46183</v>
          </cell>
          <cell r="D8">
            <v>560178463</v>
          </cell>
          <cell r="K8">
            <v>46245</v>
          </cell>
        </row>
        <row r="9">
          <cell r="A9" t="str">
            <v>Denied</v>
          </cell>
          <cell r="B9" t="str">
            <v>We have to wait for claim on DOS 02/20/2026 approval to reprocess</v>
          </cell>
          <cell r="C9">
            <v>46191</v>
          </cell>
          <cell r="D9">
            <v>560664762</v>
          </cell>
          <cell r="K9">
            <v>46245</v>
          </cell>
        </row>
        <row r="10">
          <cell r="A10" t="str">
            <v>Rejected</v>
          </cell>
          <cell r="B10" t="str">
            <v>Resubmitted again - Aisha review Adlers status on the AHCCCS portal. He is showing active ins 2012 - Rendering OON with Medicaid AHCCCS - Confirming with Bri - DOS we were working on 05/01/2026</v>
          </cell>
          <cell r="C10"/>
          <cell r="D10">
            <v>558010066</v>
          </cell>
          <cell r="K10">
            <v>46300</v>
          </cell>
        </row>
        <row r="11">
          <cell r="A11" t="str">
            <v>Under Review</v>
          </cell>
          <cell r="B11" t="str">
            <v>I need to call PT - Aetna termed date March 31, 2026</v>
          </cell>
          <cell r="C11">
            <v>46195</v>
          </cell>
          <cell r="D11">
            <v>560450629</v>
          </cell>
          <cell r="K11"/>
        </row>
        <row r="12">
          <cell r="A12" t="str">
            <v>Finalized</v>
          </cell>
          <cell r="B12" t="str">
            <v>Adjusted balance - No BH documentation found for those 20+ mins</v>
          </cell>
          <cell r="C12">
            <v>46252</v>
          </cell>
          <cell r="D12">
            <v>560608599</v>
          </cell>
          <cell r="K12">
            <v>46276</v>
          </cell>
        </row>
        <row r="13">
          <cell r="A13" t="str">
            <v>Finalized</v>
          </cell>
          <cell r="B13" t="str">
            <v>PAID - Edited rendering and referring provider, and resubmitted</v>
          </cell>
          <cell r="C13">
            <v>46266</v>
          </cell>
          <cell r="D13">
            <v>563732700</v>
          </cell>
          <cell r="K13">
            <v>46276</v>
          </cell>
        </row>
        <row r="14">
          <cell r="A14" t="str">
            <v>Denied</v>
          </cell>
          <cell r="B14" t="str">
            <v>MBI updated on chart, and resubmitted - MBI End Date 04/14/2026</v>
          </cell>
          <cell r="C14">
            <v>46190</v>
          </cell>
          <cell r="D14">
            <v>558264075</v>
          </cell>
          <cell r="K14">
            <v>46252</v>
          </cell>
        </row>
        <row r="15">
          <cell r="A15" t="str">
            <v>Pending</v>
          </cell>
          <cell r="B15" t="str">
            <v>PENDING POSTING - Secondary</v>
          </cell>
          <cell r="C15">
            <v>46196</v>
          </cell>
          <cell r="D15">
            <v>558264882</v>
          </cell>
          <cell r="K15">
            <v>46227</v>
          </cell>
        </row>
        <row r="16">
          <cell r="A16" t="str">
            <v>Finalized</v>
          </cell>
          <cell r="B16" t="str">
            <v>PAID - secondary - Added COB info and crossover electronically</v>
          </cell>
          <cell r="C16">
            <v>46196</v>
          </cell>
          <cell r="D16">
            <v>558645693</v>
          </cell>
          <cell r="K16">
            <v>46252</v>
          </cell>
        </row>
        <row r="17">
          <cell r="A17" t="str">
            <v>PAID</v>
          </cell>
          <cell r="B17" t="str">
            <v>secondary - PENDING POSTING - MBI updated on chart, and resubmitted - MBI End Date 04/14/2026</v>
          </cell>
          <cell r="C17">
            <v>46190</v>
          </cell>
          <cell r="D17">
            <v>558588714</v>
          </cell>
          <cell r="K17">
            <v>46252</v>
          </cell>
        </row>
        <row r="18">
          <cell r="A18" t="str">
            <v>Finalized</v>
          </cell>
          <cell r="B18" t="str">
            <v>secondary - adjusted balance - Termed date 04/30/2026</v>
          </cell>
          <cell r="C18">
            <v>46196</v>
          </cell>
          <cell r="D18">
            <v>558777279</v>
          </cell>
          <cell r="K18">
            <v>46252</v>
          </cell>
        </row>
        <row r="19">
          <cell r="A19" t="str">
            <v>Pending</v>
          </cell>
          <cell r="B19" t="str">
            <v>PENDING POSTING - Secondary</v>
          </cell>
          <cell r="C19">
            <v>46196</v>
          </cell>
          <cell r="D19">
            <v>559107561</v>
          </cell>
          <cell r="K19">
            <v>46227</v>
          </cell>
        </row>
        <row r="20">
          <cell r="A20" t="str">
            <v>Pending</v>
          </cell>
          <cell r="B20" t="str">
            <v>PENDING POSTING - Secondary</v>
          </cell>
          <cell r="C20">
            <v>46196</v>
          </cell>
          <cell r="D20">
            <v>559368713</v>
          </cell>
          <cell r="K20">
            <v>46227</v>
          </cell>
        </row>
        <row r="21">
          <cell r="A21" t="str">
            <v>Pending</v>
          </cell>
          <cell r="B21" t="str">
            <v>PENDING POSTING - Secondary</v>
          </cell>
          <cell r="C21">
            <v>46196</v>
          </cell>
          <cell r="D21">
            <v>560682170</v>
          </cell>
          <cell r="K21">
            <v>46227</v>
          </cell>
        </row>
        <row r="22">
          <cell r="A22" t="str">
            <v>Pending</v>
          </cell>
          <cell r="B22" t="str">
            <v>Resubmitted to AARP MedicareComplete (SecureHorizons &amp; Oxford Network)</v>
          </cell>
          <cell r="C22"/>
          <cell r="D22">
            <v>568553454</v>
          </cell>
          <cell r="K22">
            <v>46247</v>
          </cell>
        </row>
        <row r="23">
          <cell r="A23" t="str">
            <v>Pending</v>
          </cell>
          <cell r="B23" t="str">
            <v>Requested Linda W. fax medical records to 480-499-8744 - TAT I have to send MR 08/18/2026</v>
          </cell>
          <cell r="C23">
            <v>46217</v>
          </cell>
          <cell r="D23">
            <v>559861642</v>
          </cell>
          <cell r="K23">
            <v>46247</v>
          </cell>
        </row>
        <row r="24">
          <cell r="A24" t="str">
            <v>Finalized</v>
          </cell>
          <cell r="B24" t="str">
            <v>Billed to PR - Adjusted ins balance- Provider OON  - Audit #: WY03MQKV - Provider inquiry</v>
          </cell>
          <cell r="C24">
            <v>46216</v>
          </cell>
          <cell r="D24">
            <v>559340053</v>
          </cell>
          <cell r="K24">
            <v>46245</v>
          </cell>
        </row>
        <row r="25">
          <cell r="A25" t="str">
            <v>Denied</v>
          </cell>
          <cell r="B25" t="str">
            <v>Resubmitted to Optum</v>
          </cell>
          <cell r="C25">
            <v>46191</v>
          </cell>
          <cell r="D25">
            <v>558331839</v>
          </cell>
          <cell r="K25">
            <v>46252</v>
          </cell>
        </row>
        <row r="26">
          <cell r="A26" t="str">
            <v>Under Review</v>
          </cell>
          <cell r="B26" t="str">
            <v>Waiting for account to get activated again</v>
          </cell>
          <cell r="C26"/>
          <cell r="D26">
            <v>558642005</v>
          </cell>
          <cell r="K26"/>
        </row>
        <row r="27">
          <cell r="A27" t="str">
            <v>Denied</v>
          </cell>
          <cell r="B27" t="str">
            <v>Resubmitted to Optum</v>
          </cell>
          <cell r="C27">
            <v>46191</v>
          </cell>
          <cell r="D27">
            <v>559338687</v>
          </cell>
          <cell r="K27">
            <v>46252</v>
          </cell>
        </row>
        <row r="28">
          <cell r="A28" t="str">
            <v>Denied</v>
          </cell>
          <cell r="B28" t="str">
            <v>Resubmitted to Optum</v>
          </cell>
          <cell r="C28">
            <v>46191</v>
          </cell>
          <cell r="D28">
            <v>560178907</v>
          </cell>
          <cell r="K28">
            <v>46252</v>
          </cell>
        </row>
        <row r="29">
          <cell r="A29" t="str">
            <v>Denied</v>
          </cell>
          <cell r="B29" t="str">
            <v>Resubmitted to Optum</v>
          </cell>
          <cell r="C29">
            <v>46191</v>
          </cell>
          <cell r="D29">
            <v>560590155</v>
          </cell>
          <cell r="K29">
            <v>46252</v>
          </cell>
        </row>
        <row r="30">
          <cell r="A30" t="str">
            <v>Finalized</v>
          </cell>
          <cell r="B30" t="str">
            <v>PAID - Bri resubmited claim on 08/05/2026</v>
          </cell>
          <cell r="C30">
            <v>46253</v>
          </cell>
          <cell r="D30">
            <v>567670697</v>
          </cell>
          <cell r="K30">
            <v>46262</v>
          </cell>
        </row>
        <row r="31">
          <cell r="A31" t="str">
            <v>Under Review</v>
          </cell>
          <cell r="B31" t="str">
            <v>Waiting for account to get activated again</v>
          </cell>
          <cell r="C31"/>
          <cell r="D31">
            <v>560692149</v>
          </cell>
          <cell r="K31"/>
        </row>
      </sheetData>
      <sheetData sheetId="1">
        <row r="2">
          <cell r="A2" t="str">
            <v>Under Review</v>
          </cell>
          <cell r="B2" t="str">
            <v>I need to get the MR request letter - MR requested - Remove CPT A6219, and resubmitted</v>
          </cell>
          <cell r="C2"/>
          <cell r="D2">
            <v>559604554</v>
          </cell>
          <cell r="K2">
            <v>46244</v>
          </cell>
        </row>
        <row r="3">
          <cell r="A3" t="str">
            <v>Denied</v>
          </cell>
          <cell r="B3" t="str">
            <v>Checking with auth team</v>
          </cell>
          <cell r="C3">
            <v>46196</v>
          </cell>
          <cell r="D3">
            <v>559742691</v>
          </cell>
          <cell r="K3">
            <v>46245</v>
          </cell>
        </row>
        <row r="4">
          <cell r="A4" t="str">
            <v>Denied</v>
          </cell>
          <cell r="B4" t="str">
            <v>Removed rendering, added servicing, changed from professional to DME, and resubmitted - Denied due to missing auth - I see rendering OON -  Processed date 06/12/2026</v>
          </cell>
          <cell r="C4">
            <v>46185</v>
          </cell>
          <cell r="D4">
            <v>561880042</v>
          </cell>
          <cell r="K4">
            <v>46245</v>
          </cell>
        </row>
        <row r="5">
          <cell r="A5" t="str">
            <v>Finalized</v>
          </cell>
          <cell r="B5" t="str">
            <v>Billed PT according to ABN charges agreed.</v>
          </cell>
          <cell r="C5">
            <v>46183</v>
          </cell>
          <cell r="D5">
            <v>561237046</v>
          </cell>
          <cell r="K5">
            <v>46245</v>
          </cell>
        </row>
        <row r="6">
          <cell r="A6" t="str">
            <v>Finalized</v>
          </cell>
          <cell r="B6" t="str">
            <v>No auth on file - Adjusted</v>
          </cell>
          <cell r="C6">
            <v>46194</v>
          </cell>
          <cell r="D6">
            <v>561851402</v>
          </cell>
          <cell r="K6">
            <v>46245</v>
          </cell>
        </row>
        <row r="7">
          <cell r="A7" t="str">
            <v>Finalized</v>
          </cell>
          <cell r="B7" t="str">
            <v>Shift to PR - ABN signed - No coverage</v>
          </cell>
          <cell r="C7">
            <v>46191</v>
          </cell>
          <cell r="D7">
            <v>561860576</v>
          </cell>
          <cell r="K7">
            <v>46248</v>
          </cell>
        </row>
        <row r="8">
          <cell r="A8" t="str">
            <v>Finalized</v>
          </cell>
          <cell r="B8" t="str">
            <v>Shift to PR - ABN signed - No auth</v>
          </cell>
          <cell r="C8">
            <v>46223</v>
          </cell>
          <cell r="D8">
            <v>559770046</v>
          </cell>
          <cell r="K8">
            <v>46248</v>
          </cell>
        </row>
        <row r="9">
          <cell r="A9" t="str">
            <v>Not found</v>
          </cell>
          <cell r="B9" t="str">
            <v xml:space="preserve">Claim not found - Resubmitted - Asked April to print </v>
          </cell>
          <cell r="C9">
            <v>46184</v>
          </cell>
          <cell r="D9">
            <v>559750877</v>
          </cell>
          <cell r="K9">
            <v>46252</v>
          </cell>
        </row>
        <row r="10">
          <cell r="A10" t="str">
            <v>Denied</v>
          </cell>
          <cell r="B10" t="str">
            <v>Dropped dx M54.16, and resubmitted</v>
          </cell>
          <cell r="C10">
            <v>46190</v>
          </cell>
          <cell r="D10">
            <v>561859042</v>
          </cell>
          <cell r="K10">
            <v>46253</v>
          </cell>
        </row>
        <row r="11">
          <cell r="A11" t="str">
            <v>Denied</v>
          </cell>
          <cell r="B11" t="str">
            <v>Edited mod from A2 to KX, and resubmitted</v>
          </cell>
          <cell r="C11">
            <v>46169</v>
          </cell>
          <cell r="D11">
            <v>559740566</v>
          </cell>
          <cell r="K11">
            <v>46254</v>
          </cell>
        </row>
        <row r="12">
          <cell r="A12" t="str">
            <v>Under Review</v>
          </cell>
          <cell r="B12" t="str">
            <v>MUE issue - CALL INS</v>
          </cell>
          <cell r="C12">
            <v>46190</v>
          </cell>
          <cell r="D12">
            <v>561880706</v>
          </cell>
          <cell r="K12"/>
        </row>
        <row r="13">
          <cell r="A13" t="str">
            <v>Denied</v>
          </cell>
          <cell r="B13" t="str">
            <v>Removed Dx M5116, and resubmitted - Dx M5116 and M5416 can't be billed together</v>
          </cell>
          <cell r="C13">
            <v>46195</v>
          </cell>
          <cell r="D13">
            <v>561866854</v>
          </cell>
          <cell r="K13">
            <v>46254</v>
          </cell>
        </row>
        <row r="14">
          <cell r="A14" t="str">
            <v>Denied</v>
          </cell>
          <cell r="B14" t="str">
            <v>Mesa - MBI updated on chart, and resubmitted - MBI End Date 04/14/2026</v>
          </cell>
          <cell r="C14">
            <v>46156</v>
          </cell>
          <cell r="D14">
            <v>559006292</v>
          </cell>
          <cell r="K14">
            <v>46254</v>
          </cell>
        </row>
        <row r="15">
          <cell r="A15" t="str">
            <v>PAID</v>
          </cell>
          <cell r="B15" t="str">
            <v>Surprise Reems - PENDING POSTING</v>
          </cell>
          <cell r="C15">
            <v>46249</v>
          </cell>
          <cell r="D15">
            <v>559009959</v>
          </cell>
          <cell r="K15"/>
        </row>
        <row r="16">
          <cell r="A16" t="str">
            <v>PAID</v>
          </cell>
          <cell r="B16" t="str">
            <v>Secondary - PENDING POSTING</v>
          </cell>
          <cell r="C16">
            <v>46202</v>
          </cell>
          <cell r="D16">
            <v>559008757</v>
          </cell>
          <cell r="K16"/>
        </row>
        <row r="17">
          <cell r="A17" t="str">
            <v>Denied</v>
          </cell>
          <cell r="B17" t="str">
            <v>Gilbert - MBI updated on chart, and resubmitted - MBI End Date 04/14/2026</v>
          </cell>
          <cell r="C17">
            <v>46185</v>
          </cell>
          <cell r="D17">
            <v>561877866</v>
          </cell>
          <cell r="K17">
            <v>46254</v>
          </cell>
        </row>
        <row r="18">
          <cell r="A18" t="str">
            <v>Pending</v>
          </cell>
          <cell r="B18" t="str">
            <v>Greenway - Billed to PT - ABN signed - Void claim 569311834 request as per Medicare recoup - Home Health Scottsdale is the delegated DME vendor on DOS</v>
          </cell>
          <cell r="C18">
            <v>46211</v>
          </cell>
          <cell r="D18">
            <v>559783560</v>
          </cell>
          <cell r="K18">
            <v>46254</v>
          </cell>
        </row>
        <row r="19">
          <cell r="A19" t="str">
            <v>Finalized</v>
          </cell>
          <cell r="B19" t="str">
            <v xml:space="preserve">Surprise Reems - Billed to PT - ABN signed - No auth found - Auth missing denial </v>
          </cell>
          <cell r="C19">
            <v>46247</v>
          </cell>
          <cell r="D19">
            <v>564572924</v>
          </cell>
          <cell r="K19">
            <v>46254</v>
          </cell>
        </row>
        <row r="20">
          <cell r="A20" t="str">
            <v>Finalized</v>
          </cell>
          <cell r="B20" t="str">
            <v>Goodyear - Adjusted balance - No auth on file</v>
          </cell>
          <cell r="C20">
            <v>46219</v>
          </cell>
          <cell r="D20">
            <v>559739970</v>
          </cell>
          <cell r="K20">
            <v>46255</v>
          </cell>
        </row>
        <row r="21">
          <cell r="A21" t="str">
            <v>Finalized</v>
          </cell>
          <cell r="B21" t="str">
            <v>Peoria - Adjusted balance - No auth on file</v>
          </cell>
          <cell r="C21">
            <v>46246</v>
          </cell>
          <cell r="D21">
            <v>559735530</v>
          </cell>
          <cell r="K21">
            <v>46255</v>
          </cell>
        </row>
        <row r="22">
          <cell r="A22" t="str">
            <v>PAID</v>
          </cell>
          <cell r="B22" t="str">
            <v>Surprise Reems -  PENDING POSTING</v>
          </cell>
          <cell r="C22">
            <v>46209</v>
          </cell>
          <cell r="D22">
            <v>561853521</v>
          </cell>
          <cell r="K22"/>
        </row>
        <row r="23">
          <cell r="A23" t="str">
            <v>PAID</v>
          </cell>
          <cell r="B23" t="str">
            <v>Surprise Reems -  PENDING POSTING</v>
          </cell>
          <cell r="C23">
            <v>46249</v>
          </cell>
          <cell r="D23">
            <v>561856360</v>
          </cell>
          <cell r="K23"/>
        </row>
        <row r="24">
          <cell r="A24" t="str">
            <v>Denied</v>
          </cell>
          <cell r="B24" t="str">
            <v>Peoria - Added the only knee dx on order encounter notes M25562, and resubmitted - Remark says 'medical necessity' because the diagnoses on the claim aren't knee diagnoses, yet this will probably denied again for missing authorzation.</v>
          </cell>
          <cell r="C24">
            <v>46204</v>
          </cell>
          <cell r="D24">
            <v>563514079</v>
          </cell>
          <cell r="K24">
            <v>46255</v>
          </cell>
        </row>
        <row r="25">
          <cell r="A25" t="str">
            <v>Finalized</v>
          </cell>
          <cell r="B25" t="str">
            <v>PAID - Edited ordering provider, and resubmitted</v>
          </cell>
          <cell r="C25">
            <v>46268</v>
          </cell>
          <cell r="D25">
            <v>561864733</v>
          </cell>
          <cell r="K25">
            <v>46276</v>
          </cell>
        </row>
        <row r="26">
          <cell r="A26" t="str">
            <v>Denied</v>
          </cell>
          <cell r="B26" t="str">
            <v>Shift to PT - ABN signed - Bundled remark - Rep Mark confirmed that Integra is the delegated DME vendor for this PT -  Provider OON with Devoted - Ref # CALLX8R53SRA</v>
          </cell>
          <cell r="C26">
            <v>46162</v>
          </cell>
          <cell r="D26">
            <v>559115746</v>
          </cell>
          <cell r="K26">
            <v>46255</v>
          </cell>
        </row>
        <row r="27">
          <cell r="A27" t="str">
            <v>Under Review</v>
          </cell>
          <cell r="B27" t="str">
            <v>Still processing - ins received claim on 07/20/2026</v>
          </cell>
          <cell r="C27"/>
          <cell r="D27">
            <v>559374682</v>
          </cell>
          <cell r="K27"/>
        </row>
        <row r="28">
          <cell r="A28" t="str">
            <v>Finalized</v>
          </cell>
          <cell r="B28" t="str">
            <v xml:space="preserve">Billed to PT - ABN signed - PCP is the delegated DME vendor </v>
          </cell>
          <cell r="C28">
            <v>46170</v>
          </cell>
          <cell r="D28">
            <v>559761030</v>
          </cell>
          <cell r="K28">
            <v>46253</v>
          </cell>
        </row>
        <row r="29">
          <cell r="A29" t="str">
            <v>Denied</v>
          </cell>
          <cell r="B29" t="str">
            <v>Edited mod, and resubmitted</v>
          </cell>
          <cell r="C29">
            <v>46184</v>
          </cell>
          <cell r="D29">
            <v>559005954</v>
          </cell>
          <cell r="K29">
            <v>46253</v>
          </cell>
        </row>
        <row r="30">
          <cell r="A30" t="str">
            <v>Denied</v>
          </cell>
          <cell r="B30" t="str">
            <v>Edited rendering provider, and resubmitted</v>
          </cell>
          <cell r="C30">
            <v>46224</v>
          </cell>
          <cell r="D30">
            <v>559736857</v>
          </cell>
          <cell r="K30">
            <v>46253</v>
          </cell>
        </row>
        <row r="31">
          <cell r="A31" t="str">
            <v>Finalized</v>
          </cell>
          <cell r="B31" t="str">
            <v xml:space="preserve">Adjusted balance - No ABN signed  - PCP is the delegated DME vendor </v>
          </cell>
          <cell r="C31">
            <v>46195</v>
          </cell>
          <cell r="D31">
            <v>559737254</v>
          </cell>
          <cell r="K31">
            <v>46253</v>
          </cell>
        </row>
        <row r="32">
          <cell r="A32" t="str">
            <v>Finalized</v>
          </cell>
          <cell r="B32" t="str">
            <v xml:space="preserve">Billed to PT - ABN signed - No auth found - Auth missing denial </v>
          </cell>
          <cell r="C32">
            <v>46198</v>
          </cell>
          <cell r="D32">
            <v>559775347</v>
          </cell>
          <cell r="K32">
            <v>46253</v>
          </cell>
        </row>
        <row r="33">
          <cell r="A33" t="str">
            <v>Under Review</v>
          </cell>
          <cell r="B33" t="str">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ell>
          <cell r="C33">
            <v>46203</v>
          </cell>
          <cell r="D33">
            <v>562420138</v>
          </cell>
          <cell r="K33">
            <v>46255</v>
          </cell>
        </row>
        <row r="34">
          <cell r="A34" t="str">
            <v>Denied</v>
          </cell>
          <cell r="B34" t="str">
            <v>Rep Keran - Charges issue under review - Call ref # REQ0679770 - on claim 553079628</v>
          </cell>
          <cell r="C34">
            <v>46168</v>
          </cell>
          <cell r="D34">
            <v>559748258</v>
          </cell>
          <cell r="K34">
            <v>46244</v>
          </cell>
        </row>
        <row r="35">
          <cell r="A35" t="str">
            <v>Denied</v>
          </cell>
          <cell r="B35" t="str">
            <v>Rep Keran - Charges issue under review - Call ref # REQ0679770 - on claim 553079628</v>
          </cell>
          <cell r="C35">
            <v>46171</v>
          </cell>
          <cell r="D35">
            <v>559795824</v>
          </cell>
          <cell r="K35">
            <v>46244</v>
          </cell>
        </row>
      </sheetData>
      <sheetData sheetId="2">
        <row r="2">
          <cell r="A2" t="str">
            <v>Finalized</v>
          </cell>
          <cell r="B2" t="str">
            <v>37242 not covered by Aetna - consider experimental when dealing with knee pain</v>
          </cell>
          <cell r="C2">
            <v>46195</v>
          </cell>
          <cell r="D2">
            <v>561650229</v>
          </cell>
          <cell r="K2">
            <v>46248</v>
          </cell>
        </row>
        <row r="3">
          <cell r="A3" t="str">
            <v>Denied</v>
          </cell>
          <cell r="B3" t="str">
            <v>MBI typo corrected, and resubmitted</v>
          </cell>
          <cell r="C3">
            <v>46185</v>
          </cell>
          <cell r="D3">
            <v>561727580</v>
          </cell>
          <cell r="K3">
            <v>46255</v>
          </cell>
        </row>
        <row r="4">
          <cell r="A4" t="str">
            <v>PAID</v>
          </cell>
          <cell r="B4" t="str">
            <v>secondary - PENDING POSTING</v>
          </cell>
          <cell r="C4">
            <v>46252</v>
          </cell>
          <cell r="D4">
            <v>561726685</v>
          </cell>
          <cell r="K4">
            <v>46224</v>
          </cell>
        </row>
        <row r="5">
          <cell r="A5" t="str">
            <v>Finalized</v>
          </cell>
          <cell r="B5" t="str">
            <v>Adjusted balance - Auth was requested to Medicare and not Humana</v>
          </cell>
          <cell r="C5">
            <v>46187</v>
          </cell>
          <cell r="D5">
            <v>561728234</v>
          </cell>
          <cell r="K5">
            <v>46255</v>
          </cell>
        </row>
        <row r="6">
          <cell r="A6" t="str">
            <v>Denied</v>
          </cell>
          <cell r="B6" t="str">
            <v>Filed dispute on portal with MR</v>
          </cell>
          <cell r="C6">
            <v>46196</v>
          </cell>
          <cell r="D6">
            <v>561729597</v>
          </cell>
          <cell r="K6">
            <v>46256</v>
          </cell>
        </row>
        <row r="7">
          <cell r="A7" t="str">
            <v>Under Review</v>
          </cell>
          <cell r="B7" t="str">
            <v>Waiting for account to get activated again</v>
          </cell>
          <cell r="C7"/>
          <cell r="D7">
            <v>561650514</v>
          </cell>
          <cell r="K7"/>
        </row>
      </sheetData>
      <sheetData sheetId="3">
        <row r="2">
          <cell r="A2" t="str">
            <v>Denied</v>
          </cell>
          <cell r="B2" t="str">
            <v>Resubmitted with 63030+63035 - then rejected due to an invalid original claim number - Corrected and resubmitted</v>
          </cell>
          <cell r="C2">
            <v>46170</v>
          </cell>
          <cell r="D2">
            <v>559356030</v>
          </cell>
          <cell r="K2">
            <v>46247</v>
          </cell>
        </row>
        <row r="3">
          <cell r="A3" t="str">
            <v>Denied</v>
          </cell>
          <cell r="B3" t="str">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ell>
          <cell r="C3">
            <v>46252</v>
          </cell>
          <cell r="D3">
            <v>561233259</v>
          </cell>
          <cell r="K3">
            <v>46252</v>
          </cell>
        </row>
        <row r="4">
          <cell r="A4" t="str">
            <v>Finalized</v>
          </cell>
          <cell r="B4" t="str">
            <v>Auth only included 63650 - Adjusted 63685</v>
          </cell>
          <cell r="C4">
            <v>46170</v>
          </cell>
          <cell r="D4">
            <v>559340087</v>
          </cell>
          <cell r="K4">
            <v>46245</v>
          </cell>
        </row>
        <row r="5">
          <cell r="A5" t="str">
            <v>Denied</v>
          </cell>
          <cell r="B5" t="str">
            <v>Uploaded MR - PIQ-88975230</v>
          </cell>
          <cell r="C5">
            <v>46242</v>
          </cell>
          <cell r="D5">
            <v>561246589</v>
          </cell>
          <cell r="K5">
            <v>46245</v>
          </cell>
        </row>
        <row r="6">
          <cell r="A6" t="str">
            <v>Finalized</v>
          </cell>
          <cell r="B6" t="str">
            <v>Jess corrected member ID and resubmitted</v>
          </cell>
          <cell r="C6">
            <v>46231</v>
          </cell>
          <cell r="D6">
            <v>565698268</v>
          </cell>
          <cell r="K6">
            <v>46245</v>
          </cell>
        </row>
        <row r="7">
          <cell r="A7" t="str">
            <v>Denied</v>
          </cell>
          <cell r="B7" t="str">
            <v>Filed reconsideration with desicion ID # D606429361 - PIQ-89227438</v>
          </cell>
          <cell r="C7">
            <v>46219</v>
          </cell>
          <cell r="D7">
            <v>563202144</v>
          </cell>
          <cell r="K7">
            <v>46250</v>
          </cell>
        </row>
        <row r="8">
          <cell r="A8" t="str">
            <v>Denied</v>
          </cell>
          <cell r="B8" t="str">
            <v>Changed POS and location, used 24 instead of 11, updated location to ASAP SURGERY CENTERS NORTH VALLEY, and resubmitted</v>
          </cell>
          <cell r="C8">
            <v>46189</v>
          </cell>
          <cell r="D8">
            <v>561591684</v>
          </cell>
          <cell r="K8">
            <v>46250</v>
          </cell>
        </row>
        <row r="9">
          <cell r="A9" t="str">
            <v>Finalized</v>
          </cell>
          <cell r="B9" t="str">
            <v>Adjusted balance - Certificate Number 260506159813 was cancelled and it didn't say auth was not required - Auth for procedure 63030 and 63047 is required</v>
          </cell>
          <cell r="C9">
            <v>46164</v>
          </cell>
          <cell r="D9">
            <v>559152456</v>
          </cell>
          <cell r="K9">
            <v>46250</v>
          </cell>
        </row>
        <row r="10">
          <cell r="A10" t="str">
            <v>Pending</v>
          </cell>
          <cell r="B10" t="str">
            <v xml:space="preserve">Claim not found - Resubmitted - Asked April to print </v>
          </cell>
          <cell r="C10">
            <v>46184</v>
          </cell>
          <cell r="D10">
            <v>568765283</v>
          </cell>
          <cell r="K10">
            <v>46250</v>
          </cell>
        </row>
        <row r="11">
          <cell r="A11" t="str">
            <v>Finalized</v>
          </cell>
          <cell r="B11" t="str">
            <v xml:space="preserve">Shifted to PR as per EOB </v>
          </cell>
          <cell r="C11">
            <v>46171</v>
          </cell>
          <cell r="D11">
            <v>559655054</v>
          </cell>
          <cell r="K11">
            <v>46250</v>
          </cell>
        </row>
        <row r="12">
          <cell r="A12" t="str">
            <v>Finalized</v>
          </cell>
          <cell r="B12" t="str">
            <v>Adjusted balance - AUTH# A273499577 approval only include 63650</v>
          </cell>
          <cell r="C12">
            <v>46170</v>
          </cell>
          <cell r="D12">
            <v>559248529</v>
          </cell>
          <cell r="K12">
            <v>46252</v>
          </cell>
        </row>
        <row r="13">
          <cell r="A13" t="str">
            <v>Denied</v>
          </cell>
          <cell r="B13" t="str">
            <v>Deanne removed mod, and resubmitted</v>
          </cell>
          <cell r="C13">
            <v>46157</v>
          </cell>
          <cell r="D13">
            <v>558809263</v>
          </cell>
          <cell r="K13">
            <v>46246</v>
          </cell>
        </row>
        <row r="14">
          <cell r="A14" t="str">
            <v>Denied</v>
          </cell>
          <cell r="B14" t="str">
            <v>MBI updated on chart, and resubmitted</v>
          </cell>
          <cell r="C14">
            <v>46161</v>
          </cell>
          <cell r="D14">
            <v>569308141</v>
          </cell>
          <cell r="K14">
            <v>46254</v>
          </cell>
        </row>
        <row r="15">
          <cell r="A15" t="str">
            <v>Denied</v>
          </cell>
          <cell r="B15" t="str">
            <v>Filed appeal for 63685 - Confirmation Number: 2686931212 - TAT 60 days - Filed auth on Zyter - Auth # OPRJYT0825190856 - No auth found - Auth # QPBUGF0822223530</v>
          </cell>
          <cell r="C15">
            <v>46245</v>
          </cell>
          <cell r="D15">
            <v>559152944</v>
          </cell>
          <cell r="K15">
            <v>46259</v>
          </cell>
        </row>
        <row r="16">
          <cell r="A16" t="str">
            <v>Denied</v>
          </cell>
          <cell r="B16" t="str">
            <v>Added mod 79 on portal, and reopened claim - Confirmation Number: 4726237491810 - DND Bundled with 27279 DOS 02/13/2026</v>
          </cell>
          <cell r="C16">
            <v>46168</v>
          </cell>
          <cell r="D16">
            <v>559435670</v>
          </cell>
          <cell r="K16">
            <v>46259</v>
          </cell>
        </row>
        <row r="17">
          <cell r="A17" t="str">
            <v>Denied</v>
          </cell>
          <cell r="B17" t="str">
            <v>MBI updated on chart, and resubmitted</v>
          </cell>
          <cell r="C17">
            <v>46168</v>
          </cell>
          <cell r="D17">
            <v>559339992</v>
          </cell>
          <cell r="K17">
            <v>46259</v>
          </cell>
        </row>
        <row r="18">
          <cell r="A18" t="str">
            <v>Pending</v>
          </cell>
          <cell r="B18" t="str">
            <v>secondary - Added Medicare ICN, and crossover electronically</v>
          </cell>
          <cell r="C18">
            <v>46189</v>
          </cell>
          <cell r="D18">
            <v>560691343</v>
          </cell>
          <cell r="K18">
            <v>46256</v>
          </cell>
        </row>
        <row r="19">
          <cell r="A19" t="str">
            <v>Under Review</v>
          </cell>
          <cell r="B19" t="str">
            <v xml:space="preserve">Call ins - Bundled - but we have an auth for this one </v>
          </cell>
          <cell r="C19">
            <v>46162</v>
          </cell>
          <cell r="D19">
            <v>559115526</v>
          </cell>
          <cell r="K19"/>
        </row>
        <row r="20">
          <cell r="A20" t="str">
            <v>Denied</v>
          </cell>
          <cell r="B20" t="str">
            <v>Added mod 58, and resubmitted</v>
          </cell>
          <cell r="C20">
            <v>46170</v>
          </cell>
          <cell r="D20">
            <v>558165481</v>
          </cell>
          <cell r="K20">
            <v>46256</v>
          </cell>
        </row>
        <row r="21">
          <cell r="A21" t="str">
            <v>Under Review</v>
          </cell>
          <cell r="B21" t="str">
            <v xml:space="preserve">Expecting ins reply - DND as medical necessity - Jess sent MR </v>
          </cell>
          <cell r="C21">
            <v>46197</v>
          </cell>
          <cell r="D21">
            <v>558351506</v>
          </cell>
          <cell r="K21">
            <v>46177</v>
          </cell>
        </row>
        <row r="22">
          <cell r="A22" t="str">
            <v>Denied</v>
          </cell>
          <cell r="B22" t="str">
            <v>Removed 20936, and resubmited</v>
          </cell>
          <cell r="C22">
            <v>46262</v>
          </cell>
          <cell r="D22">
            <v>559605223</v>
          </cell>
          <cell r="K22">
            <v>46244</v>
          </cell>
        </row>
        <row r="23">
          <cell r="A23" t="str">
            <v>PAID</v>
          </cell>
          <cell r="B23" t="str">
            <v>PENDING POSTING</v>
          </cell>
          <cell r="C23">
            <v>46168</v>
          </cell>
          <cell r="D23">
            <v>558845008</v>
          </cell>
          <cell r="K23"/>
        </row>
      </sheetData>
      <sheetData sheetId="4">
        <row r="2">
          <cell r="A2" t="str">
            <v>Finalized</v>
          </cell>
          <cell r="B2" t="str">
            <v>Ordering provider Dr. Krause was notified of the dx issue - Continue with adjustments</v>
          </cell>
          <cell r="C2">
            <v>46182</v>
          </cell>
          <cell r="D2">
            <v>560709048</v>
          </cell>
          <cell r="K2">
            <v>46246</v>
          </cell>
        </row>
        <row r="3">
          <cell r="A3" t="str">
            <v>Denied</v>
          </cell>
          <cell r="B3" t="str">
            <v>Uploaded MR - PIQ-89018322</v>
          </cell>
          <cell r="C3">
            <v>46259</v>
          </cell>
          <cell r="D3">
            <v>560710074</v>
          </cell>
          <cell r="K3">
            <v>46246</v>
          </cell>
        </row>
        <row r="4">
          <cell r="A4" t="str">
            <v>Finalized</v>
          </cell>
          <cell r="B4" t="str">
            <v xml:space="preserve">Jess reached out to our team to post payment </v>
          </cell>
          <cell r="C4">
            <v>46175</v>
          </cell>
          <cell r="D4">
            <v>560711027</v>
          </cell>
          <cell r="K4">
            <v>46251</v>
          </cell>
        </row>
        <row r="5">
          <cell r="A5" t="str">
            <v>Denied</v>
          </cell>
          <cell r="B5" t="str">
            <v>Edited dx for 93970, and resubmitted</v>
          </cell>
          <cell r="C5">
            <v>46181</v>
          </cell>
          <cell r="D5">
            <v>560711490</v>
          </cell>
          <cell r="K5">
            <v>46250</v>
          </cell>
        </row>
        <row r="6">
          <cell r="A6" t="str">
            <v>Denied</v>
          </cell>
          <cell r="B6" t="str">
            <v>Edited dx for 93970, delete 93923, and resubmitted</v>
          </cell>
          <cell r="C6">
            <v>46177</v>
          </cell>
          <cell r="D6">
            <v>560713422</v>
          </cell>
          <cell r="K6">
            <v>46251</v>
          </cell>
        </row>
        <row r="7">
          <cell r="A7" t="str">
            <v>Finalized</v>
          </cell>
          <cell r="B7" t="str">
            <v>Adjusted balance - The ABI and TBI are not a standalone study. They're embedded inside the Arterial Duplex Lower Extremity report</v>
          </cell>
          <cell r="C7">
            <v>46185</v>
          </cell>
          <cell r="D7">
            <v>560032270</v>
          </cell>
          <cell r="K7">
            <v>46252</v>
          </cell>
        </row>
        <row r="8">
          <cell r="A8" t="str">
            <v>Denied</v>
          </cell>
          <cell r="B8" t="str">
            <v>Added mod XU, and resubmitted</v>
          </cell>
          <cell r="C8">
            <v>46182</v>
          </cell>
          <cell r="D8">
            <v>560058820</v>
          </cell>
          <cell r="K8">
            <v>46252</v>
          </cell>
        </row>
        <row r="9">
          <cell r="A9" t="str">
            <v>Denied</v>
          </cell>
          <cell r="B9" t="str">
            <v>Edited referring provider, and resubmitted</v>
          </cell>
          <cell r="C9">
            <v>46171</v>
          </cell>
          <cell r="D9">
            <v>560035724</v>
          </cell>
          <cell r="K9">
            <v>46257</v>
          </cell>
        </row>
        <row r="10">
          <cell r="A10" t="str">
            <v>Denied</v>
          </cell>
          <cell r="B10" t="str">
            <v>Corrected service line 1 on portal, used CPT code 93970 instead of 93923, and reopened claim - Confirmation Number: 4726237493100 - We billed 93923 on 2 separate service lines and missed 93970</v>
          </cell>
          <cell r="C10">
            <v>46203</v>
          </cell>
          <cell r="D10">
            <v>560069379</v>
          </cell>
          <cell r="K10">
            <v>46259</v>
          </cell>
        </row>
        <row r="11">
          <cell r="A11" t="str">
            <v>Finalized</v>
          </cell>
          <cell r="B11" t="str">
            <v>Secondary - PAID</v>
          </cell>
          <cell r="C11">
            <v>46245</v>
          </cell>
          <cell r="D11">
            <v>560072534</v>
          </cell>
          <cell r="K11">
            <v>46258</v>
          </cell>
        </row>
        <row r="12">
          <cell r="A12" t="str">
            <v>Denied</v>
          </cell>
          <cell r="B12" t="str">
            <v>Edited referring provider, and resubmitted</v>
          </cell>
          <cell r="C12">
            <v>46178</v>
          </cell>
          <cell r="D12">
            <v>560703801</v>
          </cell>
          <cell r="K12">
            <v>46257</v>
          </cell>
        </row>
        <row r="13">
          <cell r="A13" t="str">
            <v>Denied</v>
          </cell>
          <cell r="B13" t="str">
            <v>Edited referring and ordering providers, and resubmitted</v>
          </cell>
          <cell r="C13">
            <v>46178</v>
          </cell>
          <cell r="D13">
            <v>560707683</v>
          </cell>
          <cell r="K13">
            <v>46257</v>
          </cell>
        </row>
        <row r="14">
          <cell r="A14" t="str">
            <v>PAID</v>
          </cell>
          <cell r="B14" t="str">
            <v>PENDING POSTING - Payment approved - DMinker30A corrected claim and resubmitted on 08/03/2026</v>
          </cell>
          <cell r="C14">
            <v>46248</v>
          </cell>
          <cell r="D14">
            <v>567453889</v>
          </cell>
          <cell r="K14">
            <v>46237</v>
          </cell>
        </row>
        <row r="15">
          <cell r="A15" t="str">
            <v>Denied</v>
          </cell>
          <cell r="B15" t="str">
            <v>Uploaded MR - PIQ-88944138</v>
          </cell>
          <cell r="C15">
            <v>46170</v>
          </cell>
          <cell r="D15">
            <v>560081393</v>
          </cell>
          <cell r="K15">
            <v>46245</v>
          </cell>
        </row>
        <row r="16">
          <cell r="A16" t="str">
            <v>Denied</v>
          </cell>
          <cell r="B16" t="str">
            <v xml:space="preserve">93923 changed to 93922, and resubmitted - 93923 requires 3 levels and the document only reports ankle + toe = two levels - DND invalid CPT codes - April resubmitted by mail - DMinker30A uploaded MR </v>
          </cell>
          <cell r="C16">
            <v>46236</v>
          </cell>
          <cell r="D16">
            <v>564984009</v>
          </cell>
          <cell r="K16">
            <v>46259</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Pending</v>
          </cell>
          <cell r="B2" t="str">
            <v>secondary</v>
          </cell>
          <cell r="C2">
            <v>46225</v>
          </cell>
          <cell r="D2">
            <v>561646092</v>
          </cell>
          <cell r="K2">
            <v>46248</v>
          </cell>
        </row>
        <row r="3">
          <cell r="A3" t="str">
            <v>Finalized</v>
          </cell>
          <cell r="B3" t="str">
            <v xml:space="preserve">secondary - VA doesn't cover BH services - Primary paid </v>
          </cell>
          <cell r="C3">
            <v>46225</v>
          </cell>
          <cell r="D3">
            <v>561646907</v>
          </cell>
          <cell r="K3">
            <v>46284</v>
          </cell>
        </row>
        <row r="4">
          <cell r="A4" t="str">
            <v>Denied</v>
          </cell>
          <cell r="B4" t="str">
            <v>Added Date of Current Illness, claim note, and resubmitted - Prior CoCM on DOS 03/05/2026</v>
          </cell>
          <cell r="C4">
            <v>46231</v>
          </cell>
          <cell r="D4">
            <v>570976486</v>
          </cell>
          <cell r="K4">
            <v>46270</v>
          </cell>
        </row>
        <row r="5">
          <cell r="A5" t="str">
            <v>Denied</v>
          </cell>
          <cell r="B5" t="str">
            <v>Added mod 24, and resubmitted</v>
          </cell>
          <cell r="C5">
            <v>46220</v>
          </cell>
          <cell r="D5">
            <v>571031540</v>
          </cell>
          <cell r="K5">
            <v>46272</v>
          </cell>
        </row>
        <row r="6">
          <cell r="A6" t="str">
            <v>Under Review</v>
          </cell>
          <cell r="B6" t="str">
            <v xml:space="preserve">Start chat on UHC portal to check the rendering provider status </v>
          </cell>
          <cell r="C6">
            <v>46240</v>
          </cell>
          <cell r="D6">
            <v>562510277</v>
          </cell>
          <cell r="K6"/>
        </row>
        <row r="7">
          <cell r="A7" t="str">
            <v>Pending</v>
          </cell>
          <cell r="B7" t="str">
            <v xml:space="preserve">Jess uploaded MR </v>
          </cell>
          <cell r="C7"/>
          <cell r="D7">
            <v>562534504</v>
          </cell>
          <cell r="K7">
            <v>46279</v>
          </cell>
        </row>
        <row r="8">
          <cell r="A8" t="str">
            <v>Pending</v>
          </cell>
          <cell r="B8" t="str">
            <v>Uploaded MR - Action required on portal - PIQ-90437788</v>
          </cell>
          <cell r="C8"/>
          <cell r="D8">
            <v>562803289</v>
          </cell>
          <cell r="K8">
            <v>46272</v>
          </cell>
        </row>
        <row r="9">
          <cell r="A9" t="str">
            <v>Finalized</v>
          </cell>
          <cell r="B9" t="str">
            <v>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ell>
          <cell r="C9">
            <v>46238</v>
          </cell>
          <cell r="D9">
            <v>563023433</v>
          </cell>
          <cell r="K9">
            <v>46283</v>
          </cell>
        </row>
        <row r="10">
          <cell r="A10" t="str">
            <v>Pending</v>
          </cell>
          <cell r="B10" t="str">
            <v>Uploaded MR - PIQ-91193475</v>
          </cell>
          <cell r="C10"/>
          <cell r="D10">
            <v>563029504</v>
          </cell>
          <cell r="K10"/>
        </row>
        <row r="11">
          <cell r="A11" t="str">
            <v>Denied</v>
          </cell>
          <cell r="B11" t="str">
            <v>Claims Inquiry Message - #ICN#100015364807 has been sent</v>
          </cell>
          <cell r="C11"/>
          <cell r="D11">
            <v>565362589</v>
          </cell>
          <cell r="K11">
            <v>46284</v>
          </cell>
        </row>
        <row r="12">
          <cell r="A12" t="str">
            <v>Pending</v>
          </cell>
          <cell r="B12" t="str">
            <v>Uploaded MR - PIQ-91150157</v>
          </cell>
          <cell r="C12"/>
          <cell r="D12">
            <v>563477944</v>
          </cell>
          <cell r="K12">
            <v>46283</v>
          </cell>
        </row>
        <row r="13">
          <cell r="A13" t="str">
            <v>Denied</v>
          </cell>
          <cell r="B13" t="str">
            <v>Awaiting resolution on claim #556349314 (DOS 01/27/2026) before reprocessing</v>
          </cell>
          <cell r="C13">
            <v>46259</v>
          </cell>
          <cell r="D13">
            <v>563454979</v>
          </cell>
          <cell r="K13">
            <v>46284</v>
          </cell>
        </row>
        <row r="14">
          <cell r="A14" t="str">
            <v>Under Review</v>
          </cell>
          <cell r="B14" t="str">
            <v>secondary - Possible OP</v>
          </cell>
          <cell r="C14">
            <v>46267</v>
          </cell>
          <cell r="D14">
            <v>563716478</v>
          </cell>
          <cell r="K14">
            <v>46275</v>
          </cell>
        </row>
        <row r="15">
          <cell r="A15" t="str">
            <v>Finalized</v>
          </cell>
          <cell r="B15" t="str">
            <v>Adjusted balance - BH no covered by VA - DND Service date outside of the approved treatment plan service dates</v>
          </cell>
          <cell r="C15">
            <v>46265</v>
          </cell>
          <cell r="D15">
            <v>561204793</v>
          </cell>
          <cell r="K15">
            <v>46300</v>
          </cell>
        </row>
        <row r="16">
          <cell r="A16" t="str">
            <v>Rejected</v>
          </cell>
          <cell r="B16" t="str">
            <v>Deleted referring provider, added ordering provider, and resubmitted - Rejected - Referring Provider First and Last Name is invalid or missing</v>
          </cell>
          <cell r="C16"/>
          <cell r="D16">
            <v>562674720</v>
          </cell>
          <cell r="K16">
            <v>46300</v>
          </cell>
        </row>
        <row r="17">
          <cell r="A17" t="str">
            <v>Finalized</v>
          </cell>
          <cell r="B17" t="str">
            <v>PAID</v>
          </cell>
          <cell r="C17">
            <v>46275</v>
          </cell>
          <cell r="D17">
            <v>562882369</v>
          </cell>
          <cell r="K17">
            <v>46283</v>
          </cell>
        </row>
        <row r="18">
          <cell r="A18"/>
          <cell r="B18"/>
          <cell r="C18">
            <v>46225</v>
          </cell>
          <cell r="D18">
            <v>561218278</v>
          </cell>
          <cell r="K18"/>
        </row>
        <row r="19">
          <cell r="A19"/>
          <cell r="B19"/>
          <cell r="C19"/>
          <cell r="D19">
            <v>561646597</v>
          </cell>
          <cell r="K19"/>
        </row>
        <row r="20">
          <cell r="A20"/>
          <cell r="B20"/>
          <cell r="C20">
            <v>46226</v>
          </cell>
          <cell r="D20">
            <v>561886342</v>
          </cell>
          <cell r="K20"/>
        </row>
        <row r="21">
          <cell r="A21"/>
          <cell r="B21"/>
          <cell r="C21">
            <v>46226</v>
          </cell>
          <cell r="D21">
            <v>561898000</v>
          </cell>
          <cell r="K21"/>
        </row>
        <row r="22">
          <cell r="A22"/>
          <cell r="B22"/>
          <cell r="C22">
            <v>46225</v>
          </cell>
          <cell r="D22">
            <v>562843131</v>
          </cell>
          <cell r="K22"/>
        </row>
        <row r="23">
          <cell r="A23"/>
          <cell r="B23"/>
          <cell r="C23"/>
          <cell r="D23">
            <v>563651212</v>
          </cell>
          <cell r="K23"/>
        </row>
        <row r="24">
          <cell r="A24"/>
          <cell r="B24"/>
          <cell r="C24">
            <v>46225</v>
          </cell>
          <cell r="D24">
            <v>563782794</v>
          </cell>
          <cell r="K24"/>
        </row>
        <row r="25">
          <cell r="A25"/>
          <cell r="B25"/>
          <cell r="C25"/>
          <cell r="D25">
            <v>563850884</v>
          </cell>
          <cell r="K25"/>
        </row>
        <row r="26">
          <cell r="A26"/>
          <cell r="B26"/>
          <cell r="C26"/>
          <cell r="D26">
            <v>561024208</v>
          </cell>
          <cell r="K26"/>
        </row>
        <row r="27">
          <cell r="A27"/>
          <cell r="B27"/>
          <cell r="C27">
            <v>46218</v>
          </cell>
          <cell r="D27">
            <v>561219063</v>
          </cell>
          <cell r="K27"/>
        </row>
        <row r="28">
          <cell r="A28"/>
          <cell r="B28"/>
          <cell r="C28"/>
          <cell r="D28">
            <v>562198116</v>
          </cell>
          <cell r="K28"/>
        </row>
        <row r="29">
          <cell r="A29" t="str">
            <v>Under Review</v>
          </cell>
          <cell r="B29" t="str">
            <v>Waiting for account to get activated again</v>
          </cell>
          <cell r="C29"/>
          <cell r="D29">
            <v>562518339</v>
          </cell>
          <cell r="K29"/>
        </row>
        <row r="30">
          <cell r="A30"/>
          <cell r="B30"/>
          <cell r="C30"/>
          <cell r="D30">
            <v>562594958</v>
          </cell>
          <cell r="K30"/>
        </row>
        <row r="31">
          <cell r="A31" t="str">
            <v>Finalized</v>
          </cell>
          <cell r="B31" t="str">
            <v>PAID - Resubmitted to Optum - This was submitted to SCAN Health Plan initially and denied</v>
          </cell>
          <cell r="C31">
            <v>46282</v>
          </cell>
          <cell r="D31">
            <v>562803163</v>
          </cell>
          <cell r="K31">
            <v>46293</v>
          </cell>
        </row>
        <row r="32">
          <cell r="A32"/>
          <cell r="B32"/>
          <cell r="C32"/>
          <cell r="D32">
            <v>562862986</v>
          </cell>
          <cell r="K32"/>
        </row>
        <row r="33">
          <cell r="A33"/>
          <cell r="B33"/>
          <cell r="C33"/>
          <cell r="D33">
            <v>562903580</v>
          </cell>
          <cell r="K33"/>
        </row>
        <row r="34">
          <cell r="A34"/>
          <cell r="B34"/>
          <cell r="C34"/>
          <cell r="D34">
            <v>563421228</v>
          </cell>
          <cell r="K34"/>
        </row>
        <row r="35">
          <cell r="A35"/>
          <cell r="B35"/>
          <cell r="C35"/>
          <cell r="D35">
            <v>563470580</v>
          </cell>
          <cell r="K35"/>
        </row>
      </sheetData>
      <sheetData sheetId="1">
        <row r="2">
          <cell r="A2" t="str">
            <v>Denied</v>
          </cell>
          <cell r="B2" t="str">
            <v>Uploaded MR - Dispute ID PDXEFY2R66 - Rep Ria U said we needed to send medical records - Ref # CALLXZ3KC79Y</v>
          </cell>
          <cell r="C2">
            <v>46211</v>
          </cell>
          <cell r="D2">
            <v>564111540</v>
          </cell>
          <cell r="K2">
            <v>46254</v>
          </cell>
        </row>
        <row r="3">
          <cell r="A3" t="str">
            <v>Finalized</v>
          </cell>
          <cell r="B3" t="str">
            <v>ABN signed - $0.00 charges listed for A6010 in case insurance didn't pay</v>
          </cell>
          <cell r="C3">
            <v>46212</v>
          </cell>
          <cell r="D3">
            <v>562162337</v>
          </cell>
          <cell r="K3">
            <v>46272</v>
          </cell>
        </row>
        <row r="4">
          <cell r="A4" t="str">
            <v>Finalized</v>
          </cell>
          <cell r="B4" t="str">
            <v xml:space="preserve">Adjusted balance  - DND no auth </v>
          </cell>
          <cell r="C4">
            <v>46224</v>
          </cell>
          <cell r="D4">
            <v>563985783</v>
          </cell>
          <cell r="K4">
            <v>46276</v>
          </cell>
        </row>
        <row r="5">
          <cell r="A5" t="str">
            <v>Finalized</v>
          </cell>
          <cell r="B5" t="str">
            <v>Adjusted balance - A-code not covered under M2K plan</v>
          </cell>
          <cell r="C5">
            <v>46212</v>
          </cell>
          <cell r="D5">
            <v>562140119</v>
          </cell>
          <cell r="K5">
            <v>46272</v>
          </cell>
        </row>
        <row r="6">
          <cell r="A6" t="str">
            <v>Under Review</v>
          </cell>
          <cell r="B6" t="str">
            <v>Still processing - check again on 09/16/2026</v>
          </cell>
          <cell r="C6"/>
          <cell r="D6">
            <v>564662813</v>
          </cell>
          <cell r="K6"/>
        </row>
        <row r="7">
          <cell r="A7" t="str">
            <v>PAID</v>
          </cell>
          <cell r="B7" t="str">
            <v xml:space="preserve">Pending check </v>
          </cell>
          <cell r="C7">
            <v>46281</v>
          </cell>
          <cell r="D7">
            <v>562623275</v>
          </cell>
          <cell r="K7">
            <v>46274</v>
          </cell>
        </row>
        <row r="8">
          <cell r="A8" t="str">
            <v>Denied</v>
          </cell>
          <cell r="B8" t="str">
            <v>Filed reconsideration with MR - PIQ-90417169</v>
          </cell>
          <cell r="C8">
            <v>46239</v>
          </cell>
          <cell r="D8">
            <v>562698907</v>
          </cell>
          <cell r="K8">
            <v>46270</v>
          </cell>
        </row>
        <row r="9">
          <cell r="A9" t="str">
            <v>Under Review</v>
          </cell>
          <cell r="B9" t="str">
            <v xml:space="preserve">Waiting for bcbs alabama portal access - Jess sent MR throught fax </v>
          </cell>
          <cell r="C9">
            <v>46204</v>
          </cell>
          <cell r="D9">
            <v>562572005</v>
          </cell>
          <cell r="K9"/>
        </row>
        <row r="10">
          <cell r="A10" t="str">
            <v>Finalized</v>
          </cell>
          <cell r="B10" t="str">
            <v>Shifted charges to PT - ABN signed - no cover Acodes</v>
          </cell>
          <cell r="C10">
            <v>46202</v>
          </cell>
          <cell r="D10">
            <v>562729752</v>
          </cell>
          <cell r="K10">
            <v>46272</v>
          </cell>
        </row>
        <row r="11">
          <cell r="A11" t="str">
            <v>Under Review</v>
          </cell>
          <cell r="B11" t="str">
            <v>call ins and check provider status on dos - DND rendering provider OON</v>
          </cell>
          <cell r="C11">
            <v>46225</v>
          </cell>
          <cell r="D11">
            <v>562710031</v>
          </cell>
          <cell r="K11"/>
        </row>
        <row r="12">
          <cell r="A12" t="str">
            <v>Finalized</v>
          </cell>
          <cell r="B12" t="str">
            <v>Insurance paid - Edited insured's info, and resubmitted - DND Remark: Patient/Insured health identification number and name do not match</v>
          </cell>
          <cell r="C12">
            <v>46203</v>
          </cell>
          <cell r="D12">
            <v>571030818</v>
          </cell>
          <cell r="K12">
            <v>46282</v>
          </cell>
        </row>
        <row r="13">
          <cell r="A13" t="str">
            <v>Denied</v>
          </cell>
          <cell r="B13" t="str">
            <v>Shifted charges to PT - ABN signed - Non-coverage - Policy Number: MP.009.35</v>
          </cell>
          <cell r="C13">
            <v>46217</v>
          </cell>
          <cell r="D13">
            <v>563172458</v>
          </cell>
          <cell r="K13">
            <v>46262</v>
          </cell>
        </row>
        <row r="14">
          <cell r="A14" t="str">
            <v>Finalized</v>
          </cell>
          <cell r="B14" t="str">
            <v>Shifted to PT - ABN signed - No coverage - Policy Number: MP.009.35 - DND Acodes - PR_204 Patient Responsibility - This service/equipment/drug is not covered under the patient's current benefit plan</v>
          </cell>
          <cell r="C14">
            <v>46204</v>
          </cell>
          <cell r="D14">
            <v>563159449</v>
          </cell>
          <cell r="K14">
            <v>46282</v>
          </cell>
        </row>
        <row r="15">
          <cell r="A15" t="str">
            <v>Finalized</v>
          </cell>
          <cell r="B15" t="str">
            <v xml:space="preserve">Adjusted balance - no auth found - DND Acodes missing auth  </v>
          </cell>
          <cell r="C15">
            <v>46222</v>
          </cell>
          <cell r="D15">
            <v>563166125</v>
          </cell>
          <cell r="K15">
            <v>46282</v>
          </cell>
        </row>
        <row r="16">
          <cell r="A16" t="str">
            <v>Under Review</v>
          </cell>
          <cell r="B16" t="str">
            <v>DND Acodes Preferred Homecare is responsible for these services. Please submit the claim to Preferred Homecare for consideration.</v>
          </cell>
          <cell r="C16">
            <v>46204</v>
          </cell>
          <cell r="D16">
            <v>563182075</v>
          </cell>
          <cell r="K16"/>
        </row>
        <row r="17">
          <cell r="A17" t="str">
            <v>Finalized</v>
          </cell>
          <cell r="B17" t="str">
            <v xml:space="preserve">Adjusted balance - Acodes no covered with BCBS M2K - DND missing auth </v>
          </cell>
          <cell r="C17">
            <v>46210</v>
          </cell>
          <cell r="D17">
            <v>563202959</v>
          </cell>
          <cell r="K17">
            <v>46282</v>
          </cell>
        </row>
        <row r="18">
          <cell r="A18" t="str">
            <v>Denied</v>
          </cell>
          <cell r="B18" t="str">
            <v>Uploaded MR - Barcode OC2007391060002 - Confirmation ID 1000086071082</v>
          </cell>
          <cell r="C18">
            <v>46220</v>
          </cell>
          <cell r="D18">
            <v>564043829</v>
          </cell>
          <cell r="K18">
            <v>46282</v>
          </cell>
        </row>
        <row r="19">
          <cell r="A19" t="str">
            <v>Under Review</v>
          </cell>
          <cell r="B19" t="str">
            <v>DND Acodes Preferred Homecare is responsible for these services. Please submit the claim to Preferred Homecare for consideration. -Remark N216 We do not offer coverage for this type of service or the patient is not enrolled in this portion of our benefit package</v>
          </cell>
          <cell r="C19">
            <v>46211</v>
          </cell>
          <cell r="D19">
            <v>564105695</v>
          </cell>
          <cell r="K19"/>
        </row>
        <row r="20">
          <cell r="A20" t="str">
            <v>Finalized</v>
          </cell>
          <cell r="B20" t="str">
            <v xml:space="preserve">Adjusted balance - Acodes no covered with BCBS M2K - DND missing auth </v>
          </cell>
          <cell r="C20">
            <v>46243</v>
          </cell>
          <cell r="D20">
            <v>564106567</v>
          </cell>
          <cell r="K20">
            <v>46243</v>
          </cell>
        </row>
        <row r="21">
          <cell r="A21" t="str">
            <v>Denied</v>
          </cell>
          <cell r="B21" t="str">
            <v>Uploaded MR - Barcode OC2007391060001 - Confirmation ID 1000086072612</v>
          </cell>
          <cell r="C21">
            <v>46220</v>
          </cell>
          <cell r="D21">
            <v>564053524</v>
          </cell>
          <cell r="K21">
            <v>46282</v>
          </cell>
        </row>
        <row r="22">
          <cell r="A22" t="str">
            <v>Finalized</v>
          </cell>
          <cell r="B22" t="str">
            <v>Shifted to PT - ABN signed - No coverage - Policy Number: MP.009.35 - DND Acodes - PR_204 Patient Responsibility - This service/equipment/drug is not covered under the patient's current benefit plan</v>
          </cell>
          <cell r="C22">
            <v>46210</v>
          </cell>
          <cell r="D22">
            <v>564118055</v>
          </cell>
          <cell r="K22">
            <v>46283</v>
          </cell>
        </row>
        <row r="23">
          <cell r="A23" t="str">
            <v>Denied</v>
          </cell>
          <cell r="B23" t="str">
            <v>Added plan # FEP 105, and resubmitted - DND N245 Incomplete/invalid plan information for other insurance</v>
          </cell>
          <cell r="C23">
            <v>46210</v>
          </cell>
          <cell r="D23">
            <v>572251031</v>
          </cell>
          <cell r="K23">
            <v>46283</v>
          </cell>
        </row>
        <row r="24">
          <cell r="A24" t="str">
            <v>Finalized</v>
          </cell>
          <cell r="B24" t="str">
            <v xml:space="preserve">Shifted to PT - ABN signed - DND Acodes not covered - Deleted referring provider, and resubmitted - Rejected due to invalid EDI </v>
          </cell>
          <cell r="C24">
            <v>46289</v>
          </cell>
          <cell r="D24">
            <v>572251311</v>
          </cell>
          <cell r="K24">
            <v>46300</v>
          </cell>
        </row>
        <row r="25">
          <cell r="A25" t="str">
            <v>Denied</v>
          </cell>
          <cell r="B25" t="str">
            <v xml:space="preserve">Filed Reconsideration Request ID: TT2646380 - Authorization 19816932 denied  - DND missing auth </v>
          </cell>
          <cell r="C25">
            <v>46265</v>
          </cell>
          <cell r="D25">
            <v>567785138</v>
          </cell>
          <cell r="K25">
            <v>46283</v>
          </cell>
        </row>
        <row r="26">
          <cell r="A26" t="str">
            <v>Pending</v>
          </cell>
          <cell r="B26" t="str">
            <v xml:space="preserve">secondary - added COB info, and sent claim to print - Primary paid </v>
          </cell>
          <cell r="C26">
            <v>46204</v>
          </cell>
          <cell r="D26">
            <v>563158507</v>
          </cell>
          <cell r="K26">
            <v>46283</v>
          </cell>
        </row>
        <row r="27">
          <cell r="A27"/>
          <cell r="B27"/>
          <cell r="C27">
            <v>46192</v>
          </cell>
          <cell r="D27">
            <v>562134105</v>
          </cell>
          <cell r="K27"/>
        </row>
        <row r="28">
          <cell r="A28"/>
          <cell r="B28"/>
          <cell r="C28">
            <v>46211</v>
          </cell>
          <cell r="D28">
            <v>564103202</v>
          </cell>
          <cell r="K28"/>
        </row>
        <row r="29">
          <cell r="A29"/>
          <cell r="B29"/>
          <cell r="C29">
            <v>46188</v>
          </cell>
          <cell r="D29">
            <v>562148651</v>
          </cell>
          <cell r="K29"/>
        </row>
        <row r="30">
          <cell r="A30"/>
          <cell r="B30"/>
          <cell r="C30">
            <v>46195</v>
          </cell>
          <cell r="D30">
            <v>562696935</v>
          </cell>
          <cell r="K30"/>
        </row>
        <row r="31">
          <cell r="A31" t="str">
            <v>Finalized</v>
          </cell>
          <cell r="B31"/>
          <cell r="C31">
            <v>46217</v>
          </cell>
          <cell r="D31">
            <v>562140958</v>
          </cell>
          <cell r="K31"/>
        </row>
        <row r="32">
          <cell r="A32"/>
          <cell r="B32"/>
          <cell r="C32"/>
          <cell r="D32">
            <v>564672683</v>
          </cell>
          <cell r="K32"/>
        </row>
        <row r="33">
          <cell r="A33"/>
          <cell r="B33"/>
          <cell r="C33"/>
          <cell r="D33">
            <v>562699568</v>
          </cell>
          <cell r="K33"/>
        </row>
        <row r="34">
          <cell r="A34"/>
          <cell r="B34"/>
          <cell r="C34">
            <v>46211</v>
          </cell>
          <cell r="D34">
            <v>563177256</v>
          </cell>
          <cell r="K34"/>
        </row>
        <row r="35">
          <cell r="A35" t="str">
            <v>Finalized</v>
          </cell>
          <cell r="B35"/>
          <cell r="C35">
            <v>46211</v>
          </cell>
          <cell r="D35">
            <v>563164453</v>
          </cell>
          <cell r="K35"/>
        </row>
        <row r="36">
          <cell r="A36"/>
          <cell r="B36"/>
          <cell r="C36"/>
          <cell r="D36">
            <v>563203416</v>
          </cell>
          <cell r="K36"/>
        </row>
        <row r="37">
          <cell r="A37"/>
          <cell r="B37"/>
          <cell r="C37">
            <v>46268</v>
          </cell>
          <cell r="D37">
            <v>563163093</v>
          </cell>
          <cell r="K37"/>
        </row>
        <row r="38">
          <cell r="A38"/>
          <cell r="B38"/>
          <cell r="C38">
            <v>46209</v>
          </cell>
          <cell r="D38">
            <v>564042566</v>
          </cell>
          <cell r="K38"/>
        </row>
        <row r="39">
          <cell r="A39"/>
          <cell r="B39"/>
          <cell r="C39"/>
          <cell r="D39">
            <v>564112414</v>
          </cell>
          <cell r="K39"/>
        </row>
        <row r="40">
          <cell r="A40" t="str">
            <v>Finalized</v>
          </cell>
          <cell r="B40"/>
          <cell r="C40">
            <v>46219</v>
          </cell>
          <cell r="D40">
            <v>564117213</v>
          </cell>
          <cell r="K40"/>
        </row>
        <row r="41">
          <cell r="A41"/>
          <cell r="B41"/>
          <cell r="C41">
            <v>46224</v>
          </cell>
          <cell r="D41">
            <v>565309736</v>
          </cell>
          <cell r="K41"/>
        </row>
        <row r="42">
          <cell r="A42" t="str">
            <v>Under Review</v>
          </cell>
          <cell r="B42" t="str">
            <v>Waiting for account to get activated again</v>
          </cell>
          <cell r="C42"/>
          <cell r="D42">
            <v>562142694</v>
          </cell>
          <cell r="K42"/>
        </row>
        <row r="43">
          <cell r="A43" t="str">
            <v>Under Review</v>
          </cell>
          <cell r="B43" t="str">
            <v>Waiting for account to get activated again</v>
          </cell>
          <cell r="C43"/>
          <cell r="D43">
            <v>564106191</v>
          </cell>
          <cell r="K43"/>
        </row>
      </sheetData>
      <sheetData sheetId="2">
        <row r="2">
          <cell r="A2" t="str">
            <v>PAID</v>
          </cell>
          <cell r="B2" t="str">
            <v>PENDING POSTING</v>
          </cell>
          <cell r="C2">
            <v>46203</v>
          </cell>
          <cell r="D2">
            <v>562932517</v>
          </cell>
          <cell r="K2">
            <v>46203</v>
          </cell>
        </row>
        <row r="3">
          <cell r="A3" t="str">
            <v>Denied</v>
          </cell>
          <cell r="B3" t="str">
            <v>Filed reconsideration with MR for 76937 - PIQ-90417618 - DND 76937 Remark: N163 Medical record does not support code billed per the code definition - Jess uploaded MR</v>
          </cell>
          <cell r="C3">
            <v>46254</v>
          </cell>
          <cell r="D3">
            <v>565100484</v>
          </cell>
          <cell r="K3">
            <v>46270</v>
          </cell>
        </row>
        <row r="4">
          <cell r="A4" t="str">
            <v>Denied</v>
          </cell>
          <cell r="B4" t="str">
            <v>Uploaded MR - PIQ-90417669</v>
          </cell>
          <cell r="C4">
            <v>46268</v>
          </cell>
          <cell r="D4">
            <v>565101780</v>
          </cell>
          <cell r="K4">
            <v>46270</v>
          </cell>
        </row>
        <row r="5">
          <cell r="A5" t="str">
            <v>Denied</v>
          </cell>
          <cell r="B5" t="str">
            <v>Added mod RT to 36245, edited dxs order, and resubmitted</v>
          </cell>
          <cell r="C5">
            <v>46225</v>
          </cell>
          <cell r="D5">
            <v>570979060</v>
          </cell>
          <cell r="K5">
            <v>46270</v>
          </cell>
        </row>
        <row r="6">
          <cell r="A6" t="str">
            <v>PAID</v>
          </cell>
          <cell r="B6" t="str">
            <v>PENDING POSTING</v>
          </cell>
          <cell r="C6">
            <v>46224</v>
          </cell>
          <cell r="D6">
            <v>569910853</v>
          </cell>
          <cell r="K6">
            <v>46260</v>
          </cell>
        </row>
        <row r="7">
          <cell r="A7" t="str">
            <v>Denied</v>
          </cell>
          <cell r="B7" t="str">
            <v>Uploaded MR - PIQ-91109634</v>
          </cell>
          <cell r="C7">
            <v>46270</v>
          </cell>
          <cell r="D7">
            <v>565102380</v>
          </cell>
          <cell r="K7">
            <v>46282</v>
          </cell>
        </row>
        <row r="8">
          <cell r="A8" t="str">
            <v>Denied</v>
          </cell>
          <cell r="B8" t="str">
            <v>Uploaded MR - Request ID 36638918</v>
          </cell>
          <cell r="C8">
            <v>46240</v>
          </cell>
          <cell r="D8">
            <v>565108599</v>
          </cell>
          <cell r="K8">
            <v>46282</v>
          </cell>
        </row>
        <row r="9">
          <cell r="A9" t="str">
            <v>Denied</v>
          </cell>
          <cell r="B9" t="str">
            <v xml:space="preserve">Uploaded MR on portal - Request ID:36466407 - DND due to incomplete MR - Jess uploaded MR </v>
          </cell>
          <cell r="C9">
            <v>46262</v>
          </cell>
          <cell r="D9">
            <v>565098609</v>
          </cell>
          <cell r="K9">
            <v>46283</v>
          </cell>
        </row>
        <row r="10">
          <cell r="A10" t="str">
            <v>Pending</v>
          </cell>
          <cell r="B10" t="str">
            <v>Uploaded MR - PIQ-91178548</v>
          </cell>
          <cell r="C10">
            <v>46276</v>
          </cell>
          <cell r="D10">
            <v>566323995</v>
          </cell>
          <cell r="K10">
            <v>46283</v>
          </cell>
        </row>
        <row r="11">
          <cell r="A11" t="str">
            <v>Finalized</v>
          </cell>
          <cell r="B11"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1">
            <v>46238</v>
          </cell>
          <cell r="D11">
            <v>565101339</v>
          </cell>
          <cell r="K11">
            <v>46300</v>
          </cell>
        </row>
        <row r="12">
          <cell r="A12" t="str">
            <v>Finalized</v>
          </cell>
          <cell r="B12"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2">
            <v>46238</v>
          </cell>
          <cell r="D12">
            <v>565104933</v>
          </cell>
          <cell r="K12">
            <v>46300</v>
          </cell>
        </row>
        <row r="13">
          <cell r="A13" t="str">
            <v>Finalized</v>
          </cell>
          <cell r="B13"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3">
            <v>46238</v>
          </cell>
          <cell r="D13">
            <v>565098145</v>
          </cell>
          <cell r="K13">
            <v>46300</v>
          </cell>
        </row>
        <row r="14">
          <cell r="A14"/>
          <cell r="B14"/>
          <cell r="C14">
            <v>46225</v>
          </cell>
          <cell r="D14">
            <v>565108232</v>
          </cell>
          <cell r="K14"/>
        </row>
        <row r="15">
          <cell r="A15"/>
          <cell r="B15"/>
          <cell r="C15">
            <v>46225</v>
          </cell>
          <cell r="D15">
            <v>562932709</v>
          </cell>
          <cell r="K15"/>
        </row>
        <row r="16">
          <cell r="A16"/>
          <cell r="B16"/>
          <cell r="C16"/>
          <cell r="D16">
            <v>566102944</v>
          </cell>
          <cell r="K16"/>
        </row>
        <row r="17">
          <cell r="A17" t="str">
            <v>Denied</v>
          </cell>
          <cell r="B17" t="str">
            <v>Filed dispute ID PDX7G8WCG9 with MR</v>
          </cell>
          <cell r="C17">
            <v>46223</v>
          </cell>
          <cell r="D17">
            <v>565099868</v>
          </cell>
          <cell r="K17">
            <v>46252</v>
          </cell>
        </row>
      </sheetData>
      <sheetData sheetId="3">
        <row r="2">
          <cell r="A2" t="str">
            <v>Finalized</v>
          </cell>
          <cell r="B2" t="str">
            <v>Bri resubmitted to Devoted</v>
          </cell>
          <cell r="C2">
            <v>46232</v>
          </cell>
          <cell r="D2">
            <v>565931559</v>
          </cell>
          <cell r="K2">
            <v>46246</v>
          </cell>
        </row>
        <row r="3">
          <cell r="A3" t="str">
            <v>Denied</v>
          </cell>
          <cell r="B3" t="str">
            <v>Uploaded MR - PIQ-90435209</v>
          </cell>
          <cell r="C3">
            <v>46256</v>
          </cell>
          <cell r="D3">
            <v>562557056</v>
          </cell>
          <cell r="K3">
            <v>46272</v>
          </cell>
        </row>
        <row r="4">
          <cell r="A4" t="str">
            <v>Denied</v>
          </cell>
          <cell r="B4" t="str">
            <v>Uploaded MR - PIQ-90435089</v>
          </cell>
          <cell r="C4">
            <v>46254</v>
          </cell>
          <cell r="D4">
            <v>562559783</v>
          </cell>
          <cell r="K4">
            <v>46272</v>
          </cell>
        </row>
        <row r="5">
          <cell r="A5" t="str">
            <v>Pending</v>
          </cell>
          <cell r="B5" t="str">
            <v>Deleted service line 20936, and resubmitted</v>
          </cell>
          <cell r="C5"/>
          <cell r="D5">
            <v>570979198</v>
          </cell>
          <cell r="K5">
            <v>46270</v>
          </cell>
        </row>
        <row r="6">
          <cell r="A6" t="str">
            <v>Under Review</v>
          </cell>
          <cell r="B6" t="str">
            <v>Call ins to get bar code letter if needed and insights on denials</v>
          </cell>
          <cell r="C6">
            <v>46197</v>
          </cell>
          <cell r="D6">
            <v>562573309</v>
          </cell>
          <cell r="K6"/>
        </row>
        <row r="7">
          <cell r="A7" t="str">
            <v>Denied</v>
          </cell>
          <cell r="B7" t="str">
            <v>Uploaded MR on portal - Request ID: 36199963</v>
          </cell>
          <cell r="C7">
            <v>46236</v>
          </cell>
          <cell r="D7">
            <v>562578639</v>
          </cell>
          <cell r="K7">
            <v>46270</v>
          </cell>
        </row>
        <row r="8">
          <cell r="A8" t="str">
            <v>Under Review</v>
          </cell>
          <cell r="B8" t="str">
            <v>Call ins to get bar code letter if needed and insights on denials</v>
          </cell>
          <cell r="C8">
            <v>46197</v>
          </cell>
          <cell r="D8">
            <v>562086355</v>
          </cell>
          <cell r="K8"/>
        </row>
        <row r="9">
          <cell r="A9" t="str">
            <v>Finalized</v>
          </cell>
          <cell r="B9" t="str">
            <v>Edited insured's info, and resubmitted - DND Remark: Patient/Insured health identification number and name do not match</v>
          </cell>
          <cell r="C9">
            <v>46196</v>
          </cell>
          <cell r="D9">
            <v>570992620</v>
          </cell>
          <cell r="K9">
            <v>46271</v>
          </cell>
        </row>
        <row r="10">
          <cell r="A10" t="str">
            <v>Denied</v>
          </cell>
          <cell r="B10" t="str">
            <v>Added mods 79 and RT, and resubmitted - DND 27279 Remark N525 These services are not covered when performed within the global period of another service - Proc is included in the global period of HxProc 27279+LT on Claim ID RC3153710000 Line ID 1 on date of service 04/16/2026</v>
          </cell>
          <cell r="C10">
            <v>46197</v>
          </cell>
          <cell r="D10">
            <v>570992408</v>
          </cell>
          <cell r="K10">
            <v>46271</v>
          </cell>
        </row>
        <row r="11">
          <cell r="A11" t="str">
            <v>Pending</v>
          </cell>
          <cell r="B11" t="str">
            <v>Line with 20930 removed, and resubmitted</v>
          </cell>
          <cell r="C11"/>
          <cell r="D11">
            <v>571013418</v>
          </cell>
          <cell r="K11">
            <v>46272</v>
          </cell>
        </row>
        <row r="12">
          <cell r="A12" t="str">
            <v>Denied</v>
          </cell>
          <cell r="B12" t="str">
            <v>Uploaded MR - PIQ-91109484</v>
          </cell>
          <cell r="C12">
            <v>46272</v>
          </cell>
          <cell r="D12">
            <v>563839702</v>
          </cell>
          <cell r="K12">
            <v>46282</v>
          </cell>
        </row>
        <row r="13">
          <cell r="A13" t="str">
            <v>Pending</v>
          </cell>
          <cell r="B13" t="str">
            <v>Deleted referring provider, and resubmitted - Rejected for invalid EDI. reasons 1. invalid id dataelement text (2), see entity type qualifier at position 2, nmi, nm1dn2insurancexx1356950653</v>
          </cell>
          <cell r="C13"/>
          <cell r="D13">
            <v>572208778</v>
          </cell>
          <cell r="K13">
            <v>46283</v>
          </cell>
        </row>
        <row r="14">
          <cell r="A14" t="str">
            <v>Denied</v>
          </cell>
          <cell r="B14" t="str">
            <v>Filed Reconsideration Ticket Number: PIQ-91152640 - DND 63030 due too no auth</v>
          </cell>
          <cell r="C14">
            <v>46210</v>
          </cell>
          <cell r="D14">
            <v>563854100</v>
          </cell>
          <cell r="K14">
            <v>46283</v>
          </cell>
        </row>
        <row r="15">
          <cell r="A15" t="str">
            <v>Denied</v>
          </cell>
          <cell r="B15" t="str">
            <v xml:space="preserve">TFierro30 rebill with auth - DND missing auth </v>
          </cell>
          <cell r="C15">
            <v>46223</v>
          </cell>
          <cell r="D15">
            <v>563941508</v>
          </cell>
          <cell r="K15">
            <v>46284</v>
          </cell>
        </row>
        <row r="16">
          <cell r="A16" t="str">
            <v>Denied</v>
          </cell>
          <cell r="B16" t="str">
            <v xml:space="preserve">Jess uploaded MR </v>
          </cell>
          <cell r="C16">
            <v>46265</v>
          </cell>
          <cell r="D16">
            <v>564121445</v>
          </cell>
          <cell r="K16">
            <v>46259</v>
          </cell>
        </row>
        <row r="17">
          <cell r="A17" t="str">
            <v>Rejected</v>
          </cell>
          <cell r="B17" t="str">
            <v xml:space="preserve">Secondary - Deleted duplicated PR line, and resubmitted - Rejected Duplicate Line Level COB Adjustment Reason Code (PR) not allowed within the same Service Line (1) Adjustment Group for Insurance sequence (1). X12 Info- 2430-CAS - Primary paid </v>
          </cell>
          <cell r="C17">
            <v>46206</v>
          </cell>
          <cell r="D17">
            <v>561704073</v>
          </cell>
          <cell r="K17">
            <v>46300</v>
          </cell>
        </row>
        <row r="18">
          <cell r="A18" t="str">
            <v>Finalized</v>
          </cell>
          <cell r="B18" t="str">
            <v>PAID</v>
          </cell>
          <cell r="C18">
            <v>46218</v>
          </cell>
          <cell r="D18">
            <v>563836350</v>
          </cell>
          <cell r="K18">
            <v>46290</v>
          </cell>
        </row>
        <row r="19">
          <cell r="A19" t="str">
            <v>Finalized</v>
          </cell>
          <cell r="B19" t="str">
            <v xml:space="preserve">Adjusted balance - No auth on file - DND no auth </v>
          </cell>
          <cell r="C19">
            <v>46217</v>
          </cell>
          <cell r="D19">
            <v>563945778</v>
          </cell>
          <cell r="K19">
            <v>46300</v>
          </cell>
        </row>
        <row r="20">
          <cell r="A20" t="str">
            <v>Rejected</v>
          </cell>
          <cell r="B20" t="str">
            <v>Submitted claim on portal only with dx M4802 - Added auth # OP5257461084 - Claim Id: 852068025 - Confirmation ID is 843932557 - Rejected due to Diagnosis pointer invalid</v>
          </cell>
          <cell r="C20"/>
          <cell r="D20">
            <v>563845926</v>
          </cell>
          <cell r="K20">
            <v>46300</v>
          </cell>
        </row>
        <row r="21">
          <cell r="A21"/>
          <cell r="B21"/>
          <cell r="C21">
            <v>46232</v>
          </cell>
          <cell r="D21">
            <v>564581824</v>
          </cell>
          <cell r="K21"/>
        </row>
        <row r="22">
          <cell r="A22"/>
          <cell r="B22"/>
          <cell r="C22">
            <v>46253</v>
          </cell>
          <cell r="D22">
            <v>564529714</v>
          </cell>
          <cell r="K22"/>
        </row>
        <row r="23">
          <cell r="A23"/>
          <cell r="B23"/>
          <cell r="C23">
            <v>46188</v>
          </cell>
          <cell r="D23">
            <v>561270366</v>
          </cell>
          <cell r="K23"/>
        </row>
        <row r="24">
          <cell r="A24"/>
          <cell r="B24"/>
          <cell r="C24">
            <v>46195</v>
          </cell>
          <cell r="D24">
            <v>562554208</v>
          </cell>
          <cell r="K24"/>
        </row>
        <row r="25">
          <cell r="A25"/>
          <cell r="B25"/>
          <cell r="C25">
            <v>46218</v>
          </cell>
          <cell r="D25">
            <v>564087324</v>
          </cell>
          <cell r="K25"/>
        </row>
        <row r="26">
          <cell r="A26" t="str">
            <v>Under Review</v>
          </cell>
          <cell r="B26" t="str">
            <v>Waiting for account to get activated again</v>
          </cell>
          <cell r="C26"/>
          <cell r="D26">
            <v>563830748</v>
          </cell>
          <cell r="K26"/>
        </row>
        <row r="27">
          <cell r="A27"/>
          <cell r="B27"/>
          <cell r="C27"/>
          <cell r="D27">
            <v>564560469</v>
          </cell>
          <cell r="K27"/>
        </row>
      </sheetData>
      <sheetData sheetId="4">
        <row r="2">
          <cell r="A2" t="str">
            <v>Denied</v>
          </cell>
          <cell r="B2" t="str">
            <v>Edited dx codes for 93970 - Included dxs I83893, R600, and resubmitted</v>
          </cell>
          <cell r="C2">
            <v>46203</v>
          </cell>
          <cell r="D2">
            <v>570988442</v>
          </cell>
          <cell r="K2">
            <v>46271</v>
          </cell>
        </row>
        <row r="3">
          <cell r="A3" t="str">
            <v>Finalized</v>
          </cell>
          <cell r="B3" t="str">
            <v xml:space="preserve">PAID - Adjusted balance </v>
          </cell>
          <cell r="C3">
            <v>46273</v>
          </cell>
          <cell r="D3">
            <v>563010537</v>
          </cell>
          <cell r="K3">
            <v>46284</v>
          </cell>
        </row>
        <row r="4">
          <cell r="A4" t="str">
            <v>Pending</v>
          </cell>
          <cell r="B4" t="str">
            <v>Uploaded MR - PIQ-90672316</v>
          </cell>
          <cell r="C4"/>
          <cell r="D4">
            <v>563023143</v>
          </cell>
          <cell r="K4">
            <v>46275</v>
          </cell>
        </row>
        <row r="5">
          <cell r="A5" t="str">
            <v>Denied</v>
          </cell>
          <cell r="B5" t="str">
            <v>Uploaded MR - PIQ-90420851</v>
          </cell>
          <cell r="C5">
            <v>46247</v>
          </cell>
          <cell r="D5">
            <v>563060686</v>
          </cell>
          <cell r="K5">
            <v>46271</v>
          </cell>
        </row>
        <row r="6">
          <cell r="A6" t="str">
            <v>Denied</v>
          </cell>
          <cell r="B6" t="str">
            <v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ell>
          <cell r="C6">
            <v>46204</v>
          </cell>
          <cell r="D6">
            <v>563063291</v>
          </cell>
          <cell r="K6">
            <v>46300</v>
          </cell>
        </row>
        <row r="7">
          <cell r="A7" t="str">
            <v>Finalized</v>
          </cell>
          <cell r="B7" t="str">
            <v>PAID - Removed Dx I872, and resubmitted</v>
          </cell>
          <cell r="C7">
            <v>46202</v>
          </cell>
          <cell r="D7">
            <v>570990107</v>
          </cell>
          <cell r="K7">
            <v>46282</v>
          </cell>
        </row>
        <row r="8">
          <cell r="A8" t="str">
            <v>Pending</v>
          </cell>
          <cell r="B8" t="str">
            <v>Uploaded MR - Pending Claim Ticket: PIQ-90513385</v>
          </cell>
          <cell r="C8"/>
          <cell r="D8">
            <v>564069244</v>
          </cell>
          <cell r="K8">
            <v>46273</v>
          </cell>
        </row>
        <row r="9">
          <cell r="A9" t="str">
            <v>Pending</v>
          </cell>
          <cell r="B9" t="str">
            <v>secondary</v>
          </cell>
          <cell r="C9">
            <v>46280</v>
          </cell>
          <cell r="D9">
            <v>564070165</v>
          </cell>
          <cell r="K9">
            <v>46204</v>
          </cell>
        </row>
        <row r="10">
          <cell r="A10" t="str">
            <v>Finalized</v>
          </cell>
          <cell r="B10" t="str">
            <v>Adjusted balance - The ABI and TBI are not a standalone study. They're embedded inside the Arterial Duplex Lower Extremity report - DND 93923 Remark Mutually exclusive procedures cannot be done in the same day/setting</v>
          </cell>
          <cell r="C10">
            <v>46227</v>
          </cell>
          <cell r="D10">
            <v>563071059</v>
          </cell>
          <cell r="K10">
            <v>46300</v>
          </cell>
        </row>
        <row r="11">
          <cell r="A11" t="str">
            <v>Denied</v>
          </cell>
          <cell r="B11" t="str">
            <v>Added referral #, and resubmitted - DND - Remark R1PRF invalid referral format. referrals beginning with UC, VA0 or VA9 must contain 12 digits. referrals beginning with 00 must contain 10 numeric digits.</v>
          </cell>
          <cell r="C11">
            <v>46237</v>
          </cell>
          <cell r="D11">
            <v>564059272</v>
          </cell>
          <cell r="K11">
            <v>46300</v>
          </cell>
        </row>
        <row r="12">
          <cell r="A12"/>
          <cell r="B12"/>
          <cell r="C12">
            <v>46202</v>
          </cell>
          <cell r="D12">
            <v>563006512</v>
          </cell>
          <cell r="K12"/>
        </row>
        <row r="13">
          <cell r="A13"/>
          <cell r="B13"/>
          <cell r="C13">
            <v>46202</v>
          </cell>
          <cell r="D13">
            <v>563068412</v>
          </cell>
          <cell r="K13"/>
        </row>
        <row r="14">
          <cell r="A14"/>
          <cell r="B14"/>
          <cell r="C14">
            <v>46212</v>
          </cell>
          <cell r="D14">
            <v>564058406</v>
          </cell>
          <cell r="K14"/>
        </row>
        <row r="15">
          <cell r="A15" t="str">
            <v>Finalized</v>
          </cell>
          <cell r="B15" t="str">
            <v>PAID - Delete 93923 that's bundling, and resubmitted -  93923 billed on claim 568263929</v>
          </cell>
          <cell r="C15">
            <v>46198</v>
          </cell>
          <cell r="D15">
            <v>568262814</v>
          </cell>
          <cell r="K15">
            <v>46261</v>
          </cell>
        </row>
        <row r="16">
          <cell r="A16"/>
          <cell r="B16"/>
          <cell r="C16">
            <v>46220</v>
          </cell>
          <cell r="D16">
            <v>563009396</v>
          </cell>
          <cell r="K16"/>
        </row>
        <row r="17">
          <cell r="A17" t="str">
            <v>Finalized</v>
          </cell>
          <cell r="B17" t="str">
            <v xml:space="preserve">PAID - Resubmitted to Optum - The claim was denied due to missrouted claim - Claim was initially submitted to SCAN Health Plan </v>
          </cell>
          <cell r="C17">
            <v>46278</v>
          </cell>
          <cell r="D17">
            <v>571160597</v>
          </cell>
          <cell r="K17">
            <v>46288</v>
          </cell>
        </row>
        <row r="18">
          <cell r="A18"/>
          <cell r="B18"/>
          <cell r="C18">
            <v>46220</v>
          </cell>
          <cell r="D18">
            <v>563069183</v>
          </cell>
          <cell r="K18"/>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A46"/>
  <sheetViews>
    <sheetView showGridLines="0" workbookViewId="0">
      <selection activeCell="A23" sqref="A23"/>
    </sheetView>
  </sheetViews>
  <sheetFormatPr defaultRowHeight="15" x14ac:dyDescent="0.25"/>
  <cols>
    <col min="1" max="1" width="118" customWidth="1"/>
  </cols>
  <sheetData>
    <row r="1" spans="1:1" ht="18.75" x14ac:dyDescent="0.25">
      <c r="A1" s="1" t="s">
        <v>0</v>
      </c>
    </row>
    <row r="2" spans="1:1" x14ac:dyDescent="0.25">
      <c r="A2" s="2"/>
    </row>
    <row r="3" spans="1:1" x14ac:dyDescent="0.25">
      <c r="A3" s="2" t="str">
        <f>"Every one of the "&amp;COUNTA('All Claims'!$D$2:$D$2000)&amp;" claims for 2026 S1, all specialties and all six months in one place, on the 'All Claims' tab."</f>
        <v>Every one of the 476 claims for 2026 S1, all specialties and all six months in one place, on the 'All Claims' tab.</v>
      </c>
    </row>
    <row r="4" spans="1:1" x14ac:dyDescent="0.25">
      <c r="A4" s="2"/>
    </row>
    <row r="5" spans="1:1" x14ac:dyDescent="0.25">
      <c r="A5" s="3" t="s">
        <v>2</v>
      </c>
    </row>
    <row r="6" spans="1:1" ht="45" x14ac:dyDescent="0.25">
      <c r="A6" s="2" t="s">
        <v>3</v>
      </c>
    </row>
    <row r="7" spans="1:1" x14ac:dyDescent="0.25">
      <c r="A7" s="2" t="str">
        <f>"    1 - Due in 5 days or less: "&amp;COUNTIFS('All Claims'!$L$2:$L$2000,"&gt;=0",'All Claims'!$L$2:$L$2000,"&lt;=5")</f>
        <v>    1 - Due in 5 days or less: 0</v>
      </c>
    </row>
    <row r="8" spans="1:1" x14ac:dyDescent="0.25">
      <c r="A8" s="2" t="str">
        <f>"    2 - Due in 6-30 days: "&amp;COUNTIFS('All Claims'!$L$2:$L$2000,"&gt;5",'All Claims'!$L$2:$L$2000,"&lt;=30")</f>
        <v>    2 - Due in 6-30 days: 5</v>
      </c>
    </row>
    <row r="9" spans="1:1" x14ac:dyDescent="0.25">
      <c r="A9" s="2" t="str">
        <f>"    3 - Due in 31+ days: "&amp;COUNTIFS('All Claims'!$L$2:$L$2000,"&gt;30")</f>
        <v>    3 - Due in 31+ days: 123</v>
      </c>
    </row>
    <row r="10" spans="1:1" x14ac:dyDescent="0.25">
      <c r="A10" s="2" t="str">
        <f>"    4 - Past deadline: "&amp;COUNTIFS('All Claims'!$L$2:$L$2000,"&lt;0")</f>
        <v>    4 - Past deadline: 210</v>
      </c>
    </row>
    <row r="11" spans="1:1" x14ac:dyDescent="0.25">
      <c r="A11" s="2" t="str">
        <f>"    5 - No limit on file: "&amp;SUMPRODUCT(('All Claims'!$D$2:$D$2000&lt;&gt;"")*('All Claims'!$L$2:$L$2000="")*(1-(TRIM('All Claims'!$A$2:$A$2000)="Finalized")*('All Claims'!$K$2:$K$2000&lt;&gt;"")))</f>
        <v>    5 - No limit on file: 42</v>
      </c>
    </row>
    <row r="12" spans="1:1" x14ac:dyDescent="0.25">
      <c r="A12" s="2"/>
    </row>
    <row r="13" spans="1:1" ht="45" x14ac:dyDescent="0.25">
      <c r="A13" s="2" t="s">
        <v>9</v>
      </c>
    </row>
    <row r="14" spans="1:1" x14ac:dyDescent="0.25">
      <c r="A14" s="2"/>
    </row>
    <row r="15" spans="1:1" x14ac:dyDescent="0.25">
      <c r="A15" s="3" t="s">
        <v>10</v>
      </c>
    </row>
    <row r="16" spans="1:1" ht="45" x14ac:dyDescent="0.25">
      <c r="A16" s="2" t="s">
        <v>11</v>
      </c>
    </row>
    <row r="17" spans="1:1" ht="30" x14ac:dyDescent="0.25">
      <c r="A17" s="2" t="s">
        <v>12</v>
      </c>
    </row>
    <row r="18" spans="1:1" ht="30" x14ac:dyDescent="0.25">
      <c r="A18" s="2" t="s">
        <v>13</v>
      </c>
    </row>
    <row r="19" spans="1:1" ht="45" x14ac:dyDescent="0.25">
      <c r="A19" s="2" t="s">
        <v>14</v>
      </c>
    </row>
    <row r="20" spans="1:1" x14ac:dyDescent="0.25">
      <c r="A20" s="2"/>
    </row>
    <row r="21" spans="1:1" x14ac:dyDescent="0.25">
      <c r="A21" s="3" t="s">
        <v>15</v>
      </c>
    </row>
    <row r="22" spans="1:1" ht="45" x14ac:dyDescent="0.25">
      <c r="A22" s="2" t="s">
        <v>16</v>
      </c>
    </row>
    <row r="23" spans="1:1" x14ac:dyDescent="0.25">
      <c r="A23" s="2"/>
    </row>
    <row r="24" spans="1:1" x14ac:dyDescent="0.25">
      <c r="A24" s="3" t="s">
        <v>17</v>
      </c>
    </row>
    <row r="25" spans="1:1" x14ac:dyDescent="0.25">
      <c r="A25" s="2" t="s">
        <v>18</v>
      </c>
    </row>
    <row r="26" spans="1:1" x14ac:dyDescent="0.25">
      <c r="A26" s="2" t="s">
        <v>19</v>
      </c>
    </row>
    <row r="27" spans="1:1" x14ac:dyDescent="0.25">
      <c r="A27" s="2" t="s">
        <v>20</v>
      </c>
    </row>
    <row r="28" spans="1:1" x14ac:dyDescent="0.25">
      <c r="A28" s="2" t="s">
        <v>21</v>
      </c>
    </row>
    <row r="29" spans="1:1" x14ac:dyDescent="0.25">
      <c r="A29" s="2" t="s">
        <v>22</v>
      </c>
    </row>
    <row r="30" spans="1:1" x14ac:dyDescent="0.25">
      <c r="A30" s="2" t="s">
        <v>23</v>
      </c>
    </row>
    <row r="31" spans="1:1" x14ac:dyDescent="0.25">
      <c r="A31" s="2"/>
    </row>
    <row r="32" spans="1:1" x14ac:dyDescent="0.25">
      <c r="A32" s="2" t="s">
        <v>24</v>
      </c>
    </row>
    <row r="33" spans="1:1" x14ac:dyDescent="0.25">
      <c r="A33" s="2" t="s">
        <v>25</v>
      </c>
    </row>
    <row r="34" spans="1:1">
      <c r="A34" s="2"/>
    </row>
    <row r="35" spans="1:1">
      <c r="A35" s="3" t="inlineStr">
        <is>
          <t xml:space="preserve">Row colours by Claim Status</t>
        </is>
      </c>
    </row>
    <row r="36" spans="1:1" ht="45" customHeight="1">
      <c r="A36" s="2"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37" spans="1:1">
      <c r="A37" s="2" t="inlineStr">
        <is>
          <t xml:space="preserve">    PAID - green</t>
        </is>
      </c>
    </row>
    <row r="38" spans="1:1">
      <c r="A38" s="2" t="inlineStr">
        <is>
          <t xml:space="preserve">    Finalized - blue</t>
        </is>
      </c>
    </row>
    <row r="39" spans="1:1">
      <c r="A39" s="2" t="inlineStr">
        <is>
          <t xml:space="preserve">    Received - lavender</t>
        </is>
      </c>
    </row>
    <row r="40" spans="1:1">
      <c r="A40" s="2" t="inlineStr">
        <is>
          <t xml:space="preserve">    Pending - yellow</t>
        </is>
      </c>
    </row>
    <row r="41" spans="1:1">
      <c r="A41" s="2" t="inlineStr">
        <is>
          <t xml:space="preserve">    Under Review - bright orange, bold (follow up on these)</t>
        </is>
      </c>
    </row>
    <row r="42" spans="1:1">
      <c r="A42" s="2" t="inlineStr">
        <is>
          <t xml:space="preserve">    Denied, not worked yet (Latest Date Worked empty) - red</t>
        </is>
      </c>
    </row>
    <row r="43" spans="1:1">
      <c r="A43" s="2" t="inlineStr">
        <is>
          <t xml:space="preserve">    Rejected - pink</t>
        </is>
      </c>
    </row>
    <row r="44" spans="1:1">
      <c r="A44" s="2" t="inlineStr">
        <is>
          <t xml:space="preserve">    Not found - grey</t>
        </is>
      </c>
    </row>
    <row r="45" spans="1:1">
      <c r="A45" s="2" t="inlineStr">
        <is>
          <t xml:space="preserve">    Denied, already worked (Latest Date Worked filled in) - light pink</t>
        </is>
      </c>
    </row>
    <row r="46" spans="1:1">
      <c r="A46" s="2" t="inlineStr">
        <is>
          <t xml:space="preserve">Any other status is left unshaded.</t>
        </is>
      </c>
    </row>
  </sheetData>
  <conditionalFormatting sqref="A37">
    <cfRule type="expression" dxfId="15" priority="1">
      <formula>TRUE</formula>
    </cfRule>
  </conditionalFormatting>
  <conditionalFormatting sqref="A38">
    <cfRule type="expression" dxfId="16" priority="2">
      <formula>TRUE</formula>
    </cfRule>
  </conditionalFormatting>
  <conditionalFormatting sqref="A39">
    <cfRule type="expression" dxfId="17" priority="3">
      <formula>TRUE</formula>
    </cfRule>
  </conditionalFormatting>
  <conditionalFormatting sqref="A40">
    <cfRule type="expression" dxfId="18" priority="4">
      <formula>TRUE</formula>
    </cfRule>
  </conditionalFormatting>
  <conditionalFormatting sqref="A41">
    <cfRule type="expression" dxfId="19" priority="5">
      <formula>TRUE</formula>
    </cfRule>
  </conditionalFormatting>
  <conditionalFormatting sqref="A42">
    <cfRule type="expression" dxfId="20" priority="6">
      <formula>TRUE</formula>
    </cfRule>
  </conditionalFormatting>
  <conditionalFormatting sqref="A43">
    <cfRule type="expression" dxfId="21" priority="7">
      <formula>TRUE</formula>
    </cfRule>
  </conditionalFormatting>
  <conditionalFormatting sqref="A44">
    <cfRule type="expression" dxfId="22" priority="8">
      <formula>TRUE</formula>
    </cfRule>
  </conditionalFormatting>
  <conditionalFormatting sqref="A45">
    <cfRule type="expression" dxfId="23" priority="9">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477"/>
  <sheetViews>
    <sheetView tabSelected="1" zoomScale="90" workbookViewId="0">
      <pane xSplit="2" ySplit="1" topLeftCell="C2" activePane="bottomRight" state="frozen"/>
      <selection pane="topRight"/>
      <selection pane="bottomLeft"/>
      <selection pane="bottomRight" activeCell="G32" sqref="G32"/>
    </sheetView>
  </sheetViews>
  <sheetFormatPr defaultRowHeight="15" x14ac:dyDescent="0.25"/>
  <cols>
    <col min="1" max="1" width="14" customWidth="1"/>
    <col min="2" max="2" width="46.7109375" customWidth="1"/>
    <col min="3" max="3" width="15" customWidth="1"/>
    <col min="4" max="4" width="18" customWidth="1"/>
    <col min="5" max="5" width="14" customWidth="1"/>
    <col min="6" max="6" width="16.42578125" bestFit="1" customWidth="1"/>
    <col min="7" max="8" width="37.85546875" customWidth="1"/>
    <col min="9" max="9" width="28.28515625" hidden="1" customWidth="1"/>
    <col min="10" max="10" width="31.7109375" customWidth="1"/>
    <col min="11" max="11" width="16.140625" bestFit="1" customWidth="1"/>
    <col min="12" max="12" width="12" customWidth="1"/>
    <col min="13" max="13" width="19.85546875" customWidth="1"/>
    <col min="14" max="14" width="19.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2" width="18" hidden="1" customWidth="1"/>
    <col min="23" max="26" width="11" customWidth="1"/>
    <col min="27" max="27" width="10" customWidth="1"/>
    <col min="28" max="28" width="15" customWidth="1"/>
    <col min="29" max="29" width="12" customWidth="1"/>
    <col min="30" max="30" width="19" customWidth="1"/>
    <col min="31" max="31" width="22" customWidth="1"/>
    <col min="32" max="32" width="19" customWidth="1"/>
    <col min="33" max="33" width="24" customWidth="1"/>
    <col min="34" max="37" width="16" customWidth="1"/>
    <col min="38" max="38" width="20" customWidth="1"/>
    <col min="39" max="39" width="22" customWidth="1"/>
    <col min="40" max="40" width="24" customWidth="1"/>
    <col min="41" max="41" width="14" customWidth="1"/>
  </cols>
  <sheetData>
    <row r="1" spans="1:41" ht="30" customHeight="1"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4" t="s">
        <v>45</v>
      </c>
      <c r="U1" s="4" t="s">
        <v>46</v>
      </c>
      <c r="V1" s="4" t="s">
        <v>47</v>
      </c>
      <c r="W1" s="4" t="s">
        <v>48</v>
      </c>
      <c r="X1" s="4" t="s">
        <v>49</v>
      </c>
      <c r="Y1" s="4" t="s">
        <v>50</v>
      </c>
      <c r="Z1" s="4" t="s">
        <v>51</v>
      </c>
      <c r="AA1" s="4" t="s">
        <v>52</v>
      </c>
      <c r="AB1" s="4" t="s">
        <v>53</v>
      </c>
      <c r="AC1" s="4" t="s">
        <v>54</v>
      </c>
      <c r="AD1" s="4" t="s">
        <v>55</v>
      </c>
      <c r="AE1" s="4" t="s">
        <v>56</v>
      </c>
      <c r="AF1" s="4" t="s">
        <v>57</v>
      </c>
      <c r="AG1" s="4" t="s">
        <v>58</v>
      </c>
      <c r="AH1" s="4" t="s">
        <v>59</v>
      </c>
      <c r="AI1" s="4" t="s">
        <v>60</v>
      </c>
      <c r="AJ1" s="4" t="s">
        <v>61</v>
      </c>
      <c r="AK1" s="4" t="s">
        <v>62</v>
      </c>
      <c r="AL1" s="4" t="s">
        <v>63</v>
      </c>
      <c r="AM1" s="4" t="s">
        <v>64</v>
      </c>
      <c r="AN1" s="4" t="s">
        <v>65</v>
      </c>
      <c r="AO1" s="4" t="s">
        <v>66</v>
      </c>
    </row>
    <row r="2" spans="1:41" x14ac:dyDescent="0.25">
      <c r="A2" s="5" t="str">
        <f>IFERROR(IF(INDEX([1]ORTHO!$A$2:$A$10,MATCH($D2,[1]ORTHO!$D$2:$D$10,0))="","",INDEX([1]ORTHO!$A$2:$A$10,MATCH($D2,[1]ORTHO!$D$2:$D$10,0))),"")</f>
        <v/>
      </c>
      <c r="B2" s="5" t="str">
        <f>IFERROR(IF(INDEX([1]ORTHO!$B$2:$B$10,MATCH($D2,[1]ORTHO!$D$2:$D$10,0))="","",INDEX([1]ORTHO!$B$2:$B$10,MATCH($D2,[1]ORTHO!$D$2:$D$10,0))),"")</f>
        <v/>
      </c>
      <c r="C2" s="6" t="str">
        <f>IFERROR(IF(INDEX([1]ORTHO!$C$2:$C$10,MATCH($D2,[1]ORTHO!$D$2:$D$10,0))="","",INDEX([1]ORTHO!$C$2:$C$10,MATCH($D2,[1]ORTHO!$D$2:$D$10,0))),"")</f>
        <v/>
      </c>
      <c r="D2" s="7">
        <v>557028860</v>
      </c>
      <c r="E2" s="8" t="s">
        <v>67</v>
      </c>
      <c r="F2" s="9">
        <v>46037</v>
      </c>
      <c r="G2" s="8" t="s">
        <v>68</v>
      </c>
      <c r="H2" s="8" t="s">
        <v>68</v>
      </c>
      <c r="I2" s="8" t="s">
        <v>69</v>
      </c>
      <c r="J2" s="8" t="s">
        <v>70</v>
      </c>
      <c r="K2" s="6" t="str">
        <f>IFERROR(IF(INDEX([1]ORTHO!$K$2:$K$10,MATCH($D2,[1]ORTHO!$D$2:$D$10,0))="","",INDEX([1]ORTHO!$K$2:$K$10,MATCH($D2,[1]ORTHO!$D$2:$D$10,0))),"")</f>
        <v/>
      </c>
      <c r="L2" s="11">
        <f ca="1">IF($O2="","",$O2-TODAY())</f>
        <v>-207</v>
      </c>
      <c r="M2" s="11" t="str">
        <f ca="1">IF(AND(TRIM($A2)="Finalized",$K2&lt;&gt;""),"",IF($C2="","",$C2+365-TODAY()))</f>
        <v/>
      </c>
      <c r="N2" s="11" t="str">
        <f ca="1">IF(AND(TRIM($A2)="Finalized",$K2&lt;&gt;""),"",IF($C2="","",$C2+365-TODAY()))</f>
        <v/>
      </c>
      <c r="O2" s="9">
        <f>IF(AND(TRIM($A2)="Finalized",$K2&lt;&gt;""),"",DATE(2026,3,16))</f>
        <v>46097</v>
      </c>
      <c r="P2" s="8" t="s">
        <v>71</v>
      </c>
      <c r="Q2" s="8" t="s">
        <v>72</v>
      </c>
      <c r="R2" s="8" t="s">
        <v>73</v>
      </c>
      <c r="S2" s="8" t="s">
        <v>74</v>
      </c>
      <c r="T2" s="8" t="s">
        <v>73</v>
      </c>
      <c r="U2" s="8" t="s">
        <v>74</v>
      </c>
      <c r="V2" s="8" t="s">
        <v>75</v>
      </c>
      <c r="W2" s="8" t="s">
        <v>76</v>
      </c>
      <c r="X2" s="8"/>
      <c r="Y2" s="8"/>
      <c r="Z2" s="8"/>
      <c r="AA2" s="8" t="s">
        <v>77</v>
      </c>
      <c r="AB2" s="10">
        <v>2493.33</v>
      </c>
      <c r="AC2" s="10">
        <v>0</v>
      </c>
      <c r="AD2" s="10">
        <v>0</v>
      </c>
      <c r="AE2" s="9"/>
      <c r="AF2" s="10">
        <v>2493.33</v>
      </c>
      <c r="AG2" s="7">
        <v>205</v>
      </c>
      <c r="AH2" s="8" t="s">
        <v>78</v>
      </c>
      <c r="AI2" s="8" t="s">
        <v>79</v>
      </c>
      <c r="AJ2" s="8"/>
      <c r="AK2" s="8"/>
      <c r="AL2" s="7"/>
      <c r="AM2" s="8" t="s">
        <v>80</v>
      </c>
      <c r="AN2" s="8" t="s">
        <v>81</v>
      </c>
      <c r="AO2" s="9">
        <v>46048</v>
      </c>
    </row>
    <row r="3" spans="1:41" x14ac:dyDescent="0.25">
      <c r="A3" s="5" t="str">
        <f>IFERROR(IF(INDEX([1]DME!$A$2:$A$8,MATCH($D3,[1]DME!$D$2:$D$8,0))="","",INDEX([1]DME!$A$2:$A$8,MATCH($D3,[1]DME!$D$2:$D$8,0))),"")</f>
        <v>Pending</v>
      </c>
      <c r="B3" s="5" t="str">
        <f>IFERROR(IF(INDEX([1]DME!$B$2:$B$8,MATCH($D3,[1]DME!$D$2:$D$8,0))="","",INDEX([1]DME!$B$2:$B$8,MATCH($D3,[1]DME!$D$2:$D$8,0))),"")</f>
        <v>secondary - I need to crossover claim - Corrected adjustments, and resubmitted</v>
      </c>
      <c r="C3" s="6">
        <f>IFERROR(IF(INDEX([1]DME!$C$2:$C$8,MATCH($D3,[1]DME!$D$2:$D$8,0))="","",INDEX([1]DME!$C$2:$C$8,MATCH($D3,[1]DME!$D$2:$D$8,0))),"")</f>
        <v>46089</v>
      </c>
      <c r="D3" s="7">
        <v>546184427</v>
      </c>
      <c r="E3" s="8" t="s">
        <v>82</v>
      </c>
      <c r="F3" s="9">
        <v>46027</v>
      </c>
      <c r="G3" s="8" t="s">
        <v>83</v>
      </c>
      <c r="H3" s="8" t="s">
        <v>84</v>
      </c>
      <c r="I3" s="8" t="s">
        <v>83</v>
      </c>
      <c r="J3" s="8" t="s">
        <v>85</v>
      </c>
      <c r="K3" s="6">
        <f>IFERROR(IF(INDEX([1]DME!$K$2:$K$8,MATCH($D3,[1]DME!$D$2:$D$8,0))="","",INDEX([1]DME!$K$2:$K$8,MATCH($D3,[1]DME!$D$2:$D$8,0))),"")</f>
        <v>46141</v>
      </c>
      <c r="L3" s="11">
        <f ca="1">IF($O3="","",$O3-TODAY())</f>
        <v>-187</v>
      </c>
      <c r="M3" s="11">
        <f ca="1">IF(AND(TRIM($A3)="Finalized",$K3&lt;&gt;""),"",IF($F3="","",$F3+90-TODAY()))</f>
        <v>-187</v>
      </c>
      <c r="N3" s="11">
        <f ca="1">IF(AND(TRIM($A3)="Finalized",$K3&lt;&gt;""),"",IF($C3="","",$C3+60-TODAY()))</f>
        <v>-155</v>
      </c>
      <c r="O3" s="9">
        <f>IF(AND(TRIM($A3)="Finalized",$K3&lt;&gt;""),"",DATE(2026,4,5))</f>
        <v>46117</v>
      </c>
      <c r="P3" s="8" t="s">
        <v>86</v>
      </c>
      <c r="Q3" s="8" t="s">
        <v>87</v>
      </c>
      <c r="R3" s="8" t="s">
        <v>86</v>
      </c>
      <c r="S3" s="8" t="s">
        <v>88</v>
      </c>
      <c r="T3" s="8" t="s">
        <v>71</v>
      </c>
      <c r="U3" s="8" t="s">
        <v>74</v>
      </c>
      <c r="V3" s="8" t="s">
        <v>75</v>
      </c>
      <c r="W3" s="8" t="s">
        <v>89</v>
      </c>
      <c r="X3" s="8" t="s">
        <v>90</v>
      </c>
      <c r="Y3" s="8"/>
      <c r="Z3" s="8"/>
      <c r="AA3" s="8" t="s">
        <v>91</v>
      </c>
      <c r="AB3" s="10">
        <v>36353.800000000003</v>
      </c>
      <c r="AC3" s="10">
        <v>33154.53</v>
      </c>
      <c r="AD3" s="10">
        <v>2833.13</v>
      </c>
      <c r="AE3" s="9">
        <v>46089</v>
      </c>
      <c r="AF3" s="10">
        <v>366.14</v>
      </c>
      <c r="AG3" s="7">
        <v>215</v>
      </c>
      <c r="AH3" s="8" t="s">
        <v>92</v>
      </c>
      <c r="AI3" s="8" t="s">
        <v>93</v>
      </c>
      <c r="AJ3" s="8" t="s">
        <v>78</v>
      </c>
      <c r="AK3" s="8"/>
      <c r="AL3" s="7">
        <v>557644876</v>
      </c>
      <c r="AM3" s="8" t="s">
        <v>94</v>
      </c>
      <c r="AN3" s="8" t="s">
        <v>95</v>
      </c>
      <c r="AO3" s="9">
        <v>46036</v>
      </c>
    </row>
    <row r="4" spans="1:41" x14ac:dyDescent="0.25">
      <c r="A4" s="5" t="str">
        <f>IFERROR(IF(INDEX([1]GAE!$A$2:$A$12,MATCH($D4,[1]GAE!$D$2:$D$12,0))="","",INDEX([1]GAE!$A$2:$A$12,MATCH($D4,[1]GAE!$D$2:$D$12,0))),"")</f>
        <v/>
      </c>
      <c r="B4" s="5" t="str">
        <f>IFERROR(IF(INDEX([1]GAE!$B$2:$B$12,MATCH($D4,[1]GAE!$D$2:$D$12,0))="","",INDEX([1]GAE!$B$2:$B$12,MATCH($D4,[1]GAE!$D$2:$D$12,0))),"")</f>
        <v/>
      </c>
      <c r="C4" s="6">
        <f>IFERROR(IF(INDEX([1]GAE!$C$2:$C$12,MATCH($D4,[1]GAE!$D$2:$D$12,0))="","",INDEX([1]GAE!$C$2:$C$12,MATCH($D4,[1]GAE!$D$2:$D$12,0))),"")</f>
        <v>46121</v>
      </c>
      <c r="D4" s="7">
        <v>548877808</v>
      </c>
      <c r="E4" s="8" t="s">
        <v>96</v>
      </c>
      <c r="F4" s="9">
        <v>46027</v>
      </c>
      <c r="G4" s="8" t="s">
        <v>97</v>
      </c>
      <c r="H4" s="8" t="s">
        <v>97</v>
      </c>
      <c r="I4" s="8" t="s">
        <v>69</v>
      </c>
      <c r="J4" s="8" t="s">
        <v>98</v>
      </c>
      <c r="K4" s="6" t="str">
        <f>IFERROR(IF(INDEX([1]GAE!$K$2:$K$12,MATCH($D4,[1]GAE!$D$2:$D$12,0))="","",INDEX([1]GAE!$K$2:$K$12,MATCH($D4,[1]GAE!$D$2:$D$12,0))),"")</f>
        <v/>
      </c>
      <c r="L4" s="11">
        <f ca="1">IF($O4="","",$O4-TODAY())</f>
        <v>-187</v>
      </c>
      <c r="M4" s="11">
        <f ca="1">IF(AND(TRIM($A4)="Finalized",$K4&lt;&gt;""),"",IF($F4="","",$F4+90-TODAY()))</f>
        <v>-187</v>
      </c>
      <c r="N4" s="11">
        <f ca="1">IF(AND(TRIM($A4)="Finalized",$K4&lt;&gt;""),"",IF($C4="","",$C4+540-TODAY()))</f>
        <v>357</v>
      </c>
      <c r="O4" s="9">
        <f>IF(AND(TRIM($A4)="Finalized",$K4&lt;&gt;""),"",DATE(2026,4,5))</f>
        <v>46117</v>
      </c>
      <c r="P4" s="8" t="s">
        <v>86</v>
      </c>
      <c r="Q4" s="8" t="s">
        <v>99</v>
      </c>
      <c r="R4" s="8" t="s">
        <v>86</v>
      </c>
      <c r="S4" s="8" t="s">
        <v>88</v>
      </c>
      <c r="T4" s="8" t="s">
        <v>100</v>
      </c>
      <c r="U4" s="8" t="s">
        <v>74</v>
      </c>
      <c r="V4" s="8" t="s">
        <v>75</v>
      </c>
      <c r="W4" s="8" t="s">
        <v>101</v>
      </c>
      <c r="X4" s="8" t="s">
        <v>102</v>
      </c>
      <c r="Y4" s="8" t="s">
        <v>103</v>
      </c>
      <c r="Z4" s="8"/>
      <c r="AA4" s="8" t="s">
        <v>104</v>
      </c>
      <c r="AB4" s="10">
        <v>65892.820000000007</v>
      </c>
      <c r="AC4" s="10">
        <v>0</v>
      </c>
      <c r="AD4" s="10">
        <v>0</v>
      </c>
      <c r="AE4" s="9">
        <v>46121</v>
      </c>
      <c r="AF4" s="10">
        <v>65892.820000000007</v>
      </c>
      <c r="AG4" s="7">
        <v>215</v>
      </c>
      <c r="AH4" s="8" t="s">
        <v>105</v>
      </c>
      <c r="AI4" s="8" t="s">
        <v>106</v>
      </c>
      <c r="AJ4" s="8" t="s">
        <v>107</v>
      </c>
      <c r="AK4" s="8"/>
      <c r="AL4" s="7"/>
      <c r="AM4" s="8" t="s">
        <v>108</v>
      </c>
      <c r="AN4" s="8" t="s">
        <v>109</v>
      </c>
      <c r="AO4" s="9">
        <v>46062</v>
      </c>
    </row>
    <row r="5" spans="1:41" x14ac:dyDescent="0.25">
      <c r="A5" s="5" t="str">
        <f>IFERROR(IF(INDEX([1]GAE!$A$2:$A$12,MATCH($D5,[1]GAE!$D$2:$D$12,0))="","",INDEX([1]GAE!$A$2:$A$12,MATCH($D5,[1]GAE!$D$2:$D$12,0))),"")</f>
        <v/>
      </c>
      <c r="B5" s="5" t="str">
        <f>IFERROR(IF(INDEX([1]GAE!$B$2:$B$12,MATCH($D5,[1]GAE!$D$2:$D$12,0))="","",INDEX([1]GAE!$B$2:$B$12,MATCH($D5,[1]GAE!$D$2:$D$12,0))),"")</f>
        <v/>
      </c>
      <c r="C5" s="6">
        <f>IFERROR(IF(INDEX([1]GAE!$C$2:$C$12,MATCH($D5,[1]GAE!$D$2:$D$12,0))="","",INDEX([1]GAE!$C$2:$C$12,MATCH($D5,[1]GAE!$D$2:$D$12,0))),"")</f>
        <v>46142</v>
      </c>
      <c r="D5" s="7">
        <v>554116779</v>
      </c>
      <c r="E5" s="8" t="s">
        <v>110</v>
      </c>
      <c r="F5" s="9">
        <v>46027</v>
      </c>
      <c r="G5" s="8" t="s">
        <v>97</v>
      </c>
      <c r="H5" s="8" t="s">
        <v>97</v>
      </c>
      <c r="I5" s="8" t="s">
        <v>69</v>
      </c>
      <c r="J5" s="8" t="s">
        <v>111</v>
      </c>
      <c r="K5" s="6" t="str">
        <f>IFERROR(IF(INDEX([1]GAE!$K$2:$K$12,MATCH($D5,[1]GAE!$D$2:$D$12,0))="","",INDEX([1]GAE!$K$2:$K$12,MATCH($D5,[1]GAE!$D$2:$D$12,0))),"")</f>
        <v/>
      </c>
      <c r="L5" s="11">
        <f ca="1">IF($O5="","",$O5-TODAY())</f>
        <v>-187</v>
      </c>
      <c r="M5" s="11">
        <f ca="1">IF(AND(TRIM($A5)="Finalized",$K5&lt;&gt;""),"",IF($F5="","",$F5+90-TODAY()))</f>
        <v>-187</v>
      </c>
      <c r="N5" s="11">
        <f ca="1">IF(AND(TRIM($A5)="Finalized",$K5&lt;&gt;""),"",IF($C5="","",$C5+540-TODAY()))</f>
        <v>378</v>
      </c>
      <c r="O5" s="9">
        <f>IF(AND(TRIM($A5)="Finalized",$K5&lt;&gt;""),"",DATE(2026,4,5))</f>
        <v>46117</v>
      </c>
      <c r="P5" s="8" t="s">
        <v>86</v>
      </c>
      <c r="Q5" s="8" t="s">
        <v>99</v>
      </c>
      <c r="R5" s="8" t="s">
        <v>86</v>
      </c>
      <c r="S5" s="8" t="s">
        <v>88</v>
      </c>
      <c r="T5" s="8" t="s">
        <v>100</v>
      </c>
      <c r="U5" s="8" t="s">
        <v>74</v>
      </c>
      <c r="V5" s="8" t="s">
        <v>75</v>
      </c>
      <c r="W5" s="8" t="s">
        <v>101</v>
      </c>
      <c r="X5" s="8" t="s">
        <v>102</v>
      </c>
      <c r="Y5" s="8" t="s">
        <v>103</v>
      </c>
      <c r="Z5" s="8"/>
      <c r="AA5" s="8" t="s">
        <v>112</v>
      </c>
      <c r="AB5" s="10">
        <v>65085.23</v>
      </c>
      <c r="AC5" s="10">
        <v>0</v>
      </c>
      <c r="AD5" s="10">
        <v>0</v>
      </c>
      <c r="AE5" s="9">
        <v>46142</v>
      </c>
      <c r="AF5" s="10">
        <v>65085.23</v>
      </c>
      <c r="AG5" s="7">
        <v>215</v>
      </c>
      <c r="AH5" s="8" t="s">
        <v>105</v>
      </c>
      <c r="AI5" s="8" t="s">
        <v>106</v>
      </c>
      <c r="AJ5" s="8" t="s">
        <v>107</v>
      </c>
      <c r="AK5" s="8"/>
      <c r="AL5" s="7"/>
      <c r="AM5" s="8" t="s">
        <v>108</v>
      </c>
      <c r="AN5" s="8" t="s">
        <v>109</v>
      </c>
      <c r="AO5" s="9">
        <v>46062</v>
      </c>
    </row>
    <row r="6" spans="1:41" x14ac:dyDescent="0.25">
      <c r="A6" s="5" t="str">
        <f>IFERROR(IF(INDEX([1]BH!$A$2:$A$17,MATCH($D6,[1]BH!$D$2:$D$17,0))="","",INDEX([1]BH!$A$2:$A$17,MATCH($D6,[1]BH!$D$2:$D$17,0))),"")</f>
        <v>Denied</v>
      </c>
      <c r="B6" s="5" t="str">
        <f>IFERROR(IF(INDEX([1]BH!$B$2:$B$17,MATCH($D6,[1]BH!$D$2:$D$17,0))="","",INDEX([1]BH!$B$2:$B$17,MATCH($D6,[1]BH!$D$2:$D$17,0))),"")</f>
        <v>Uploaded MR - PIQ-82135368</v>
      </c>
      <c r="C6" s="6">
        <f>IFERROR(IF(INDEX([1]BH!$C$2:$C$17,MATCH($D6,[1]BH!$D$2:$D$17,0))="","",INDEX([1]BH!$C$2:$C$17,MATCH($D6,[1]BH!$D$2:$D$17,0))),"")</f>
        <v>46142</v>
      </c>
      <c r="D6" s="7">
        <v>545332485</v>
      </c>
      <c r="E6" s="8" t="s">
        <v>113</v>
      </c>
      <c r="F6" s="9">
        <v>46028</v>
      </c>
      <c r="G6" s="8" t="s">
        <v>114</v>
      </c>
      <c r="H6" s="8" t="s">
        <v>114</v>
      </c>
      <c r="I6" s="8" t="s">
        <v>69</v>
      </c>
      <c r="J6" s="8" t="s">
        <v>115</v>
      </c>
      <c r="K6" s="6">
        <f>IFERROR(IF(INDEX([1]BH!$K$2:$K$17,MATCH($D6,[1]BH!$D$2:$D$17,0))="","",INDEX([1]BH!$K$2:$K$17,MATCH($D6,[1]BH!$D$2:$D$17,0))),"")</f>
        <v>46122</v>
      </c>
      <c r="L6" s="11">
        <f ca="1">IF($O6="","",$O6-TODAY())</f>
        <v>-186</v>
      </c>
      <c r="M6" s="11">
        <f ca="1">IF(AND(TRIM($A6)="Finalized",$K6&lt;&gt;""),"",IF($C6="","",$C6+180-TODAY()))</f>
        <v>18</v>
      </c>
      <c r="N6" s="11">
        <f ca="1">IF(AND(TRIM($A6)="Finalized",$K6&lt;&gt;""),"",IF($C6="","",$C6+365-TODAY()))</f>
        <v>203</v>
      </c>
      <c r="O6" s="9">
        <f>IF(AND(TRIM($A6)="Finalized",$K6&lt;&gt;""),"",DATE(2026,4,6))</f>
        <v>46118</v>
      </c>
      <c r="P6" s="8" t="s">
        <v>86</v>
      </c>
      <c r="Q6" s="8" t="s">
        <v>116</v>
      </c>
      <c r="R6" s="8" t="s">
        <v>117</v>
      </c>
      <c r="S6" s="8" t="s">
        <v>74</v>
      </c>
      <c r="T6" s="8" t="s">
        <v>73</v>
      </c>
      <c r="U6" s="8" t="s">
        <v>74</v>
      </c>
      <c r="V6" s="8" t="s">
        <v>75</v>
      </c>
      <c r="W6" s="8" t="s">
        <v>118</v>
      </c>
      <c r="X6" s="8"/>
      <c r="Y6" s="8"/>
      <c r="Z6" s="8"/>
      <c r="AA6" s="8" t="s">
        <v>77</v>
      </c>
      <c r="AB6" s="10">
        <v>396.27</v>
      </c>
      <c r="AC6" s="10">
        <v>0</v>
      </c>
      <c r="AD6" s="10">
        <v>0</v>
      </c>
      <c r="AE6" s="9">
        <v>46142</v>
      </c>
      <c r="AF6" s="10">
        <v>396.27</v>
      </c>
      <c r="AG6" s="7">
        <v>214</v>
      </c>
      <c r="AH6" s="8" t="s">
        <v>119</v>
      </c>
      <c r="AI6" s="8"/>
      <c r="AJ6" s="8"/>
      <c r="AK6" s="8"/>
      <c r="AL6" s="7"/>
      <c r="AM6" s="8" t="s">
        <v>120</v>
      </c>
      <c r="AN6" s="8" t="s">
        <v>121</v>
      </c>
      <c r="AO6" s="9">
        <v>46057</v>
      </c>
    </row>
    <row r="7" spans="1:41" x14ac:dyDescent="0.25">
      <c r="A7" s="5" t="str">
        <f>IFERROR(IF(INDEX([1]BH!$A$2:$A$17,MATCH($D7,[1]BH!$D$2:$D$17,0))="","",INDEX([1]BH!$A$2:$A$17,MATCH($D7,[1]BH!$D$2:$D$17,0))),"")</f>
        <v>Denied</v>
      </c>
      <c r="B7" s="5" t="str">
        <f>IFERROR(IF(INDEX([1]BH!$B$2:$B$17,MATCH($D7,[1]BH!$D$2:$D$17,0))="","",INDEX([1]BH!$B$2:$B$17,MATCH($D7,[1]BH!$D$2:$D$17,0))),"")</f>
        <v xml:space="preserve">Jess uploaded MR </v>
      </c>
      <c r="C7" s="6">
        <f>IFERROR(IF(INDEX([1]BH!$C$2:$C$17,MATCH($D7,[1]BH!$D$2:$D$17,0))="","",INDEX([1]BH!$C$2:$C$17,MATCH($D7,[1]BH!$D$2:$D$17,0))),"")</f>
        <v>46063</v>
      </c>
      <c r="D7" s="7">
        <v>545484752</v>
      </c>
      <c r="E7" s="8" t="s">
        <v>122</v>
      </c>
      <c r="F7" s="9">
        <v>46029</v>
      </c>
      <c r="G7" s="8" t="s">
        <v>123</v>
      </c>
      <c r="H7" s="8" t="s">
        <v>123</v>
      </c>
      <c r="I7" s="8" t="s">
        <v>69</v>
      </c>
      <c r="J7" s="8" t="s">
        <v>124</v>
      </c>
      <c r="K7" s="6" t="str">
        <f>IFERROR(IF(INDEX([1]BH!$K$2:$K$17,MATCH($D7,[1]BH!$D$2:$D$17,0))="","",INDEX([1]BH!$K$2:$K$17,MATCH($D7,[1]BH!$D$2:$D$17,0))),"")</f>
        <v/>
      </c>
      <c r="L7" s="11">
        <f ca="1">IF($O7="","",$O7-TODAY())</f>
        <v>-185</v>
      </c>
      <c r="M7" s="11">
        <f ca="1">IF(AND(TRIM($A7)="Finalized",$K7&lt;&gt;""),"",IF($F7="","",$F7+90-TODAY()))</f>
        <v>-185</v>
      </c>
      <c r="N7" s="11">
        <f ca="1">IF(AND(TRIM($A7)="Finalized",$K7&lt;&gt;""),"",IF($C7="","",$C7+365-TODAY()))</f>
        <v>124</v>
      </c>
      <c r="O7" s="9">
        <f>IF(AND(TRIM($A7)="Finalized",$K7&lt;&gt;""),"",DATE(2026,4,7))</f>
        <v>46119</v>
      </c>
      <c r="P7" s="8" t="s">
        <v>86</v>
      </c>
      <c r="Q7" s="8" t="s">
        <v>125</v>
      </c>
      <c r="R7" s="8" t="s">
        <v>86</v>
      </c>
      <c r="S7" s="8" t="s">
        <v>88</v>
      </c>
      <c r="T7" s="8" t="s">
        <v>73</v>
      </c>
      <c r="U7" s="8" t="s">
        <v>74</v>
      </c>
      <c r="V7" s="8" t="s">
        <v>75</v>
      </c>
      <c r="W7" s="8" t="s">
        <v>118</v>
      </c>
      <c r="X7" s="8"/>
      <c r="Y7" s="8"/>
      <c r="Z7" s="8"/>
      <c r="AA7" s="8" t="s">
        <v>77</v>
      </c>
      <c r="AB7" s="10">
        <v>1426.25</v>
      </c>
      <c r="AC7" s="10">
        <v>0</v>
      </c>
      <c r="AD7" s="10">
        <v>0</v>
      </c>
      <c r="AE7" s="9">
        <v>46063</v>
      </c>
      <c r="AF7" s="10">
        <v>1426.25</v>
      </c>
      <c r="AG7" s="7">
        <v>213</v>
      </c>
      <c r="AH7" s="8" t="s">
        <v>119</v>
      </c>
      <c r="AI7" s="8"/>
      <c r="AJ7" s="8"/>
      <c r="AK7" s="8"/>
      <c r="AL7" s="7"/>
      <c r="AM7" s="8" t="s">
        <v>126</v>
      </c>
      <c r="AN7" s="8" t="s">
        <v>121</v>
      </c>
      <c r="AO7" s="9">
        <v>46057</v>
      </c>
    </row>
    <row r="8" spans="1:41" x14ac:dyDescent="0.25">
      <c r="A8" s="5" t="str">
        <f>IFERROR(IF(INDEX([1]US!$A$2:$A$8,MATCH($D8,[1]US!$D$2:$D$8,0))="","",INDEX([1]US!$A$2:$A$8,MATCH($D8,[1]US!$D$2:$D$8,0))),"")</f>
        <v>Received</v>
      </c>
      <c r="B8" s="5" t="str">
        <f>IFERROR(IF(INDEX([1]US!$B$2:$B$8,MATCH($D8,[1]US!$D$2:$D$8,0))="","",INDEX([1]US!$B$2:$B$8,MATCH($D8,[1]US!$D$2:$D$8,0))),"")</f>
        <v/>
      </c>
      <c r="C8" s="6">
        <f>IFERROR(IF(INDEX([1]US!$C$2:$C$8,MATCH($D8,[1]US!$D$2:$D$8,0))="","",INDEX([1]US!$C$2:$C$8,MATCH($D8,[1]US!$D$2:$D$8,0))),"")</f>
        <v>46199</v>
      </c>
      <c r="D8" s="7">
        <v>555109108</v>
      </c>
      <c r="E8" s="8" t="s">
        <v>127</v>
      </c>
      <c r="F8" s="9">
        <v>46030</v>
      </c>
      <c r="G8" s="8" t="s">
        <v>97</v>
      </c>
      <c r="H8" s="8" t="s">
        <v>97</v>
      </c>
      <c r="I8" s="8" t="s">
        <v>69</v>
      </c>
      <c r="J8" s="8" t="s">
        <v>128</v>
      </c>
      <c r="K8" s="6" t="str">
        <f>IFERROR(IF(INDEX([1]US!$K$2:$K$8,MATCH($D8,[1]US!$D$2:$D$8,0))="","",INDEX([1]US!$K$2:$K$8,MATCH($D8,[1]US!$D$2:$D$8,0))),"")</f>
        <v/>
      </c>
      <c r="L8" s="11">
        <f ca="1">IF($O8="","",$O8-TODAY())</f>
        <v>-184</v>
      </c>
      <c r="M8" s="11">
        <f ca="1">IF(AND(TRIM($A8)="Finalized",$K8&lt;&gt;""),"",IF($F8="","",$F8+90-TODAY()))</f>
        <v>-184</v>
      </c>
      <c r="N8" s="11">
        <f ca="1">IF(AND(TRIM($A8)="Finalized",$K8&lt;&gt;""),"",IF($C8="","",$C8+540-TODAY()))</f>
        <v>435</v>
      </c>
      <c r="O8" s="9">
        <f>IF(AND(TRIM($A8)="Finalized",$K8&lt;&gt;""),"",DATE(2026,4,8))</f>
        <v>46120</v>
      </c>
      <c r="P8" s="8" t="s">
        <v>86</v>
      </c>
      <c r="Q8" s="8" t="s">
        <v>99</v>
      </c>
      <c r="R8" s="8" t="s">
        <v>86</v>
      </c>
      <c r="S8" s="8" t="s">
        <v>88</v>
      </c>
      <c r="T8" s="8" t="s">
        <v>100</v>
      </c>
      <c r="U8" s="8" t="s">
        <v>74</v>
      </c>
      <c r="V8" s="8" t="s">
        <v>75</v>
      </c>
      <c r="W8" s="8" t="s">
        <v>129</v>
      </c>
      <c r="X8" s="8"/>
      <c r="Y8" s="8"/>
      <c r="Z8" s="8"/>
      <c r="AA8" s="8" t="s">
        <v>77</v>
      </c>
      <c r="AB8" s="10">
        <v>1649.2</v>
      </c>
      <c r="AC8" s="10">
        <v>1468.48</v>
      </c>
      <c r="AD8" s="10">
        <v>291.98</v>
      </c>
      <c r="AE8" s="9">
        <v>46199</v>
      </c>
      <c r="AF8" s="10">
        <v>-111.26</v>
      </c>
      <c r="AG8" s="7">
        <v>212</v>
      </c>
      <c r="AH8" s="8" t="s">
        <v>130</v>
      </c>
      <c r="AI8" s="8"/>
      <c r="AJ8" s="8"/>
      <c r="AK8" s="8"/>
      <c r="AL8" s="7"/>
      <c r="AM8" s="8" t="s">
        <v>131</v>
      </c>
      <c r="AN8" s="8" t="s">
        <v>132</v>
      </c>
      <c r="AO8" s="9">
        <v>46048</v>
      </c>
    </row>
    <row r="9" spans="1:41" x14ac:dyDescent="0.25">
      <c r="A9" s="5" t="str">
        <f>IFERROR(IF(INDEX([1]US!$A$2:$A$8,MATCH($D9,[1]US!$D$2:$D$8,0))="","",INDEX([1]US!$A$2:$A$8,MATCH($D9,[1]US!$D$2:$D$8,0))),"")</f>
        <v/>
      </c>
      <c r="B9" s="5" t="str">
        <f>IFERROR(IF(INDEX([1]US!$B$2:$B$8,MATCH($D9,[1]US!$D$2:$D$8,0))="","",INDEX([1]US!$B$2:$B$8,MATCH($D9,[1]US!$D$2:$D$8,0))),"")</f>
        <v/>
      </c>
      <c r="C9" s="6" t="str">
        <f>IFERROR(IF(INDEX([1]US!$C$2:$C$8,MATCH($D9,[1]US!$D$2:$D$8,0))="","",INDEX([1]US!$C$2:$C$8,MATCH($D9,[1]US!$D$2:$D$8,0))),"")</f>
        <v/>
      </c>
      <c r="D9" s="7">
        <v>557356991</v>
      </c>
      <c r="E9" s="8" t="s">
        <v>133</v>
      </c>
      <c r="F9" s="9">
        <v>46030</v>
      </c>
      <c r="G9" s="8" t="s">
        <v>134</v>
      </c>
      <c r="H9" s="8" t="s">
        <v>134</v>
      </c>
      <c r="I9" s="8" t="s">
        <v>69</v>
      </c>
      <c r="J9" s="8" t="s">
        <v>135</v>
      </c>
      <c r="K9" s="6" t="str">
        <f>IFERROR(IF(INDEX([1]US!$K$2:$K$8,MATCH($D9,[1]US!$D$2:$D$8,0))="","",INDEX([1]US!$K$2:$K$8,MATCH($D9,[1]US!$D$2:$D$8,0))),"")</f>
        <v/>
      </c>
      <c r="L9" s="11">
        <f ca="1">IF($O9="","",$O9-TODAY())</f>
        <v>-184</v>
      </c>
      <c r="M9" s="11" t="str">
        <f ca="1">IF(AND(TRIM($A9)="Finalized",$K9&lt;&gt;""),"",IF($C9="","",$C9+365-TODAY()))</f>
        <v/>
      </c>
      <c r="N9" s="11" t="str">
        <f ca="1">IF(AND(TRIM($A9)="Finalized",$K9&lt;&gt;""),"",IF($C9="","",$C9+365-TODAY()))</f>
        <v/>
      </c>
      <c r="O9" s="9">
        <f>IF(AND(TRIM($A9)="Finalized",$K9&lt;&gt;""),"",DATE(2026,4,8))</f>
        <v>46120</v>
      </c>
      <c r="P9" s="8" t="s">
        <v>86</v>
      </c>
      <c r="Q9" s="8" t="s">
        <v>136</v>
      </c>
      <c r="R9" s="8" t="s">
        <v>73</v>
      </c>
      <c r="S9" s="8" t="s">
        <v>74</v>
      </c>
      <c r="T9" s="8" t="s">
        <v>73</v>
      </c>
      <c r="U9" s="8" t="s">
        <v>74</v>
      </c>
      <c r="V9" s="8" t="s">
        <v>75</v>
      </c>
      <c r="W9" s="8" t="s">
        <v>129</v>
      </c>
      <c r="X9" s="8"/>
      <c r="Y9" s="8"/>
      <c r="Z9" s="8"/>
      <c r="AA9" s="8" t="s">
        <v>77</v>
      </c>
      <c r="AB9" s="10">
        <v>1294.23</v>
      </c>
      <c r="AC9" s="10">
        <v>0</v>
      </c>
      <c r="AD9" s="10">
        <v>0</v>
      </c>
      <c r="AE9" s="9"/>
      <c r="AF9" s="10">
        <v>1294.23</v>
      </c>
      <c r="AG9" s="7">
        <v>212</v>
      </c>
      <c r="AH9" s="8" t="s">
        <v>137</v>
      </c>
      <c r="AI9" s="8" t="s">
        <v>138</v>
      </c>
      <c r="AJ9" s="8" t="s">
        <v>139</v>
      </c>
      <c r="AK9" s="8"/>
      <c r="AL9" s="7"/>
      <c r="AM9" s="8" t="s">
        <v>131</v>
      </c>
      <c r="AN9" s="8" t="s">
        <v>132</v>
      </c>
      <c r="AO9" s="9">
        <v>46048</v>
      </c>
    </row>
    <row r="10" spans="1:41" x14ac:dyDescent="0.25">
      <c r="A10" s="5" t="str">
        <f>IFERROR(IF(INDEX([1]BH!$A$2:$A$17,MATCH($D10,[1]BH!$D$2:$D$17,0))="","",INDEX([1]BH!$A$2:$A$17,MATCH($D10,[1]BH!$D$2:$D$17,0))),"")</f>
        <v>Denied</v>
      </c>
      <c r="B10" s="5" t="str">
        <f>IFERROR(IF(INDEX([1]BH!$B$2:$B$17,MATCH($D10,[1]BH!$D$2:$D$17,0))="","",INDEX([1]BH!$B$2:$B$17,MATCH($D10,[1]BH!$D$2:$D$17,0))),"")</f>
        <v xml:space="preserve">Jess uploaded MR </v>
      </c>
      <c r="C10" s="6">
        <f>IFERROR(IF(INDEX([1]BH!$C$2:$C$17,MATCH($D10,[1]BH!$D$2:$D$17,0))="","",INDEX([1]BH!$C$2:$C$17,MATCH($D10,[1]BH!$D$2:$D$17,0))),"")</f>
        <v>46141</v>
      </c>
      <c r="D10" s="7">
        <v>545748574</v>
      </c>
      <c r="E10" s="8" t="s">
        <v>140</v>
      </c>
      <c r="F10" s="9">
        <v>46031</v>
      </c>
      <c r="G10" s="8" t="s">
        <v>114</v>
      </c>
      <c r="H10" s="8" t="s">
        <v>114</v>
      </c>
      <c r="I10" s="8" t="s">
        <v>69</v>
      </c>
      <c r="J10" s="8" t="s">
        <v>124</v>
      </c>
      <c r="K10" s="6" t="str">
        <f>IFERROR(IF(INDEX([1]BH!$K$2:$K$17,MATCH($D10,[1]BH!$D$2:$D$17,0))="","",INDEX([1]BH!$K$2:$K$17,MATCH($D10,[1]BH!$D$2:$D$17,0))),"")</f>
        <v/>
      </c>
      <c r="L10" s="11">
        <f ca="1">IF($O10="","",$O10-TODAY())</f>
        <v>-183</v>
      </c>
      <c r="M10" s="11">
        <f ca="1">IF(AND(TRIM($A10)="Finalized",$K10&lt;&gt;""),"",IF($C10="","",$C10+180-TODAY()))</f>
        <v>17</v>
      </c>
      <c r="N10" s="11">
        <f ca="1">IF(AND(TRIM($A10)="Finalized",$K10&lt;&gt;""),"",IF($C10="","",$C10+365-TODAY()))</f>
        <v>202</v>
      </c>
      <c r="O10" s="9">
        <f>IF(AND(TRIM($A10)="Finalized",$K10&lt;&gt;""),"",DATE(2026,4,9))</f>
        <v>46121</v>
      </c>
      <c r="P10" s="8" t="s">
        <v>86</v>
      </c>
      <c r="Q10" s="8" t="s">
        <v>116</v>
      </c>
      <c r="R10" s="8" t="s">
        <v>117</v>
      </c>
      <c r="S10" s="8" t="s">
        <v>74</v>
      </c>
      <c r="T10" s="8" t="s">
        <v>73</v>
      </c>
      <c r="U10" s="8" t="s">
        <v>74</v>
      </c>
      <c r="V10" s="8" t="s">
        <v>75</v>
      </c>
      <c r="W10" s="8" t="s">
        <v>118</v>
      </c>
      <c r="X10" s="8"/>
      <c r="Y10" s="8"/>
      <c r="Z10" s="8"/>
      <c r="AA10" s="8" t="s">
        <v>77</v>
      </c>
      <c r="AB10" s="10">
        <v>1426.25</v>
      </c>
      <c r="AC10" s="10">
        <v>0</v>
      </c>
      <c r="AD10" s="10">
        <v>0</v>
      </c>
      <c r="AE10" s="9">
        <v>46141</v>
      </c>
      <c r="AF10" s="10">
        <v>1426.25</v>
      </c>
      <c r="AG10" s="7">
        <v>211</v>
      </c>
      <c r="AH10" s="8" t="s">
        <v>119</v>
      </c>
      <c r="AI10" s="8"/>
      <c r="AJ10" s="8"/>
      <c r="AK10" s="8"/>
      <c r="AL10" s="7"/>
      <c r="AM10" s="8" t="s">
        <v>131</v>
      </c>
      <c r="AN10" s="8" t="s">
        <v>121</v>
      </c>
      <c r="AO10" s="9">
        <v>46057</v>
      </c>
    </row>
    <row r="11" spans="1:41" x14ac:dyDescent="0.25">
      <c r="A11" s="5" t="str">
        <f>IFERROR(IF(INDEX([1]ORTHO!$A$2:$A$10,MATCH($D11,[1]ORTHO!$D$2:$D$10,0))="","",INDEX([1]ORTHO!$A$2:$A$10,MATCH($D11,[1]ORTHO!$D$2:$D$10,0))),"")</f>
        <v>Received</v>
      </c>
      <c r="B11" s="5" t="str">
        <f>IFERROR(IF(INDEX([1]ORTHO!$B$2:$B$10,MATCH($D11,[1]ORTHO!$D$2:$D$10,0))="","",INDEX([1]ORTHO!$B$2:$B$10,MATCH($D11,[1]ORTHO!$D$2:$D$10,0))),"")</f>
        <v/>
      </c>
      <c r="C11" s="6">
        <f>IFERROR(IF(INDEX([1]ORTHO!$C$2:$C$10,MATCH($D11,[1]ORTHO!$D$2:$D$10,0))="","",INDEX([1]ORTHO!$C$2:$C$10,MATCH($D11,[1]ORTHO!$D$2:$D$10,0))),"")</f>
        <v>46112</v>
      </c>
      <c r="D11" s="7">
        <v>545934422</v>
      </c>
      <c r="E11" s="8" t="s">
        <v>141</v>
      </c>
      <c r="F11" s="9">
        <v>46031</v>
      </c>
      <c r="G11" s="8" t="s">
        <v>142</v>
      </c>
      <c r="H11" s="8" t="s">
        <v>142</v>
      </c>
      <c r="I11" s="8" t="s">
        <v>69</v>
      </c>
      <c r="J11" s="8" t="s">
        <v>143</v>
      </c>
      <c r="K11" s="6" t="str">
        <f>IFERROR(IF(INDEX([1]ORTHO!$K$2:$K$10,MATCH($D11,[1]ORTHO!$D$2:$D$10,0))="","",INDEX([1]ORTHO!$K$2:$K$10,MATCH($D11,[1]ORTHO!$D$2:$D$10,0))),"")</f>
        <v/>
      </c>
      <c r="L11" s="11">
        <f ca="1">IF($O11="","",$O11-TODAY())</f>
        <v>-183</v>
      </c>
      <c r="M11" s="11">
        <f ca="1">IF(AND(TRIM($A11)="Finalized",$K11&lt;&gt;""),"",IF($F11="","",$F11+90-TODAY()))</f>
        <v>-183</v>
      </c>
      <c r="N11" s="11">
        <f ca="1">IF(AND(TRIM($A11)="Finalized",$K11&lt;&gt;""),"",IF($C11="","",$C11+180-TODAY()))</f>
        <v>-12</v>
      </c>
      <c r="O11" s="9">
        <f>IF(AND(TRIM($A11)="Finalized",$K11&lt;&gt;""),"",DATE(2026,4,9))</f>
        <v>46121</v>
      </c>
      <c r="P11" s="8" t="s">
        <v>86</v>
      </c>
      <c r="Q11" s="8" t="s">
        <v>144</v>
      </c>
      <c r="R11" s="8" t="s">
        <v>86</v>
      </c>
      <c r="S11" s="8" t="s">
        <v>88</v>
      </c>
      <c r="T11" s="8" t="s">
        <v>117</v>
      </c>
      <c r="U11" s="8" t="s">
        <v>74</v>
      </c>
      <c r="V11" s="8" t="s">
        <v>75</v>
      </c>
      <c r="W11" s="8" t="s">
        <v>76</v>
      </c>
      <c r="X11" s="8"/>
      <c r="Y11" s="8"/>
      <c r="Z11" s="8"/>
      <c r="AA11" s="8" t="s">
        <v>77</v>
      </c>
      <c r="AB11" s="10">
        <v>7623.07</v>
      </c>
      <c r="AC11" s="10">
        <v>0</v>
      </c>
      <c r="AD11" s="10">
        <v>0</v>
      </c>
      <c r="AE11" s="9">
        <v>46112</v>
      </c>
      <c r="AF11" s="10">
        <v>7623.07</v>
      </c>
      <c r="AG11" s="7">
        <v>211</v>
      </c>
      <c r="AH11" s="8" t="s">
        <v>145</v>
      </c>
      <c r="AI11" s="8"/>
      <c r="AJ11" s="8"/>
      <c r="AK11" s="8"/>
      <c r="AL11" s="7"/>
      <c r="AM11" s="8" t="s">
        <v>146</v>
      </c>
      <c r="AN11" s="8" t="s">
        <v>109</v>
      </c>
      <c r="AO11" s="9">
        <v>46037</v>
      </c>
    </row>
    <row r="12" spans="1:41" x14ac:dyDescent="0.25">
      <c r="A12" s="5" t="str">
        <f>IFERROR(IF(INDEX([1]ORTHO!$A$2:$A$10,MATCH($D12,[1]ORTHO!$D$2:$D$10,0))="","",INDEX([1]ORTHO!$A$2:$A$10,MATCH($D12,[1]ORTHO!$D$2:$D$10,0))),"")</f>
        <v>Finalized</v>
      </c>
      <c r="B12" s="5" t="str">
        <f>IFERROR(IF(INDEX([1]ORTHO!$B$2:$B$10,MATCH($D12,[1]ORTHO!$D$2:$D$10,0))="","",INDEX([1]ORTHO!$B$2:$B$10,MATCH($D12,[1]ORTHO!$D$2:$D$10,0))),"")</f>
        <v/>
      </c>
      <c r="C12" s="6">
        <f>IFERROR(IF(INDEX([1]ORTHO!$C$2:$C$10,MATCH($D12,[1]ORTHO!$D$2:$D$10,0))="","",INDEX([1]ORTHO!$C$2:$C$10,MATCH($D12,[1]ORTHO!$D$2:$D$10,0))),"")</f>
        <v>46156</v>
      </c>
      <c r="D12" s="7">
        <v>545934840</v>
      </c>
      <c r="E12" s="8" t="s">
        <v>147</v>
      </c>
      <c r="F12" s="9">
        <v>46031</v>
      </c>
      <c r="G12" s="8" t="s">
        <v>148</v>
      </c>
      <c r="H12" s="8" t="s">
        <v>114</v>
      </c>
      <c r="I12" s="8" t="s">
        <v>148</v>
      </c>
      <c r="J12" s="8" t="s">
        <v>70</v>
      </c>
      <c r="K12" s="6" t="str">
        <f>IFERROR(IF(INDEX([1]ORTHO!$K$2:$K$10,MATCH($D12,[1]ORTHO!$D$2:$D$10,0))="","",INDEX([1]ORTHO!$K$2:$K$10,MATCH($D12,[1]ORTHO!$D$2:$D$10,0))),"")</f>
        <v/>
      </c>
      <c r="L12" s="11">
        <f ca="1">IF($O12="","",$O12-TODAY())</f>
        <v>-183</v>
      </c>
      <c r="M12" s="11">
        <f ca="1">IF(AND(TRIM($A12)="Finalized",$K12&lt;&gt;""),"",IF($C12="","",$C12+180-TODAY()))</f>
        <v>32</v>
      </c>
      <c r="N12" s="11">
        <f ca="1">IF(AND(TRIM($A12)="Finalized",$K12&lt;&gt;""),"",IF($C12="","",$C12+365-TODAY()))</f>
        <v>217</v>
      </c>
      <c r="O12" s="9">
        <f>IF(AND(TRIM($A12)="Finalized",$K12&lt;&gt;""),"",DATE(2026,4,9))</f>
        <v>46121</v>
      </c>
      <c r="P12" s="8" t="s">
        <v>86</v>
      </c>
      <c r="Q12" s="8" t="s">
        <v>116</v>
      </c>
      <c r="R12" s="8" t="s">
        <v>117</v>
      </c>
      <c r="S12" s="8" t="s">
        <v>74</v>
      </c>
      <c r="T12" s="8" t="s">
        <v>73</v>
      </c>
      <c r="U12" s="8" t="s">
        <v>74</v>
      </c>
      <c r="V12" s="8" t="s">
        <v>75</v>
      </c>
      <c r="W12" s="8" t="s">
        <v>76</v>
      </c>
      <c r="X12" s="8"/>
      <c r="Y12" s="8"/>
      <c r="Z12" s="8"/>
      <c r="AA12" s="8" t="s">
        <v>77</v>
      </c>
      <c r="AB12" s="10">
        <v>2493.33</v>
      </c>
      <c r="AC12" s="10">
        <v>2322.61</v>
      </c>
      <c r="AD12" s="10">
        <v>18.5</v>
      </c>
      <c r="AE12" s="9">
        <v>46156</v>
      </c>
      <c r="AF12" s="10">
        <v>152.22</v>
      </c>
      <c r="AG12" s="7">
        <v>211</v>
      </c>
      <c r="AH12" s="8" t="s">
        <v>149</v>
      </c>
      <c r="AI12" s="8"/>
      <c r="AJ12" s="8"/>
      <c r="AK12" s="8"/>
      <c r="AL12" s="7">
        <v>556916920</v>
      </c>
      <c r="AM12" s="8" t="s">
        <v>146</v>
      </c>
      <c r="AN12" s="8" t="s">
        <v>109</v>
      </c>
      <c r="AO12" s="9">
        <v>46037</v>
      </c>
    </row>
    <row r="13" spans="1:41" x14ac:dyDescent="0.25">
      <c r="A13" s="5" t="str">
        <f>IFERROR(IF(INDEX([1]ORTHO!$A$2:$A$10,MATCH($D13,[1]ORTHO!$D$2:$D$10,0))="","",INDEX([1]ORTHO!$A$2:$A$10,MATCH($D13,[1]ORTHO!$D$2:$D$10,0))),"")</f>
        <v/>
      </c>
      <c r="B13" s="5" t="str">
        <f>IFERROR(IF(INDEX([1]ORTHO!$B$2:$B$10,MATCH($D13,[1]ORTHO!$D$2:$D$10,0))="","",INDEX([1]ORTHO!$B$2:$B$10,MATCH($D13,[1]ORTHO!$D$2:$D$10,0))),"")</f>
        <v/>
      </c>
      <c r="C13" s="6">
        <f>IFERROR(IF(INDEX([1]ORTHO!$C$2:$C$10,MATCH($D13,[1]ORTHO!$D$2:$D$10,0))="","",INDEX([1]ORTHO!$C$2:$C$10,MATCH($D13,[1]ORTHO!$D$2:$D$10,0))),"")</f>
        <v>46045</v>
      </c>
      <c r="D13" s="7">
        <v>546049607</v>
      </c>
      <c r="E13" s="8" t="s">
        <v>150</v>
      </c>
      <c r="F13" s="9">
        <v>46035</v>
      </c>
      <c r="G13" s="8" t="s">
        <v>148</v>
      </c>
      <c r="H13" s="8" t="s">
        <v>148</v>
      </c>
      <c r="I13" s="8" t="s">
        <v>69</v>
      </c>
      <c r="J13" s="8" t="s">
        <v>151</v>
      </c>
      <c r="K13" s="6" t="str">
        <f>IFERROR(IF(INDEX([1]ORTHO!$K$2:$K$10,MATCH($D13,[1]ORTHO!$D$2:$D$10,0))="","",INDEX([1]ORTHO!$K$2:$K$10,MATCH($D13,[1]ORTHO!$D$2:$D$10,0))),"")</f>
        <v/>
      </c>
      <c r="L13" s="11">
        <f ca="1">IF($O13="","",$O13-TODAY())</f>
        <v>-179</v>
      </c>
      <c r="M13" s="11">
        <f ca="1">IF(AND(TRIM($A13)="Finalized",$K13&lt;&gt;""),"",IF($C13="","",$C13+180-TODAY()))</f>
        <v>-79</v>
      </c>
      <c r="N13" s="11">
        <f ca="1">IF(AND(TRIM($A13)="Finalized",$K13&lt;&gt;""),"",IF($C13="","",$C13+365-TODAY()))</f>
        <v>106</v>
      </c>
      <c r="O13" s="9">
        <f>IF(AND(TRIM($A13)="Finalized",$K13&lt;&gt;""),"",DATE(2026,4,13))</f>
        <v>46125</v>
      </c>
      <c r="P13" s="8" t="s">
        <v>86</v>
      </c>
      <c r="Q13" s="8" t="s">
        <v>152</v>
      </c>
      <c r="R13" s="8" t="s">
        <v>117</v>
      </c>
      <c r="S13" s="8" t="s">
        <v>74</v>
      </c>
      <c r="T13" s="8" t="s">
        <v>73</v>
      </c>
      <c r="U13" s="8" t="s">
        <v>74</v>
      </c>
      <c r="V13" s="8" t="s">
        <v>75</v>
      </c>
      <c r="W13" s="8" t="s">
        <v>76</v>
      </c>
      <c r="X13" s="8" t="s">
        <v>153</v>
      </c>
      <c r="Y13" s="8"/>
      <c r="Z13" s="8"/>
      <c r="AA13" s="8" t="s">
        <v>77</v>
      </c>
      <c r="AB13" s="10">
        <v>7623.07</v>
      </c>
      <c r="AC13" s="10">
        <v>0</v>
      </c>
      <c r="AD13" s="10">
        <v>0</v>
      </c>
      <c r="AE13" s="9">
        <v>46045</v>
      </c>
      <c r="AF13" s="10">
        <v>7623.07</v>
      </c>
      <c r="AG13" s="7">
        <v>207</v>
      </c>
      <c r="AH13" s="8" t="s">
        <v>145</v>
      </c>
      <c r="AI13" s="8"/>
      <c r="AJ13" s="8"/>
      <c r="AK13" s="8"/>
      <c r="AL13" s="7"/>
      <c r="AM13" s="8" t="s">
        <v>154</v>
      </c>
      <c r="AN13" s="8" t="s">
        <v>109</v>
      </c>
      <c r="AO13" s="9">
        <v>46037</v>
      </c>
    </row>
    <row r="14" spans="1:41" x14ac:dyDescent="0.25">
      <c r="A14" s="5" t="str">
        <f>IFERROR(IF(INDEX([1]US!$A$2:$A$8,MATCH($D14,[1]US!$D$2:$D$8,0))="","",INDEX([1]US!$A$2:$A$8,MATCH($D14,[1]US!$D$2:$D$8,0))),"")</f>
        <v>Received</v>
      </c>
      <c r="B14" s="5" t="str">
        <f>IFERROR(IF(INDEX([1]US!$B$2:$B$8,MATCH($D14,[1]US!$D$2:$D$8,0))="","",INDEX([1]US!$B$2:$B$8,MATCH($D14,[1]US!$D$2:$D$8,0))),"")</f>
        <v/>
      </c>
      <c r="C14" s="6">
        <f>IFERROR(IF(INDEX([1]US!$C$2:$C$8,MATCH($D14,[1]US!$D$2:$D$8,0))="","",INDEX([1]US!$C$2:$C$8,MATCH($D14,[1]US!$D$2:$D$8,0))),"")</f>
        <v>46069</v>
      </c>
      <c r="D14" s="7">
        <v>548717876</v>
      </c>
      <c r="E14" s="8" t="s">
        <v>155</v>
      </c>
      <c r="F14" s="9">
        <v>46035</v>
      </c>
      <c r="G14" s="8" t="s">
        <v>156</v>
      </c>
      <c r="H14" s="8" t="s">
        <v>156</v>
      </c>
      <c r="I14" s="8" t="s">
        <v>69</v>
      </c>
      <c r="J14" s="8" t="s">
        <v>128</v>
      </c>
      <c r="K14" s="6" t="str">
        <f>IFERROR(IF(INDEX([1]US!$K$2:$K$8,MATCH($D14,[1]US!$D$2:$D$8,0))="","",INDEX([1]US!$K$2:$K$8,MATCH($D14,[1]US!$D$2:$D$8,0))),"")</f>
        <v/>
      </c>
      <c r="L14" s="11">
        <f ca="1">IF($O14="","",$O14-TODAY())</f>
        <v>-179</v>
      </c>
      <c r="M14" s="11">
        <f ca="1">IF(AND(TRIM($A14)="Finalized",$K14&lt;&gt;""),"",IF($F14="","",$F14+90-TODAY()))</f>
        <v>-179</v>
      </c>
      <c r="N14" s="11">
        <f ca="1">IF(AND(TRIM($A14)="Finalized",$K14&lt;&gt;""),"",IF($C14="","",$C14+180-TODAY()))</f>
        <v>-55</v>
      </c>
      <c r="O14" s="9">
        <f>IF(AND(TRIM($A14)="Finalized",$K14&lt;&gt;""),"",DATE(2026,4,13))</f>
        <v>46125</v>
      </c>
      <c r="P14" s="8" t="s">
        <v>86</v>
      </c>
      <c r="Q14" s="8" t="s">
        <v>144</v>
      </c>
      <c r="R14" s="8" t="s">
        <v>86</v>
      </c>
      <c r="S14" s="8" t="s">
        <v>88</v>
      </c>
      <c r="T14" s="8" t="s">
        <v>117</v>
      </c>
      <c r="U14" s="8" t="s">
        <v>74</v>
      </c>
      <c r="V14" s="8" t="s">
        <v>75</v>
      </c>
      <c r="W14" s="8" t="s">
        <v>129</v>
      </c>
      <c r="X14" s="8"/>
      <c r="Y14" s="8"/>
      <c r="Z14" s="8"/>
      <c r="AA14" s="8" t="s">
        <v>77</v>
      </c>
      <c r="AB14" s="10">
        <v>1649.2</v>
      </c>
      <c r="AC14" s="10">
        <v>1478.03</v>
      </c>
      <c r="AD14" s="10">
        <v>390.24</v>
      </c>
      <c r="AE14" s="9">
        <v>46069</v>
      </c>
      <c r="AF14" s="10">
        <v>-219.07</v>
      </c>
      <c r="AG14" s="7">
        <v>207</v>
      </c>
      <c r="AH14" s="8" t="s">
        <v>130</v>
      </c>
      <c r="AI14" s="8"/>
      <c r="AJ14" s="8"/>
      <c r="AK14" s="8"/>
      <c r="AL14" s="7"/>
      <c r="AM14" s="8" t="s">
        <v>157</v>
      </c>
      <c r="AN14" s="8" t="s">
        <v>158</v>
      </c>
      <c r="AO14" s="9">
        <v>46051</v>
      </c>
    </row>
    <row r="15" spans="1:41" x14ac:dyDescent="0.25">
      <c r="A15" s="5" t="str">
        <f>IFERROR(IF(INDEX([1]BH!$A$2:$A$17,MATCH($D15,[1]BH!$D$2:$D$17,0))="","",INDEX([1]BH!$A$2:$A$17,MATCH($D15,[1]BH!$D$2:$D$17,0))),"")</f>
        <v>Denied</v>
      </c>
      <c r="B15" s="5" t="str">
        <f>IFERROR(IF(INDEX([1]BH!$B$2:$B$17,MATCH($D15,[1]BH!$D$2:$D$17,0))="","",INDEX([1]BH!$B$2:$B$17,MATCH($D15,[1]BH!$D$2:$D$17,0))),"")</f>
        <v>Added Date of Current Illness, claim note, and resubmitted</v>
      </c>
      <c r="C15" s="6">
        <f>IFERROR(IF(INDEX([1]BH!$C$2:$C$17,MATCH($D15,[1]BH!$D$2:$D$17,0))="","",INDEX([1]BH!$C$2:$C$17,MATCH($D15,[1]BH!$D$2:$D$17,0))),"")</f>
        <v>46133</v>
      </c>
      <c r="D15" s="7">
        <v>556348109</v>
      </c>
      <c r="E15" s="8" t="s">
        <v>159</v>
      </c>
      <c r="F15" s="9">
        <v>46036</v>
      </c>
      <c r="G15" s="8" t="s">
        <v>134</v>
      </c>
      <c r="H15" s="8" t="s">
        <v>134</v>
      </c>
      <c r="I15" s="8" t="s">
        <v>69</v>
      </c>
      <c r="J15" s="8" t="s">
        <v>160</v>
      </c>
      <c r="K15" s="6">
        <f>IFERROR(IF(INDEX([1]BH!$K$2:$K$17,MATCH($D15,[1]BH!$D$2:$D$17,0))="","",INDEX([1]BH!$K$2:$K$17,MATCH($D15,[1]BH!$D$2:$D$17,0))),"")</f>
        <v>46129</v>
      </c>
      <c r="L15" s="11">
        <f ca="1">IF($O15="","",$O15-TODAY())</f>
        <v>-178</v>
      </c>
      <c r="M15" s="11">
        <f ca="1">IF(AND(TRIM($A15)="Finalized",$K15&lt;&gt;""),"",IF($C15="","",$C15+365-TODAY()))</f>
        <v>194</v>
      </c>
      <c r="N15" s="11">
        <f ca="1">IF(AND(TRIM($A15)="Finalized",$K15&lt;&gt;""),"",IF($C15="","",$C15+365-TODAY()))</f>
        <v>194</v>
      </c>
      <c r="O15" s="9">
        <f>IF(AND(TRIM($A15)="Finalized",$K15&lt;&gt;""),"",DATE(2026,4,14))</f>
        <v>46126</v>
      </c>
      <c r="P15" s="8" t="s">
        <v>86</v>
      </c>
      <c r="Q15" s="8" t="s">
        <v>136</v>
      </c>
      <c r="R15" s="8" t="s">
        <v>73</v>
      </c>
      <c r="S15" s="8" t="s">
        <v>74</v>
      </c>
      <c r="T15" s="8" t="s">
        <v>73</v>
      </c>
      <c r="U15" s="8" t="s">
        <v>74</v>
      </c>
      <c r="V15" s="8" t="s">
        <v>75</v>
      </c>
      <c r="W15" s="8" t="s">
        <v>118</v>
      </c>
      <c r="X15" s="8"/>
      <c r="Y15" s="8"/>
      <c r="Z15" s="8"/>
      <c r="AA15" s="8" t="s">
        <v>77</v>
      </c>
      <c r="AB15" s="10">
        <v>976.64</v>
      </c>
      <c r="AC15" s="10">
        <v>0</v>
      </c>
      <c r="AD15" s="10">
        <v>0</v>
      </c>
      <c r="AE15" s="9">
        <v>46133</v>
      </c>
      <c r="AF15" s="10">
        <v>976.64</v>
      </c>
      <c r="AG15" s="7">
        <v>206</v>
      </c>
      <c r="AH15" s="8" t="s">
        <v>161</v>
      </c>
      <c r="AI15" s="8"/>
      <c r="AJ15" s="8"/>
      <c r="AK15" s="8"/>
      <c r="AL15" s="7"/>
      <c r="AM15" s="8" t="s">
        <v>157</v>
      </c>
      <c r="AN15" s="8" t="s">
        <v>158</v>
      </c>
      <c r="AO15" s="9">
        <v>46057</v>
      </c>
    </row>
    <row r="16" spans="1:41" x14ac:dyDescent="0.25">
      <c r="A16" s="5" t="str">
        <f>IFERROR(IF(INDEX([1]US!$A$2:$A$8,MATCH($D16,[1]US!$D$2:$D$8,0))="","",INDEX([1]US!$A$2:$A$8,MATCH($D16,[1]US!$D$2:$D$8,0))),"")</f>
        <v>Received</v>
      </c>
      <c r="B16" s="5" t="str">
        <f>IFERROR(IF(INDEX([1]US!$B$2:$B$8,MATCH($D16,[1]US!$D$2:$D$8,0))="","",INDEX([1]US!$B$2:$B$8,MATCH($D16,[1]US!$D$2:$D$8,0))),"")</f>
        <v/>
      </c>
      <c r="C16" s="6">
        <f>IFERROR(IF(INDEX([1]US!$C$2:$C$8,MATCH($D16,[1]US!$D$2:$D$8,0))="","",INDEX([1]US!$C$2:$C$8,MATCH($D16,[1]US!$D$2:$D$8,0))),"")</f>
        <v>46160</v>
      </c>
      <c r="D16" s="7">
        <v>547451314</v>
      </c>
      <c r="E16" s="8" t="s">
        <v>162</v>
      </c>
      <c r="F16" s="9">
        <v>46036</v>
      </c>
      <c r="G16" s="8" t="s">
        <v>156</v>
      </c>
      <c r="H16" s="8" t="s">
        <v>156</v>
      </c>
      <c r="I16" s="8" t="s">
        <v>69</v>
      </c>
      <c r="J16" s="8" t="s">
        <v>128</v>
      </c>
      <c r="K16" s="6" t="str">
        <f>IFERROR(IF(INDEX([1]US!$K$2:$K$8,MATCH($D16,[1]US!$D$2:$D$8,0))="","",INDEX([1]US!$K$2:$K$8,MATCH($D16,[1]US!$D$2:$D$8,0))),"")</f>
        <v/>
      </c>
      <c r="L16" s="11">
        <f ca="1">IF($O16="","",$O16-TODAY())</f>
        <v>-178</v>
      </c>
      <c r="M16" s="11">
        <f ca="1">IF(AND(TRIM($A16)="Finalized",$K16&lt;&gt;""),"",IF($F16="","",$F16+90-TODAY()))</f>
        <v>-178</v>
      </c>
      <c r="N16" s="11">
        <f ca="1">IF(AND(TRIM($A16)="Finalized",$K16&lt;&gt;""),"",IF($C16="","",$C16+180-TODAY()))</f>
        <v>36</v>
      </c>
      <c r="O16" s="9">
        <f>IF(AND(TRIM($A16)="Finalized",$K16&lt;&gt;""),"",DATE(2026,4,14))</f>
        <v>46126</v>
      </c>
      <c r="P16" s="8" t="s">
        <v>86</v>
      </c>
      <c r="Q16" s="8" t="s">
        <v>144</v>
      </c>
      <c r="R16" s="8" t="s">
        <v>86</v>
      </c>
      <c r="S16" s="8" t="s">
        <v>88</v>
      </c>
      <c r="T16" s="8" t="s">
        <v>117</v>
      </c>
      <c r="U16" s="8" t="s">
        <v>74</v>
      </c>
      <c r="V16" s="8" t="s">
        <v>75</v>
      </c>
      <c r="W16" s="8" t="s">
        <v>129</v>
      </c>
      <c r="X16" s="8"/>
      <c r="Y16" s="8"/>
      <c r="Z16" s="8"/>
      <c r="AA16" s="8" t="s">
        <v>77</v>
      </c>
      <c r="AB16" s="10">
        <v>1649.2</v>
      </c>
      <c r="AC16" s="10">
        <v>-227.03</v>
      </c>
      <c r="AD16" s="10">
        <v>227.03</v>
      </c>
      <c r="AE16" s="9">
        <v>46160</v>
      </c>
      <c r="AF16" s="10">
        <v>1649.2</v>
      </c>
      <c r="AG16" s="7">
        <v>206</v>
      </c>
      <c r="AH16" s="8" t="s">
        <v>139</v>
      </c>
      <c r="AI16" s="8" t="s">
        <v>138</v>
      </c>
      <c r="AJ16" s="8" t="s">
        <v>163</v>
      </c>
      <c r="AK16" s="8" t="s">
        <v>164</v>
      </c>
      <c r="AL16" s="7"/>
      <c r="AM16" s="8" t="s">
        <v>165</v>
      </c>
      <c r="AN16" s="8" t="s">
        <v>95</v>
      </c>
      <c r="AO16" s="9">
        <v>46048</v>
      </c>
    </row>
    <row r="17" spans="1:41" x14ac:dyDescent="0.25">
      <c r="A17" s="5" t="str">
        <f>IFERROR(IF(INDEX([1]ORTHO!$A$2:$A$10,MATCH($D17,[1]ORTHO!$D$2:$D$10,0))="","",INDEX([1]ORTHO!$A$2:$A$10,MATCH($D17,[1]ORTHO!$D$2:$D$10,0))),"")</f>
        <v/>
      </c>
      <c r="B17" s="5" t="str">
        <f>IFERROR(IF(INDEX([1]ORTHO!$B$2:$B$10,MATCH($D17,[1]ORTHO!$D$2:$D$10,0))="","",INDEX([1]ORTHO!$B$2:$B$10,MATCH($D17,[1]ORTHO!$D$2:$D$10,0))),"")</f>
        <v/>
      </c>
      <c r="C17" s="6" t="str">
        <f>IFERROR(IF(INDEX([1]ORTHO!$C$2:$C$10,MATCH($D17,[1]ORTHO!$D$2:$D$10,0))="","",INDEX([1]ORTHO!$C$2:$C$10,MATCH($D17,[1]ORTHO!$D$2:$D$10,0))),"")</f>
        <v/>
      </c>
      <c r="D17" s="7">
        <v>548591390</v>
      </c>
      <c r="E17" s="8" t="s">
        <v>166</v>
      </c>
      <c r="F17" s="9">
        <v>46036</v>
      </c>
      <c r="G17" s="8" t="s">
        <v>123</v>
      </c>
      <c r="H17" s="8" t="s">
        <v>123</v>
      </c>
      <c r="I17" s="8" t="s">
        <v>69</v>
      </c>
      <c r="J17" s="8" t="s">
        <v>143</v>
      </c>
      <c r="K17" s="6" t="str">
        <f>IFERROR(IF(INDEX([1]ORTHO!$K$2:$K$10,MATCH($D17,[1]ORTHO!$D$2:$D$10,0))="","",INDEX([1]ORTHO!$K$2:$K$10,MATCH($D17,[1]ORTHO!$D$2:$D$10,0))),"")</f>
        <v/>
      </c>
      <c r="L17" s="11">
        <f ca="1">IF($O17="","",$O17-TODAY())</f>
        <v>-178</v>
      </c>
      <c r="M17" s="11">
        <f ca="1">IF(AND(TRIM($A17)="Finalized",$K17&lt;&gt;""),"",IF($F17="","",$F17+90-TODAY()))</f>
        <v>-178</v>
      </c>
      <c r="N17" s="11" t="str">
        <f ca="1">IF(AND(TRIM($A17)="Finalized",$K17&lt;&gt;""),"",IF($C17="","",$C17+365-TODAY()))</f>
        <v/>
      </c>
      <c r="O17" s="9">
        <f>IF(AND(TRIM($A17)="Finalized",$K17&lt;&gt;""),"",DATE(2026,4,14))</f>
        <v>46126</v>
      </c>
      <c r="P17" s="8" t="s">
        <v>86</v>
      </c>
      <c r="Q17" s="8" t="s">
        <v>125</v>
      </c>
      <c r="R17" s="8" t="s">
        <v>86</v>
      </c>
      <c r="S17" s="8" t="s">
        <v>88</v>
      </c>
      <c r="T17" s="8" t="s">
        <v>73</v>
      </c>
      <c r="U17" s="8" t="s">
        <v>74</v>
      </c>
      <c r="V17" s="8" t="s">
        <v>75</v>
      </c>
      <c r="W17" s="8" t="s">
        <v>76</v>
      </c>
      <c r="X17" s="8"/>
      <c r="Y17" s="8"/>
      <c r="Z17" s="8"/>
      <c r="AA17" s="8" t="s">
        <v>77</v>
      </c>
      <c r="AB17" s="10">
        <v>7623.07</v>
      </c>
      <c r="AC17" s="10">
        <v>0</v>
      </c>
      <c r="AD17" s="10">
        <v>0</v>
      </c>
      <c r="AE17" s="9"/>
      <c r="AF17" s="10">
        <v>7623.07</v>
      </c>
      <c r="AG17" s="7">
        <v>206</v>
      </c>
      <c r="AH17" s="8" t="s">
        <v>167</v>
      </c>
      <c r="AI17" s="8" t="s">
        <v>79</v>
      </c>
      <c r="AJ17" s="8"/>
      <c r="AK17" s="8"/>
      <c r="AL17" s="7"/>
      <c r="AM17" s="8" t="s">
        <v>168</v>
      </c>
      <c r="AN17" s="8" t="s">
        <v>109</v>
      </c>
      <c r="AO17" s="9">
        <v>46042</v>
      </c>
    </row>
    <row r="18" spans="1:41" x14ac:dyDescent="0.25">
      <c r="A18" s="5" t="str">
        <f>IFERROR(IF(INDEX([1]US!$A$2:$A$8,MATCH($D18,[1]US!$D$2:$D$8,0))="","",INDEX([1]US!$A$2:$A$8,MATCH($D18,[1]US!$D$2:$D$8,0))),"")</f>
        <v/>
      </c>
      <c r="B18" s="5" t="str">
        <f>IFERROR(IF(INDEX([1]US!$B$2:$B$8,MATCH($D18,[1]US!$D$2:$D$8,0))="","",INDEX([1]US!$B$2:$B$8,MATCH($D18,[1]US!$D$2:$D$8,0))),"")</f>
        <v/>
      </c>
      <c r="C18" s="6">
        <f>IFERROR(IF(INDEX([1]US!$C$2:$C$8,MATCH($D18,[1]US!$D$2:$D$8,0))="","",INDEX([1]US!$C$2:$C$8,MATCH($D18,[1]US!$D$2:$D$8,0))),"")</f>
        <v>46163</v>
      </c>
      <c r="D18" s="7">
        <v>547465291</v>
      </c>
      <c r="E18" s="8" t="s">
        <v>169</v>
      </c>
      <c r="F18" s="9">
        <v>46037</v>
      </c>
      <c r="G18" s="8" t="s">
        <v>114</v>
      </c>
      <c r="H18" s="8" t="s">
        <v>114</v>
      </c>
      <c r="I18" s="8" t="s">
        <v>69</v>
      </c>
      <c r="J18" s="8" t="s">
        <v>135</v>
      </c>
      <c r="K18" s="6" t="str">
        <f>IFERROR(IF(INDEX([1]US!$K$2:$K$8,MATCH($D18,[1]US!$D$2:$D$8,0))="","",INDEX([1]US!$K$2:$K$8,MATCH($D18,[1]US!$D$2:$D$8,0))),"")</f>
        <v/>
      </c>
      <c r="L18" s="11">
        <f ca="1">IF($O18="","",$O18-TODAY())</f>
        <v>-177</v>
      </c>
      <c r="M18" s="11">
        <f ca="1">IF(AND(TRIM($A18)="Finalized",$K18&lt;&gt;""),"",IF($C18="","",$C18+180-TODAY()))</f>
        <v>39</v>
      </c>
      <c r="N18" s="11">
        <f ca="1">IF(AND(TRIM($A18)="Finalized",$K18&lt;&gt;""),"",IF($C18="","",$C18+365-TODAY()))</f>
        <v>224</v>
      </c>
      <c r="O18" s="9">
        <f>IF(AND(TRIM($A18)="Finalized",$K18&lt;&gt;""),"",DATE(2026,4,15))</f>
        <v>46127</v>
      </c>
      <c r="P18" s="8" t="s">
        <v>86</v>
      </c>
      <c r="Q18" s="8" t="s">
        <v>116</v>
      </c>
      <c r="R18" s="8" t="s">
        <v>117</v>
      </c>
      <c r="S18" s="8" t="s">
        <v>74</v>
      </c>
      <c r="T18" s="8" t="s">
        <v>73</v>
      </c>
      <c r="U18" s="8" t="s">
        <v>74</v>
      </c>
      <c r="V18" s="8" t="s">
        <v>75</v>
      </c>
      <c r="W18" s="8" t="s">
        <v>129</v>
      </c>
      <c r="X18" s="8"/>
      <c r="Y18" s="8"/>
      <c r="Z18" s="8"/>
      <c r="AA18" s="8" t="s">
        <v>77</v>
      </c>
      <c r="AB18" s="10">
        <v>1294.23</v>
      </c>
      <c r="AC18" s="10">
        <v>0</v>
      </c>
      <c r="AD18" s="10">
        <v>0</v>
      </c>
      <c r="AE18" s="9">
        <v>46163</v>
      </c>
      <c r="AF18" s="10">
        <v>1294.23</v>
      </c>
      <c r="AG18" s="7">
        <v>205</v>
      </c>
      <c r="AH18" s="8" t="s">
        <v>137</v>
      </c>
      <c r="AI18" s="8" t="s">
        <v>79</v>
      </c>
      <c r="AJ18" s="8"/>
      <c r="AK18" s="8"/>
      <c r="AL18" s="7"/>
      <c r="AM18" s="8" t="s">
        <v>131</v>
      </c>
      <c r="AN18" s="8" t="s">
        <v>132</v>
      </c>
      <c r="AO18" s="9">
        <v>46048</v>
      </c>
    </row>
    <row r="19" spans="1:41" x14ac:dyDescent="0.25">
      <c r="A19" s="5" t="str">
        <f>IFERROR(IF(INDEX([1]BH!$A$2:$A$17,MATCH($D19,[1]BH!$D$2:$D$17,0))="","",INDEX([1]BH!$A$2:$A$17,MATCH($D19,[1]BH!$D$2:$D$17,0))),"")</f>
        <v>Denied</v>
      </c>
      <c r="B19" s="5" t="str">
        <f>IFERROR(IF(INDEX([1]BH!$B$2:$B$17,MATCH($D19,[1]BH!$D$2:$D$17,0))="","",INDEX([1]BH!$B$2:$B$17,MATCH($D19,[1]BH!$D$2:$D$17,0))),"")</f>
        <v>Under review - TAT 15 days - Ref # 10605826 - Rep Muthamma</v>
      </c>
      <c r="C19" s="6">
        <f>IFERROR(IF(INDEX([1]BH!$C$2:$C$17,MATCH($D19,[1]BH!$D$2:$D$17,0))="","",INDEX([1]BH!$C$2:$C$17,MATCH($D19,[1]BH!$D$2:$D$17,0))),"")</f>
        <v>46064</v>
      </c>
      <c r="D19" s="7">
        <v>548015539</v>
      </c>
      <c r="E19" s="8" t="s">
        <v>170</v>
      </c>
      <c r="F19" s="9">
        <v>46043</v>
      </c>
      <c r="G19" s="8" t="s">
        <v>123</v>
      </c>
      <c r="H19" s="8" t="s">
        <v>123</v>
      </c>
      <c r="I19" s="8" t="s">
        <v>171</v>
      </c>
      <c r="J19" s="8" t="s">
        <v>124</v>
      </c>
      <c r="K19" s="6">
        <f>IFERROR(IF(INDEX([1]BH!$K$2:$K$17,MATCH($D19,[1]BH!$D$2:$D$17,0))="","",INDEX([1]BH!$K$2:$K$17,MATCH($D19,[1]BH!$D$2:$D$17,0))),"")</f>
        <v>46134</v>
      </c>
      <c r="L19" s="11">
        <f ca="1">IF($O19="","",$O19-TODAY())</f>
        <v>-171</v>
      </c>
      <c r="M19" s="11">
        <f ca="1">IF(AND(TRIM($A19)="Finalized",$K19&lt;&gt;""),"",IF($F19="","",$F19+90-TODAY()))</f>
        <v>-171</v>
      </c>
      <c r="N19" s="11">
        <f ca="1">IF(AND(TRIM($A19)="Finalized",$K19&lt;&gt;""),"",IF($C19="","",$C19+365-TODAY()))</f>
        <v>125</v>
      </c>
      <c r="O19" s="9">
        <f>IF(AND(TRIM($A19)="Finalized",$K19&lt;&gt;""),"",DATE(2026,4,21))</f>
        <v>46133</v>
      </c>
      <c r="P19" s="8" t="s">
        <v>86</v>
      </c>
      <c r="Q19" s="8" t="s">
        <v>125</v>
      </c>
      <c r="R19" s="8" t="s">
        <v>86</v>
      </c>
      <c r="S19" s="8" t="s">
        <v>88</v>
      </c>
      <c r="T19" s="8" t="s">
        <v>73</v>
      </c>
      <c r="U19" s="8" t="s">
        <v>74</v>
      </c>
      <c r="V19" s="8" t="s">
        <v>75</v>
      </c>
      <c r="W19" s="8" t="s">
        <v>118</v>
      </c>
      <c r="X19" s="8"/>
      <c r="Y19" s="8"/>
      <c r="Z19" s="8"/>
      <c r="AA19" s="8" t="s">
        <v>77</v>
      </c>
      <c r="AB19" s="10">
        <v>1426.25</v>
      </c>
      <c r="AC19" s="10">
        <v>0</v>
      </c>
      <c r="AD19" s="10">
        <v>0</v>
      </c>
      <c r="AE19" s="9">
        <v>46064</v>
      </c>
      <c r="AF19" s="10">
        <v>1426.25</v>
      </c>
      <c r="AG19" s="7">
        <v>199</v>
      </c>
      <c r="AH19" s="8" t="s">
        <v>172</v>
      </c>
      <c r="AI19" s="8"/>
      <c r="AJ19" s="8"/>
      <c r="AK19" s="8"/>
      <c r="AL19" s="7"/>
      <c r="AM19" s="8" t="s">
        <v>157</v>
      </c>
      <c r="AN19" s="8" t="s">
        <v>158</v>
      </c>
      <c r="AO19" s="9">
        <v>46057</v>
      </c>
    </row>
    <row r="20" spans="1:41" x14ac:dyDescent="0.25">
      <c r="A20" s="5" t="str">
        <f>IFERROR(IF(INDEX([1]US!$A$2:$A$8,MATCH($D20,[1]US!$D$2:$D$8,0))="","",INDEX([1]US!$A$2:$A$8,MATCH($D20,[1]US!$D$2:$D$8,0))),"")</f>
        <v>Received</v>
      </c>
      <c r="B20" s="5" t="str">
        <f>IFERROR(IF(INDEX([1]US!$B$2:$B$8,MATCH($D20,[1]US!$D$2:$D$8,0))="","",INDEX([1]US!$B$2:$B$8,MATCH($D20,[1]US!$D$2:$D$8,0))),"")</f>
        <v/>
      </c>
      <c r="C20" s="6">
        <f>IFERROR(IF(INDEX([1]US!$C$2:$C$8,MATCH($D20,[1]US!$D$2:$D$8,0))="","",INDEX([1]US!$C$2:$C$8,MATCH($D20,[1]US!$D$2:$D$8,0))),"")</f>
        <v>46160</v>
      </c>
      <c r="D20" s="7">
        <v>547481511</v>
      </c>
      <c r="E20" s="8" t="s">
        <v>173</v>
      </c>
      <c r="F20" s="9">
        <v>46043</v>
      </c>
      <c r="G20" s="8" t="s">
        <v>174</v>
      </c>
      <c r="H20" s="8" t="s">
        <v>174</v>
      </c>
      <c r="I20" s="8" t="s">
        <v>69</v>
      </c>
      <c r="J20" s="8" t="s">
        <v>135</v>
      </c>
      <c r="K20" s="6" t="str">
        <f>IFERROR(IF(INDEX([1]US!$K$2:$K$8,MATCH($D20,[1]US!$D$2:$D$8,0))="","",INDEX([1]US!$K$2:$K$8,MATCH($D20,[1]US!$D$2:$D$8,0))),"")</f>
        <v/>
      </c>
      <c r="L20" s="11">
        <f ca="1">IF($O20="","",$O20-TODAY())</f>
        <v>-171</v>
      </c>
      <c r="M20" s="11">
        <f ca="1">IF(AND(TRIM($A20)="Finalized",$K20&lt;&gt;""),"",IF($F20="","",$F20+90-TODAY()))</f>
        <v>-171</v>
      </c>
      <c r="N20" s="11">
        <f ca="1">IF(AND(TRIM($A20)="Finalized",$K20&lt;&gt;""),"",IF($C20="","",$C20+180-TODAY()))</f>
        <v>36</v>
      </c>
      <c r="O20" s="9">
        <f>IF(AND(TRIM($A20)="Finalized",$K20&lt;&gt;""),"",DATE(2026,4,21))</f>
        <v>46133</v>
      </c>
      <c r="P20" s="8" t="s">
        <v>86</v>
      </c>
      <c r="Q20" s="8" t="s">
        <v>144</v>
      </c>
      <c r="R20" s="8" t="s">
        <v>86</v>
      </c>
      <c r="S20" s="8" t="s">
        <v>88</v>
      </c>
      <c r="T20" s="8" t="s">
        <v>117</v>
      </c>
      <c r="U20" s="8" t="s">
        <v>74</v>
      </c>
      <c r="V20" s="8" t="s">
        <v>75</v>
      </c>
      <c r="W20" s="8" t="s">
        <v>129</v>
      </c>
      <c r="X20" s="8"/>
      <c r="Y20" s="8"/>
      <c r="Z20" s="8"/>
      <c r="AA20" s="8" t="s">
        <v>77</v>
      </c>
      <c r="AB20" s="10">
        <v>1294.23</v>
      </c>
      <c r="AC20" s="10">
        <v>-176</v>
      </c>
      <c r="AD20" s="10">
        <v>176</v>
      </c>
      <c r="AE20" s="9">
        <v>46160</v>
      </c>
      <c r="AF20" s="10">
        <v>1294.23</v>
      </c>
      <c r="AG20" s="7">
        <v>199</v>
      </c>
      <c r="AH20" s="8" t="s">
        <v>175</v>
      </c>
      <c r="AI20" s="8" t="s">
        <v>176</v>
      </c>
      <c r="AJ20" s="8"/>
      <c r="AK20" s="8"/>
      <c r="AL20" s="7"/>
      <c r="AM20" s="8" t="s">
        <v>165</v>
      </c>
      <c r="AN20" s="8" t="s">
        <v>95</v>
      </c>
      <c r="AO20" s="9">
        <v>46048</v>
      </c>
    </row>
    <row r="21" spans="1:41" x14ac:dyDescent="0.25">
      <c r="A21" s="5" t="str">
        <f>IFERROR(IF(INDEX([1]BH!$A$2:$A$17,MATCH($D21,[1]BH!$D$2:$D$17,0))="","",INDEX([1]BH!$A$2:$A$17,MATCH($D21,[1]BH!$D$2:$D$17,0))),"")</f>
        <v>Pending</v>
      </c>
      <c r="B21" s="5" t="str">
        <f>IFERROR(IF(INDEX([1]BH!$B$2:$B$17,MATCH($D21,[1]BH!$D$2:$D$17,0))="","",INDEX([1]BH!$B$2:$B$17,MATCH($D21,[1]BH!$D$2:$D$17,0))),"")</f>
        <v>secondary - Resubmitted to AmeTrust</v>
      </c>
      <c r="C21" s="6">
        <f>IFERROR(IF(INDEX([1]BH!$C$2:$C$17,MATCH($D21,[1]BH!$D$2:$D$17,0))="","",INDEX([1]BH!$C$2:$C$17,MATCH($D21,[1]BH!$D$2:$D$17,0))),"")</f>
        <v>46094</v>
      </c>
      <c r="D21" s="7">
        <v>547442681</v>
      </c>
      <c r="E21" s="8" t="s">
        <v>177</v>
      </c>
      <c r="F21" s="9">
        <v>46044</v>
      </c>
      <c r="G21" s="8" t="s">
        <v>178</v>
      </c>
      <c r="H21" s="8" t="s">
        <v>123</v>
      </c>
      <c r="I21" s="8" t="s">
        <v>178</v>
      </c>
      <c r="J21" s="8" t="s">
        <v>160</v>
      </c>
      <c r="K21" s="6">
        <f>IFERROR(IF(INDEX([1]BH!$K$2:$K$17,MATCH($D21,[1]BH!$D$2:$D$17,0))="","",INDEX([1]BH!$K$2:$K$17,MATCH($D21,[1]BH!$D$2:$D$17,0))),"")</f>
        <v>46304</v>
      </c>
      <c r="L21" s="11">
        <f ca="1">IF($O21="","",$O21-TODAY())</f>
        <v>-170</v>
      </c>
      <c r="M21" s="11">
        <f ca="1">IF(AND(TRIM($A21)="Finalized",$K21&lt;&gt;""),"",IF($F21="","",$F21+90-TODAY()))</f>
        <v>-170</v>
      </c>
      <c r="N21" s="11">
        <f ca="1">IF(AND(TRIM($A21)="Finalized",$K21&lt;&gt;""),"",IF($C21="","",$C21+365-TODAY()))</f>
        <v>155</v>
      </c>
      <c r="O21" s="9">
        <f>IF(AND(TRIM($A21)="Finalized",$K21&lt;&gt;""),"",DATE(2026,4,22))</f>
        <v>46134</v>
      </c>
      <c r="P21" s="8" t="s">
        <v>86</v>
      </c>
      <c r="Q21" s="8" t="s">
        <v>125</v>
      </c>
      <c r="R21" s="8" t="s">
        <v>86</v>
      </c>
      <c r="S21" s="8" t="s">
        <v>88</v>
      </c>
      <c r="T21" s="8" t="s">
        <v>73</v>
      </c>
      <c r="U21" s="8" t="s">
        <v>74</v>
      </c>
      <c r="V21" s="8" t="s">
        <v>75</v>
      </c>
      <c r="W21" s="8" t="s">
        <v>118</v>
      </c>
      <c r="X21" s="8"/>
      <c r="Y21" s="8"/>
      <c r="Z21" s="8"/>
      <c r="AA21" s="8" t="s">
        <v>77</v>
      </c>
      <c r="AB21" s="10">
        <v>976.64</v>
      </c>
      <c r="AC21" s="10">
        <v>840.66</v>
      </c>
      <c r="AD21" s="10">
        <v>0</v>
      </c>
      <c r="AE21" s="9">
        <v>46094</v>
      </c>
      <c r="AF21" s="10">
        <v>135.97999999999999</v>
      </c>
      <c r="AG21" s="7">
        <v>198</v>
      </c>
      <c r="AH21" s="8" t="s">
        <v>179</v>
      </c>
      <c r="AI21" s="8"/>
      <c r="AJ21" s="8"/>
      <c r="AK21" s="8"/>
      <c r="AL21" s="7">
        <v>556556161</v>
      </c>
      <c r="AM21" s="8" t="s">
        <v>157</v>
      </c>
      <c r="AN21" s="8" t="s">
        <v>132</v>
      </c>
      <c r="AO21" s="9">
        <v>46056</v>
      </c>
    </row>
    <row r="22" spans="1:41" x14ac:dyDescent="0.25">
      <c r="A22" s="5" t="str">
        <f>IFERROR(IF(INDEX([1]ORTHO!$A$2:$A$10,MATCH($D22,[1]ORTHO!$D$2:$D$10,0))="","",INDEX([1]ORTHO!$A$2:$A$10,MATCH($D22,[1]ORTHO!$D$2:$D$10,0))),"")</f>
        <v>Denied</v>
      </c>
      <c r="B22" s="5" t="str">
        <f>IFERROR(IF(INDEX([1]ORTHO!$B$2:$B$10,MATCH($D22,[1]ORTHO!$D$2:$D$10,0))="","",INDEX([1]ORTHO!$B$2:$B$10,MATCH($D22,[1]ORTHO!$D$2:$D$10,0))),"")</f>
        <v/>
      </c>
      <c r="C22" s="6">
        <f>IFERROR(IF(INDEX([1]ORTHO!$C$2:$C$10,MATCH($D22,[1]ORTHO!$D$2:$D$10,0))="","",INDEX([1]ORTHO!$C$2:$C$10,MATCH($D22,[1]ORTHO!$D$2:$D$10,0))),"")</f>
        <v>46163</v>
      </c>
      <c r="D22" s="7">
        <v>547275123</v>
      </c>
      <c r="E22" s="8" t="s">
        <v>180</v>
      </c>
      <c r="F22" s="9">
        <v>46045</v>
      </c>
      <c r="G22" s="8" t="s">
        <v>114</v>
      </c>
      <c r="H22" s="8" t="s">
        <v>123</v>
      </c>
      <c r="I22" s="8" t="s">
        <v>114</v>
      </c>
      <c r="J22" s="8" t="s">
        <v>181</v>
      </c>
      <c r="K22" s="6" t="str">
        <f>IFERROR(IF(INDEX([1]ORTHO!$K$2:$K$10,MATCH($D22,[1]ORTHO!$D$2:$D$10,0))="","",INDEX([1]ORTHO!$K$2:$K$10,MATCH($D22,[1]ORTHO!$D$2:$D$10,0))),"")</f>
        <v/>
      </c>
      <c r="L22" s="11">
        <f ca="1">IF($O22="","",$O22-TODAY())</f>
        <v>-169</v>
      </c>
      <c r="M22" s="11">
        <f ca="1">IF(AND(TRIM($A22)="Finalized",$K22&lt;&gt;""),"",IF($F22="","",$F22+90-TODAY()))</f>
        <v>-169</v>
      </c>
      <c r="N22" s="11">
        <f ca="1">IF(AND(TRIM($A22)="Finalized",$K22&lt;&gt;""),"",IF($C22="","",$C22+365-TODAY()))</f>
        <v>224</v>
      </c>
      <c r="O22" s="9">
        <f>IF(AND(TRIM($A22)="Finalized",$K22&lt;&gt;""),"",DATE(2026,4,23))</f>
        <v>46135</v>
      </c>
      <c r="P22" s="8" t="s">
        <v>86</v>
      </c>
      <c r="Q22" s="8" t="s">
        <v>125</v>
      </c>
      <c r="R22" s="8" t="s">
        <v>86</v>
      </c>
      <c r="S22" s="8" t="s">
        <v>88</v>
      </c>
      <c r="T22" s="8" t="s">
        <v>73</v>
      </c>
      <c r="U22" s="8" t="s">
        <v>74</v>
      </c>
      <c r="V22" s="8" t="s">
        <v>75</v>
      </c>
      <c r="W22" s="8" t="s">
        <v>76</v>
      </c>
      <c r="X22" s="8" t="s">
        <v>153</v>
      </c>
      <c r="Y22" s="8"/>
      <c r="Z22" s="8"/>
      <c r="AA22" s="8" t="s">
        <v>77</v>
      </c>
      <c r="AB22" s="10">
        <v>5614.63</v>
      </c>
      <c r="AC22" s="10">
        <v>-186.91</v>
      </c>
      <c r="AD22" s="10">
        <v>0</v>
      </c>
      <c r="AE22" s="9">
        <v>46163</v>
      </c>
      <c r="AF22" s="10">
        <v>5614.63</v>
      </c>
      <c r="AG22" s="7">
        <v>197</v>
      </c>
      <c r="AH22" s="8" t="s">
        <v>182</v>
      </c>
      <c r="AI22" s="8"/>
      <c r="AJ22" s="8"/>
      <c r="AK22" s="8"/>
      <c r="AL22" s="7">
        <v>549237390</v>
      </c>
      <c r="AM22" s="8" t="s">
        <v>157</v>
      </c>
      <c r="AN22" s="8" t="s">
        <v>81</v>
      </c>
      <c r="AO22" s="9">
        <v>46049</v>
      </c>
    </row>
    <row r="23" spans="1:41" x14ac:dyDescent="0.25">
      <c r="A23" s="5" t="str">
        <f>IFERROR(IF(INDEX([1]ORTHO!$A$2:$A$10,MATCH($D23,[1]ORTHO!$D$2:$D$10,0))="","",INDEX([1]ORTHO!$A$2:$A$10,MATCH($D23,[1]ORTHO!$D$2:$D$10,0))),"")</f>
        <v>Denied</v>
      </c>
      <c r="B23" s="5" t="str">
        <f>IFERROR(IF(INDEX([1]ORTHO!$B$2:$B$10,MATCH($D23,[1]ORTHO!$D$2:$D$10,0))="","",INDEX([1]ORTHO!$B$2:$B$10,MATCH($D23,[1]ORTHO!$D$2:$D$10,0))),"")</f>
        <v>On it</v>
      </c>
      <c r="C23" s="6">
        <f>IFERROR(IF(INDEX([1]ORTHO!$C$2:$C$10,MATCH($D23,[1]ORTHO!$D$2:$D$10,0))="","",INDEX([1]ORTHO!$C$2:$C$10,MATCH($D23,[1]ORTHO!$D$2:$D$10,0))),"")</f>
        <v>46052</v>
      </c>
      <c r="D23" s="7">
        <v>547576017</v>
      </c>
      <c r="E23" s="8" t="s">
        <v>183</v>
      </c>
      <c r="F23" s="9">
        <v>46045</v>
      </c>
      <c r="G23" s="8" t="s">
        <v>123</v>
      </c>
      <c r="H23" s="8" t="s">
        <v>123</v>
      </c>
      <c r="I23" s="8" t="s">
        <v>69</v>
      </c>
      <c r="J23" s="8" t="s">
        <v>143</v>
      </c>
      <c r="K23" s="6" t="str">
        <f>IFERROR(IF(INDEX([1]ORTHO!$K$2:$K$10,MATCH($D23,[1]ORTHO!$D$2:$D$10,0))="","",INDEX([1]ORTHO!$K$2:$K$10,MATCH($D23,[1]ORTHO!$D$2:$D$10,0))),"")</f>
        <v/>
      </c>
      <c r="L23" s="11">
        <f ca="1">IF($O23="","",$O23-TODAY())</f>
        <v>-169</v>
      </c>
      <c r="M23" s="11">
        <f ca="1">IF(AND(TRIM($A23)="Finalized",$K23&lt;&gt;""),"",IF($F23="","",$F23+90-TODAY()))</f>
        <v>-169</v>
      </c>
      <c r="N23" s="11">
        <f ca="1">IF(AND(TRIM($A23)="Finalized",$K23&lt;&gt;""),"",IF($C23="","",$C23+365-TODAY()))</f>
        <v>113</v>
      </c>
      <c r="O23" s="9">
        <f>IF(AND(TRIM($A23)="Finalized",$K23&lt;&gt;""),"",DATE(2026,4,23))</f>
        <v>46135</v>
      </c>
      <c r="P23" s="8" t="s">
        <v>86</v>
      </c>
      <c r="Q23" s="8" t="s">
        <v>125</v>
      </c>
      <c r="R23" s="8" t="s">
        <v>86</v>
      </c>
      <c r="S23" s="8" t="s">
        <v>88</v>
      </c>
      <c r="T23" s="8" t="s">
        <v>73</v>
      </c>
      <c r="U23" s="8" t="s">
        <v>74</v>
      </c>
      <c r="V23" s="8" t="s">
        <v>75</v>
      </c>
      <c r="W23" s="8" t="s">
        <v>76</v>
      </c>
      <c r="X23" s="8"/>
      <c r="Y23" s="8"/>
      <c r="Z23" s="8"/>
      <c r="AA23" s="8" t="s">
        <v>77</v>
      </c>
      <c r="AB23" s="10">
        <v>7623.07</v>
      </c>
      <c r="AC23" s="10">
        <v>0</v>
      </c>
      <c r="AD23" s="10">
        <v>0</v>
      </c>
      <c r="AE23" s="9">
        <v>46052</v>
      </c>
      <c r="AF23" s="10">
        <v>7623.07</v>
      </c>
      <c r="AG23" s="7">
        <v>197</v>
      </c>
      <c r="AH23" s="8" t="s">
        <v>145</v>
      </c>
      <c r="AI23" s="8"/>
      <c r="AJ23" s="8"/>
      <c r="AK23" s="8"/>
      <c r="AL23" s="7"/>
      <c r="AM23" s="8" t="s">
        <v>146</v>
      </c>
      <c r="AN23" s="8" t="s">
        <v>109</v>
      </c>
      <c r="AO23" s="9">
        <v>46049</v>
      </c>
    </row>
    <row r="24" spans="1:41" x14ac:dyDescent="0.25">
      <c r="A24" s="5" t="str">
        <f>IFERROR(IF(INDEX([1]DME!$A$2:$A$8,MATCH($D24,[1]DME!$D$2:$D$8,0))="","",INDEX([1]DME!$A$2:$A$8,MATCH($D24,[1]DME!$D$2:$D$8,0))),"")</f>
        <v>Pending</v>
      </c>
      <c r="B24" s="5" t="str">
        <f>IFERROR(IF(INDEX([1]DME!$B$2:$B$8,MATCH($D24,[1]DME!$D$2:$D$8,0))="","",INDEX([1]DME!$B$2:$B$8,MATCH($D24,[1]DME!$D$2:$D$8,0))),"")</f>
        <v>secondary - I need to crossover claim - Edited charges for A6219, and resubmitted</v>
      </c>
      <c r="C24" s="6">
        <f>IFERROR(IF(INDEX([1]DME!$C$2:$C$8,MATCH($D24,[1]DME!$D$2:$D$8,0))="","",INDEX([1]DME!$C$2:$C$8,MATCH($D24,[1]DME!$D$2:$D$8,0))),"")</f>
        <v>46156</v>
      </c>
      <c r="D24" s="7">
        <v>557162806</v>
      </c>
      <c r="E24" s="8" t="s">
        <v>184</v>
      </c>
      <c r="F24" s="9">
        <v>46041</v>
      </c>
      <c r="G24" s="8" t="s">
        <v>185</v>
      </c>
      <c r="H24" s="8" t="s">
        <v>186</v>
      </c>
      <c r="I24" s="8" t="s">
        <v>185</v>
      </c>
      <c r="J24" s="8" t="s">
        <v>187</v>
      </c>
      <c r="K24" s="6">
        <f>IFERROR(IF(INDEX([1]DME!$K$2:$K$8,MATCH($D24,[1]DME!$D$2:$D$8,0))="","",INDEX([1]DME!$K$2:$K$8,MATCH($D24,[1]DME!$D$2:$D$8,0))),"")</f>
        <v>46136</v>
      </c>
      <c r="L24" s="11">
        <f ca="1">IF($O24="","",$O24-TODAY())</f>
        <v>-168</v>
      </c>
      <c r="M24" s="11">
        <f ca="1">IF(AND(TRIM($A24)="Finalized",$K24&lt;&gt;""),"",IF($C24="","",$C24+90-TODAY()))</f>
        <v>-58</v>
      </c>
      <c r="N24" s="11">
        <f ca="1">IF(AND(TRIM($A24)="Finalized",$K24&lt;&gt;""),"",IF($C24="","",$C24+90-TODAY()))</f>
        <v>-58</v>
      </c>
      <c r="O24" s="9">
        <f>IF(AND(TRIM($A24)="Finalized",$K24&lt;&gt;""),"",DATE(2026,4,24))</f>
        <v>46136</v>
      </c>
      <c r="P24" s="8" t="s">
        <v>188</v>
      </c>
      <c r="Q24" s="8" t="s">
        <v>189</v>
      </c>
      <c r="R24" s="8" t="s">
        <v>86</v>
      </c>
      <c r="S24" s="8" t="s">
        <v>74</v>
      </c>
      <c r="T24" s="8" t="s">
        <v>86</v>
      </c>
      <c r="U24" s="8" t="s">
        <v>74</v>
      </c>
      <c r="V24" s="8" t="s">
        <v>75</v>
      </c>
      <c r="W24" s="8" t="s">
        <v>89</v>
      </c>
      <c r="X24" s="8" t="s">
        <v>90</v>
      </c>
      <c r="Y24" s="8"/>
      <c r="Z24" s="8"/>
      <c r="AA24" s="8" t="s">
        <v>190</v>
      </c>
      <c r="AB24" s="10">
        <v>18176.900000000001</v>
      </c>
      <c r="AC24" s="10">
        <v>16142.75</v>
      </c>
      <c r="AD24" s="10">
        <v>1627.48</v>
      </c>
      <c r="AE24" s="9">
        <v>46156</v>
      </c>
      <c r="AF24" s="10">
        <v>406.67</v>
      </c>
      <c r="AG24" s="7">
        <v>201</v>
      </c>
      <c r="AH24" s="8" t="s">
        <v>92</v>
      </c>
      <c r="AI24" s="8" t="s">
        <v>78</v>
      </c>
      <c r="AJ24" s="8" t="s">
        <v>79</v>
      </c>
      <c r="AK24" s="8"/>
      <c r="AL24" s="7">
        <v>551367817</v>
      </c>
      <c r="AM24" s="8" t="s">
        <v>80</v>
      </c>
      <c r="AN24" s="8" t="s">
        <v>191</v>
      </c>
      <c r="AO24" s="9">
        <v>46063</v>
      </c>
    </row>
    <row r="25" spans="1:41" x14ac:dyDescent="0.25">
      <c r="A25" s="5" t="str">
        <f>IFERROR(IF(INDEX([1]GAE!$A$2:$A$12,MATCH($D25,[1]GAE!$D$2:$D$12,0))="","",INDEX([1]GAE!$A$2:$A$12,MATCH($D25,[1]GAE!$D$2:$D$12,0))),"")</f>
        <v/>
      </c>
      <c r="B25" s="5" t="str">
        <f>IFERROR(IF(INDEX([1]GAE!$B$2:$B$12,MATCH($D25,[1]GAE!$D$2:$D$12,0))="","",INDEX([1]GAE!$B$2:$B$12,MATCH($D25,[1]GAE!$D$2:$D$12,0))),"")</f>
        <v/>
      </c>
      <c r="C25" s="6">
        <f>IFERROR(IF(INDEX([1]GAE!$C$2:$C$12,MATCH($D25,[1]GAE!$D$2:$D$12,0))="","",INDEX([1]GAE!$C$2:$C$12,MATCH($D25,[1]GAE!$D$2:$D$12,0))),"")</f>
        <v>46111</v>
      </c>
      <c r="D25" s="7">
        <v>552170540</v>
      </c>
      <c r="E25" s="8" t="s">
        <v>192</v>
      </c>
      <c r="F25" s="9">
        <v>46048</v>
      </c>
      <c r="G25" s="8" t="s">
        <v>97</v>
      </c>
      <c r="H25" s="8" t="s">
        <v>97</v>
      </c>
      <c r="I25" s="8" t="s">
        <v>69</v>
      </c>
      <c r="J25" s="8" t="s">
        <v>193</v>
      </c>
      <c r="K25" s="6" t="str">
        <f>IFERROR(IF(INDEX([1]GAE!$K$2:$K$12,MATCH($D25,[1]GAE!$D$2:$D$12,0))="","",INDEX([1]GAE!$K$2:$K$12,MATCH($D25,[1]GAE!$D$2:$D$12,0))),"")</f>
        <v/>
      </c>
      <c r="L25" s="11">
        <f ca="1">IF($O25="","",$O25-TODAY())</f>
        <v>-166</v>
      </c>
      <c r="M25" s="11">
        <f ca="1">IF(AND(TRIM($A25)="Finalized",$K25&lt;&gt;""),"",IF($F25="","",$F25+90-TODAY()))</f>
        <v>-166</v>
      </c>
      <c r="N25" s="11">
        <f ca="1">IF(AND(TRIM($A25)="Finalized",$K25&lt;&gt;""),"",IF($C25="","",$C25+540-TODAY()))</f>
        <v>347</v>
      </c>
      <c r="O25" s="9">
        <f>IF(AND(TRIM($A25)="Finalized",$K25&lt;&gt;""),"",DATE(2026,4,26))</f>
        <v>46138</v>
      </c>
      <c r="P25" s="8" t="s">
        <v>86</v>
      </c>
      <c r="Q25" s="8" t="s">
        <v>99</v>
      </c>
      <c r="R25" s="8" t="s">
        <v>86</v>
      </c>
      <c r="S25" s="8" t="s">
        <v>88</v>
      </c>
      <c r="T25" s="8" t="s">
        <v>100</v>
      </c>
      <c r="U25" s="8" t="s">
        <v>74</v>
      </c>
      <c r="V25" s="8" t="s">
        <v>75</v>
      </c>
      <c r="W25" s="8" t="s">
        <v>101</v>
      </c>
      <c r="X25" s="8" t="s">
        <v>102</v>
      </c>
      <c r="Y25" s="8" t="s">
        <v>103</v>
      </c>
      <c r="Z25" s="8"/>
      <c r="AA25" s="8" t="s">
        <v>77</v>
      </c>
      <c r="AB25" s="10">
        <v>64277.64</v>
      </c>
      <c r="AC25" s="10">
        <v>0</v>
      </c>
      <c r="AD25" s="10">
        <v>0</v>
      </c>
      <c r="AE25" s="9">
        <v>46111</v>
      </c>
      <c r="AF25" s="10">
        <v>64277.64</v>
      </c>
      <c r="AG25" s="7">
        <v>194</v>
      </c>
      <c r="AH25" s="8" t="s">
        <v>105</v>
      </c>
      <c r="AI25" s="8" t="s">
        <v>106</v>
      </c>
      <c r="AJ25" s="8" t="s">
        <v>107</v>
      </c>
      <c r="AK25" s="8"/>
      <c r="AL25" s="7"/>
      <c r="AM25" s="8" t="s">
        <v>108</v>
      </c>
      <c r="AN25" s="8" t="s">
        <v>109</v>
      </c>
      <c r="AO25" s="9">
        <v>46062</v>
      </c>
    </row>
    <row r="26" spans="1:41" x14ac:dyDescent="0.25">
      <c r="A26" s="5" t="str">
        <f>IFERROR(IF(INDEX([1]BH!$A$2:$A$17,MATCH($D26,[1]BH!$D$2:$D$17,0))="","",INDEX([1]BH!$A$2:$A$17,MATCH($D26,[1]BH!$D$2:$D$17,0))),"")</f>
        <v>Received</v>
      </c>
      <c r="B26" s="5" t="str">
        <f>IFERROR(IF(INDEX([1]BH!$B$2:$B$17,MATCH($D26,[1]BH!$D$2:$D$17,0))="","",INDEX([1]BH!$B$2:$B$17,MATCH($D26,[1]BH!$D$2:$D$17,0))),"")</f>
        <v xml:space="preserve">Resubmitted - no changes </v>
      </c>
      <c r="C26" s="6">
        <f>IFERROR(IF(INDEX([1]BH!$C$2:$C$17,MATCH($D26,[1]BH!$D$2:$D$17,0))="","",INDEX([1]BH!$C$2:$C$17,MATCH($D26,[1]BH!$D$2:$D$17,0))),"")</f>
        <v>46128</v>
      </c>
      <c r="D26" s="7">
        <v>555599776</v>
      </c>
      <c r="E26" s="8" t="s">
        <v>194</v>
      </c>
      <c r="F26" s="9">
        <v>46049</v>
      </c>
      <c r="G26" s="8" t="s">
        <v>123</v>
      </c>
      <c r="H26" s="8" t="s">
        <v>123</v>
      </c>
      <c r="I26" s="8" t="s">
        <v>69</v>
      </c>
      <c r="J26" s="8" t="s">
        <v>195</v>
      </c>
      <c r="K26" s="6">
        <f>IFERROR(IF(INDEX([1]BH!$K$2:$K$17,MATCH($D26,[1]BH!$D$2:$D$17,0))="","",INDEX([1]BH!$K$2:$K$17,MATCH($D26,[1]BH!$D$2:$D$17,0))),"")</f>
        <v>46122</v>
      </c>
      <c r="L26" s="11">
        <f ca="1">IF($O26="","",$O26-TODAY())</f>
        <v>-165</v>
      </c>
      <c r="M26" s="11">
        <f ca="1">IF(AND(TRIM($A26)="Finalized",$K26&lt;&gt;""),"",IF($F26="","",$F26+90-TODAY()))</f>
        <v>-165</v>
      </c>
      <c r="N26" s="11">
        <f ca="1">IF(AND(TRIM($A26)="Finalized",$K26&lt;&gt;""),"",IF($C26="","",$C26+365-TODAY()))</f>
        <v>189</v>
      </c>
      <c r="O26" s="9">
        <f>IF(AND(TRIM($A26)="Finalized",$K26&lt;&gt;""),"",DATE(2026,4,27))</f>
        <v>46139</v>
      </c>
      <c r="P26" s="8" t="s">
        <v>86</v>
      </c>
      <c r="Q26" s="8" t="s">
        <v>125</v>
      </c>
      <c r="R26" s="8" t="s">
        <v>86</v>
      </c>
      <c r="S26" s="8" t="s">
        <v>88</v>
      </c>
      <c r="T26" s="8" t="s">
        <v>73</v>
      </c>
      <c r="U26" s="8" t="s">
        <v>74</v>
      </c>
      <c r="V26" s="8" t="s">
        <v>75</v>
      </c>
      <c r="W26" s="8" t="s">
        <v>118</v>
      </c>
      <c r="X26" s="8"/>
      <c r="Y26" s="8"/>
      <c r="Z26" s="8"/>
      <c r="AA26" s="8" t="s">
        <v>77</v>
      </c>
      <c r="AB26" s="10">
        <v>1426.25</v>
      </c>
      <c r="AC26" s="10">
        <v>0</v>
      </c>
      <c r="AD26" s="10">
        <v>0</v>
      </c>
      <c r="AE26" s="9">
        <v>46128</v>
      </c>
      <c r="AF26" s="10">
        <v>1426.25</v>
      </c>
      <c r="AG26" s="7">
        <v>193</v>
      </c>
      <c r="AH26" s="8" t="s">
        <v>119</v>
      </c>
      <c r="AI26" s="8"/>
      <c r="AJ26" s="8"/>
      <c r="AK26" s="8"/>
      <c r="AL26" s="7"/>
      <c r="AM26" s="8" t="s">
        <v>146</v>
      </c>
      <c r="AN26" s="8" t="s">
        <v>121</v>
      </c>
      <c r="AO26" s="9">
        <v>46057</v>
      </c>
    </row>
    <row r="27" spans="1:41" x14ac:dyDescent="0.25">
      <c r="A27" s="5" t="str">
        <f>IFERROR(IF(INDEX([1]BH!$A$2:$A$17,MATCH($D27,[1]BH!$D$2:$D$17,0))="","",INDEX([1]BH!$A$2:$A$17,MATCH($D27,[1]BH!$D$2:$D$17,0))),"")</f>
        <v>Denied</v>
      </c>
      <c r="B27" s="5" t="str">
        <f>IFERROR(IF(INDEX([1]BH!$B$2:$B$17,MATCH($D27,[1]BH!$D$2:$D$17,0))="","",INDEX([1]BH!$B$2:$B$17,MATCH($D27,[1]BH!$D$2:$D$17,0))),"")</f>
        <v>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v>
      </c>
      <c r="C27" s="6">
        <f>IFERROR(IF(INDEX([1]BH!$C$2:$C$17,MATCH($D27,[1]BH!$D$2:$D$17,0))="","",INDEX([1]BH!$C$2:$C$17,MATCH($D27,[1]BH!$D$2:$D$17,0))),"")</f>
        <v>46287</v>
      </c>
      <c r="D27" s="7">
        <v>556349314</v>
      </c>
      <c r="E27" s="8" t="s">
        <v>196</v>
      </c>
      <c r="F27" s="9">
        <v>46049</v>
      </c>
      <c r="G27" s="8" t="s">
        <v>134</v>
      </c>
      <c r="H27" s="8" t="s">
        <v>134</v>
      </c>
      <c r="I27" s="8" t="s">
        <v>69</v>
      </c>
      <c r="J27" s="8" t="s">
        <v>160</v>
      </c>
      <c r="K27" s="6">
        <f>IFERROR(IF(INDEX([1]BH!$K$2:$K$17,MATCH($D27,[1]BH!$D$2:$D$17,0))="","",INDEX([1]BH!$K$2:$K$17,MATCH($D27,[1]BH!$D$2:$D$17,0))),"")</f>
        <v>46300</v>
      </c>
      <c r="L27" s="11">
        <f ca="1">IF($O27="","",$O27-TODAY())</f>
        <v>-165</v>
      </c>
      <c r="M27" s="11">
        <f ca="1">IF(AND(TRIM($A27)="Finalized",$K27&lt;&gt;""),"",IF($C27="","",$C27+365-TODAY()))</f>
        <v>348</v>
      </c>
      <c r="N27" s="11">
        <f ca="1">IF(AND(TRIM($A27)="Finalized",$K27&lt;&gt;""),"",IF($C27="","",$C27+365-TODAY()))</f>
        <v>348</v>
      </c>
      <c r="O27" s="9">
        <f>IF(AND(TRIM($A27)="Finalized",$K27&lt;&gt;""),"",DATE(2026,4,27))</f>
        <v>46139</v>
      </c>
      <c r="P27" s="8" t="s">
        <v>86</v>
      </c>
      <c r="Q27" s="8" t="s">
        <v>136</v>
      </c>
      <c r="R27" s="8" t="s">
        <v>73</v>
      </c>
      <c r="S27" s="8" t="s">
        <v>74</v>
      </c>
      <c r="T27" s="8" t="s">
        <v>73</v>
      </c>
      <c r="U27" s="8" t="s">
        <v>74</v>
      </c>
      <c r="V27" s="8" t="s">
        <v>75</v>
      </c>
      <c r="W27" s="8" t="s">
        <v>118</v>
      </c>
      <c r="X27" s="8"/>
      <c r="Y27" s="8"/>
      <c r="Z27" s="8"/>
      <c r="AA27" s="8" t="s">
        <v>77</v>
      </c>
      <c r="AB27" s="10">
        <v>976.64</v>
      </c>
      <c r="AC27" s="10">
        <v>0</v>
      </c>
      <c r="AD27" s="10">
        <v>0</v>
      </c>
      <c r="AE27" s="9">
        <v>46133</v>
      </c>
      <c r="AF27" s="10">
        <v>976.64</v>
      </c>
      <c r="AG27" s="7">
        <v>193</v>
      </c>
      <c r="AH27" s="8" t="s">
        <v>197</v>
      </c>
      <c r="AI27" s="8" t="s">
        <v>179</v>
      </c>
      <c r="AJ27" s="8"/>
      <c r="AK27" s="8"/>
      <c r="AL27" s="7"/>
      <c r="AM27" s="8" t="s">
        <v>146</v>
      </c>
      <c r="AN27" s="8" t="s">
        <v>198</v>
      </c>
      <c r="AO27" s="9">
        <v>46056</v>
      </c>
    </row>
    <row r="28" spans="1:41" x14ac:dyDescent="0.25">
      <c r="A28" s="5" t="str">
        <f>IFERROR(IF(INDEX([1]BH!$A$2:$A$17,MATCH($D28,[1]BH!$D$2:$D$17,0))="","",INDEX([1]BH!$A$2:$A$17,MATCH($D28,[1]BH!$D$2:$D$17,0))),"")</f>
        <v>Pending</v>
      </c>
      <c r="B28" s="5" t="str">
        <f>IFERROR(IF(INDEX([1]BH!$B$2:$B$17,MATCH($D28,[1]BH!$D$2:$D$17,0))="","",INDEX([1]BH!$B$2:$B$17,MATCH($D28,[1]BH!$D$2:$D$17,0))),"")</f>
        <v>Not shifting - working on it Shifted to PR - Ins didn't receive PT update - I talked to PT on the phone, she said she will contact the insurance to take care of the IQ this week</v>
      </c>
      <c r="C28" s="6">
        <f>IFERROR(IF(INDEX([1]BH!$C$2:$C$17,MATCH($D28,[1]BH!$D$2:$D$17,0))="","",INDEX([1]BH!$C$2:$C$17,MATCH($D28,[1]BH!$D$2:$D$17,0))),"")</f>
        <v>46066</v>
      </c>
      <c r="D28" s="7">
        <v>547976909</v>
      </c>
      <c r="E28" s="8" t="s">
        <v>199</v>
      </c>
      <c r="F28" s="9">
        <v>46051</v>
      </c>
      <c r="G28" s="8" t="s">
        <v>123</v>
      </c>
      <c r="H28" s="8" t="s">
        <v>123</v>
      </c>
      <c r="I28" s="8" t="s">
        <v>200</v>
      </c>
      <c r="J28" s="8" t="s">
        <v>160</v>
      </c>
      <c r="K28" s="6">
        <f>IFERROR(IF(INDEX([1]BH!$K$2:$K$17,MATCH($D28,[1]BH!$D$2:$D$17,0))="","",INDEX([1]BH!$K$2:$K$17,MATCH($D28,[1]BH!$D$2:$D$17,0))),"")</f>
        <v>46245</v>
      </c>
      <c r="L28" s="11">
        <f ca="1">IF($O28="","",$O28-TODAY())</f>
        <v>-163</v>
      </c>
      <c r="M28" s="11">
        <f ca="1">IF(AND(TRIM($A28)="Finalized",$K28&lt;&gt;""),"",IF($F28="","",$F28+90-TODAY()))</f>
        <v>-163</v>
      </c>
      <c r="N28" s="11">
        <f ca="1">IF(AND(TRIM($A28)="Finalized",$K28&lt;&gt;""),"",IF($C28="","",$C28+365-TODAY()))</f>
        <v>127</v>
      </c>
      <c r="O28" s="9">
        <f>IF(AND(TRIM($A28)="Finalized",$K28&lt;&gt;""),"",DATE(2026,4,29))</f>
        <v>46141</v>
      </c>
      <c r="P28" s="8" t="s">
        <v>86</v>
      </c>
      <c r="Q28" s="8" t="s">
        <v>125</v>
      </c>
      <c r="R28" s="8" t="s">
        <v>86</v>
      </c>
      <c r="S28" s="8" t="s">
        <v>88</v>
      </c>
      <c r="T28" s="8" t="s">
        <v>73</v>
      </c>
      <c r="U28" s="8" t="s">
        <v>74</v>
      </c>
      <c r="V28" s="8" t="s">
        <v>75</v>
      </c>
      <c r="W28" s="8" t="s">
        <v>118</v>
      </c>
      <c r="X28" s="8"/>
      <c r="Y28" s="8"/>
      <c r="Z28" s="8"/>
      <c r="AA28" s="8" t="s">
        <v>77</v>
      </c>
      <c r="AB28" s="10">
        <v>976.64</v>
      </c>
      <c r="AC28" s="10">
        <v>0</v>
      </c>
      <c r="AD28" s="10">
        <v>0</v>
      </c>
      <c r="AE28" s="9">
        <v>46066</v>
      </c>
      <c r="AF28" s="10">
        <v>976.64</v>
      </c>
      <c r="AG28" s="7">
        <v>191</v>
      </c>
      <c r="AH28" s="8" t="s">
        <v>201</v>
      </c>
      <c r="AI28" s="8"/>
      <c r="AJ28" s="8"/>
      <c r="AK28" s="8"/>
      <c r="AL28" s="7"/>
      <c r="AM28" s="8" t="s">
        <v>131</v>
      </c>
      <c r="AN28" s="8" t="s">
        <v>132</v>
      </c>
      <c r="AO28" s="9">
        <v>46056</v>
      </c>
    </row>
    <row r="29" spans="1:41" x14ac:dyDescent="0.25">
      <c r="A29" s="5" t="str">
        <f>IFERROR(IF(INDEX([1]US!$A$2:$A$8,MATCH($D29,[1]US!$D$2:$D$8,0))="","",INDEX([1]US!$A$2:$A$8,MATCH($D29,[1]US!$D$2:$D$8,0))),"")</f>
        <v/>
      </c>
      <c r="B29" s="5" t="str">
        <f>IFERROR(IF(INDEX([1]US!$B$2:$B$8,MATCH($D29,[1]US!$D$2:$D$8,0))="","",INDEX([1]US!$B$2:$B$8,MATCH($D29,[1]US!$D$2:$D$8,0))),"")</f>
        <v/>
      </c>
      <c r="C29" s="6">
        <f>IFERROR(IF(INDEX([1]US!$C$2:$C$8,MATCH($D29,[1]US!$D$2:$D$8,0))="","",INDEX([1]US!$C$2:$C$8,MATCH($D29,[1]US!$D$2:$D$8,0))),"")</f>
        <v>46156</v>
      </c>
      <c r="D29" s="7">
        <v>548573158</v>
      </c>
      <c r="E29" s="8" t="s">
        <v>140</v>
      </c>
      <c r="F29" s="9">
        <v>46051</v>
      </c>
      <c r="G29" s="8" t="s">
        <v>114</v>
      </c>
      <c r="H29" s="8" t="s">
        <v>114</v>
      </c>
      <c r="I29" s="8" t="s">
        <v>69</v>
      </c>
      <c r="J29" s="8" t="s">
        <v>135</v>
      </c>
      <c r="K29" s="6" t="str">
        <f>IFERROR(IF(INDEX([1]US!$K$2:$K$8,MATCH($D29,[1]US!$D$2:$D$8,0))="","",INDEX([1]US!$K$2:$K$8,MATCH($D29,[1]US!$D$2:$D$8,0))),"")</f>
        <v/>
      </c>
      <c r="L29" s="11">
        <f ca="1">IF($O29="","",$O29-TODAY())</f>
        <v>-163</v>
      </c>
      <c r="M29" s="11">
        <f ca="1">IF(AND(TRIM($A29)="Finalized",$K29&lt;&gt;""),"",IF($C29="","",$C29+180-TODAY()))</f>
        <v>32</v>
      </c>
      <c r="N29" s="11">
        <f ca="1">IF(AND(TRIM($A29)="Finalized",$K29&lt;&gt;""),"",IF($C29="","",$C29+365-TODAY()))</f>
        <v>217</v>
      </c>
      <c r="O29" s="9">
        <f>IF(AND(TRIM($A29)="Finalized",$K29&lt;&gt;""),"",DATE(2026,4,29))</f>
        <v>46141</v>
      </c>
      <c r="P29" s="8" t="s">
        <v>86</v>
      </c>
      <c r="Q29" s="8" t="s">
        <v>116</v>
      </c>
      <c r="R29" s="8" t="s">
        <v>117</v>
      </c>
      <c r="S29" s="8" t="s">
        <v>74</v>
      </c>
      <c r="T29" s="8" t="s">
        <v>73</v>
      </c>
      <c r="U29" s="8" t="s">
        <v>74</v>
      </c>
      <c r="V29" s="8" t="s">
        <v>75</v>
      </c>
      <c r="W29" s="8" t="s">
        <v>129</v>
      </c>
      <c r="X29" s="8"/>
      <c r="Y29" s="8"/>
      <c r="Z29" s="8"/>
      <c r="AA29" s="8" t="s">
        <v>77</v>
      </c>
      <c r="AB29" s="10">
        <v>1294.23</v>
      </c>
      <c r="AC29" s="10">
        <v>0</v>
      </c>
      <c r="AD29" s="10">
        <v>0</v>
      </c>
      <c r="AE29" s="9">
        <v>46156</v>
      </c>
      <c r="AF29" s="10">
        <v>1294.23</v>
      </c>
      <c r="AG29" s="7">
        <v>191</v>
      </c>
      <c r="AH29" s="8" t="s">
        <v>137</v>
      </c>
      <c r="AI29" s="8" t="s">
        <v>139</v>
      </c>
      <c r="AJ29" s="8" t="s">
        <v>138</v>
      </c>
      <c r="AK29" s="8"/>
      <c r="AL29" s="7"/>
      <c r="AM29" s="8" t="s">
        <v>131</v>
      </c>
      <c r="AN29" s="8" t="s">
        <v>132</v>
      </c>
      <c r="AO29" s="9">
        <v>46058</v>
      </c>
    </row>
    <row r="30" spans="1:41" x14ac:dyDescent="0.25">
      <c r="A30" s="5" t="str">
        <f>IFERROR(IF(INDEX([2]BH!$A$2:$A$9,MATCH($D30,[2]BH!$D$2:$D$9,0))="","",INDEX([2]BH!$A$2:$A$9,MATCH($D30,[2]BH!$D$2:$D$9,0))),"")</f>
        <v>Denied</v>
      </c>
      <c r="B30" s="5" t="str">
        <f>IFERROR(IF(INDEX([2]BH!$B$2:$B$9,MATCH($D30,[2]BH!$D$2:$D$9,0))="","",INDEX([2]BH!$B$2:$B$9,MATCH($D30,[2]BH!$D$2:$D$9,0))),"")</f>
        <v>Rep Briana - Jarrett Leathem is not contracted with member's Focus Network - Reference number 11216220</v>
      </c>
      <c r="C30" s="6">
        <f>IFERROR(IF(INDEX([2]BH!$C$2:$C$9,MATCH($D30,[2]BH!$D$2:$D$9,0))="","",INDEX([2]BH!$C$2:$C$9,MATCH($D30,[2]BH!$D$2:$D$9,0))),"")</f>
        <v>46098</v>
      </c>
      <c r="D30" s="7">
        <v>548676737</v>
      </c>
      <c r="E30" s="8" t="s">
        <v>202</v>
      </c>
      <c r="F30" s="9">
        <v>46056</v>
      </c>
      <c r="G30" s="8" t="s">
        <v>123</v>
      </c>
      <c r="H30" s="8" t="s">
        <v>123</v>
      </c>
      <c r="I30" s="8" t="s">
        <v>69</v>
      </c>
      <c r="J30" s="8" t="s">
        <v>203</v>
      </c>
      <c r="K30" s="6">
        <f>IFERROR(IF(INDEX([2]BH!$K$2:$K$9,MATCH($D30,[2]BH!$D$2:$D$9,0))="","",INDEX([2]BH!$K$2:$K$9,MATCH($D30,[2]BH!$D$2:$D$9,0))),"")</f>
        <v>46183</v>
      </c>
      <c r="L30" s="11">
        <f ca="1">IF($O30="","",$O30-TODAY())</f>
        <v>-158</v>
      </c>
      <c r="M30" s="11">
        <f ca="1">IF(AND(TRIM($A30)="Finalized",$K30&lt;&gt;""),"",IF($F30="","",$F30+90-TODAY()))</f>
        <v>-158</v>
      </c>
      <c r="N30" s="11">
        <f ca="1">IF(AND(TRIM($A30)="Finalized",$K30&lt;&gt;""),"",IF($C30="","",$C30+365-TODAY()))</f>
        <v>159</v>
      </c>
      <c r="O30" s="9">
        <f>IF(AND(TRIM($A30)="Finalized",$K30&lt;&gt;""),"",DATE(2026,5,4))</f>
        <v>46146</v>
      </c>
      <c r="P30" s="8" t="s">
        <v>86</v>
      </c>
      <c r="Q30" s="8" t="s">
        <v>125</v>
      </c>
      <c r="R30" s="8" t="s">
        <v>86</v>
      </c>
      <c r="S30" s="8" t="s">
        <v>88</v>
      </c>
      <c r="T30" s="8" t="s">
        <v>73</v>
      </c>
      <c r="U30" s="8" t="s">
        <v>74</v>
      </c>
      <c r="V30" s="8" t="s">
        <v>204</v>
      </c>
      <c r="W30" s="8" t="s">
        <v>118</v>
      </c>
      <c r="X30" s="8"/>
      <c r="Y30" s="8"/>
      <c r="Z30" s="8"/>
      <c r="AA30" s="8" t="s">
        <v>77</v>
      </c>
      <c r="AB30" s="10">
        <v>1372.91</v>
      </c>
      <c r="AC30" s="10">
        <v>0</v>
      </c>
      <c r="AD30" s="10">
        <v>0</v>
      </c>
      <c r="AE30" s="9">
        <v>46098</v>
      </c>
      <c r="AF30" s="10">
        <v>1372.91</v>
      </c>
      <c r="AG30" s="7">
        <v>186</v>
      </c>
      <c r="AH30" s="8" t="s">
        <v>119</v>
      </c>
      <c r="AI30" s="8"/>
      <c r="AJ30" s="8"/>
      <c r="AK30" s="8"/>
      <c r="AL30" s="7"/>
      <c r="AM30" s="8" t="s">
        <v>157</v>
      </c>
      <c r="AN30" s="8" t="s">
        <v>198</v>
      </c>
      <c r="AO30" s="9">
        <v>46086</v>
      </c>
    </row>
    <row r="31" spans="1:41" x14ac:dyDescent="0.25">
      <c r="A31" s="5" t="str">
        <f>IFERROR(IF(INDEX([1]GAE!$A$2:$A$12,MATCH($D31,[1]GAE!$D$2:$D$12,0))="","",INDEX([1]GAE!$A$2:$A$12,MATCH($D31,[1]GAE!$D$2:$D$12,0))),"")</f>
        <v/>
      </c>
      <c r="B31" s="5" t="str">
        <f>IFERROR(IF(INDEX([1]GAE!$B$2:$B$12,MATCH($D31,[1]GAE!$D$2:$D$12,0))="","",INDEX([1]GAE!$B$2:$B$12,MATCH($D31,[1]GAE!$D$2:$D$12,0))),"")</f>
        <v/>
      </c>
      <c r="C31" s="6">
        <f>IFERROR(IF(INDEX([1]GAE!$C$2:$C$12,MATCH($D31,[1]GAE!$D$2:$D$12,0))="","",INDEX([1]GAE!$C$2:$C$12,MATCH($D31,[1]GAE!$D$2:$D$12,0))),"")</f>
        <v>46127</v>
      </c>
      <c r="D31" s="7">
        <v>555373347</v>
      </c>
      <c r="E31" s="8" t="s">
        <v>205</v>
      </c>
      <c r="F31" s="9">
        <v>46027</v>
      </c>
      <c r="G31" s="8" t="s">
        <v>206</v>
      </c>
      <c r="H31" s="8" t="s">
        <v>206</v>
      </c>
      <c r="I31" s="8" t="s">
        <v>69</v>
      </c>
      <c r="J31" s="8" t="s">
        <v>207</v>
      </c>
      <c r="K31" s="6" t="str">
        <f>IFERROR(IF(INDEX([1]GAE!$K$2:$K$12,MATCH($D31,[1]GAE!$D$2:$D$12,0))="","",INDEX([1]GAE!$K$2:$K$12,MATCH($D31,[1]GAE!$D$2:$D$12,0))),"")</f>
        <v/>
      </c>
      <c r="L31" s="11">
        <f ca="1">IF($O31="","",$O31-TODAY())</f>
        <v>-157</v>
      </c>
      <c r="M31" s="11">
        <f ca="1">IF(AND(TRIM($A31)="Finalized",$K31&lt;&gt;""),"",IF($C31="","",$C31+180-TODAY()))</f>
        <v>3</v>
      </c>
      <c r="N31" s="11">
        <f ca="1">IF(AND(TRIM($A31)="Finalized",$K31&lt;&gt;""),"",IF($C31="","",$C31+180-TODAY()))</f>
        <v>3</v>
      </c>
      <c r="O31" s="9">
        <f>IF(AND(TRIM($A31)="Finalized",$K31&lt;&gt;""),"",DATE(2026,5,5))</f>
        <v>46147</v>
      </c>
      <c r="P31" s="8" t="s">
        <v>208</v>
      </c>
      <c r="Q31" s="8" t="s">
        <v>209</v>
      </c>
      <c r="R31" s="8" t="s">
        <v>117</v>
      </c>
      <c r="S31" s="8" t="s">
        <v>74</v>
      </c>
      <c r="T31" s="8" t="s">
        <v>117</v>
      </c>
      <c r="U31" s="8" t="s">
        <v>74</v>
      </c>
      <c r="V31" s="8" t="s">
        <v>75</v>
      </c>
      <c r="W31" s="8" t="s">
        <v>101</v>
      </c>
      <c r="X31" s="8" t="s">
        <v>102</v>
      </c>
      <c r="Y31" s="8" t="s">
        <v>103</v>
      </c>
      <c r="Z31" s="8"/>
      <c r="AA31" s="8" t="s">
        <v>210</v>
      </c>
      <c r="AB31" s="10">
        <v>57326.78</v>
      </c>
      <c r="AC31" s="10">
        <v>0</v>
      </c>
      <c r="AD31" s="10">
        <v>0</v>
      </c>
      <c r="AE31" s="9">
        <v>46127</v>
      </c>
      <c r="AF31" s="10">
        <v>57326.78</v>
      </c>
      <c r="AG31" s="7">
        <v>215</v>
      </c>
      <c r="AH31" s="8" t="s">
        <v>105</v>
      </c>
      <c r="AI31" s="8" t="s">
        <v>106</v>
      </c>
      <c r="AJ31" s="8" t="s">
        <v>107</v>
      </c>
      <c r="AK31" s="8"/>
      <c r="AL31" s="7"/>
      <c r="AM31" s="8" t="s">
        <v>108</v>
      </c>
      <c r="AN31" s="8" t="s">
        <v>132</v>
      </c>
      <c r="AO31" s="9">
        <v>46062</v>
      </c>
    </row>
    <row r="32" spans="1:41" x14ac:dyDescent="0.25">
      <c r="A32" s="5" t="str">
        <f>IFERROR(IF(INDEX([2]ORTHO!$A$2:$A$11,MATCH($D32,[2]ORTHO!$D$2:$D$11,0))="","",INDEX([2]ORTHO!$A$2:$A$11,MATCH($D32,[2]ORTHO!$D$2:$D$11,0))),"")</f>
        <v>Denied</v>
      </c>
      <c r="B32" s="5" t="str">
        <f>IFERROR(IF(INDEX([2]ORTHO!$B$2:$B$11,MATCH($D32,[2]ORTHO!$D$2:$D$11,0))="","",INDEX([2]ORTHO!$B$2:$B$11,MATCH($D32,[2]ORTHO!$D$2:$D$11,0))),"")</f>
        <v>Deanne is reviewing this one - Rep Jessie - Claim contains a non anesthesia service, and rendering is listed as an anesthesiologist on ins end</v>
      </c>
      <c r="C32" s="6">
        <f>IFERROR(IF(INDEX([2]ORTHO!$C$2:$C$11,MATCH($D32,[2]ORTHO!$D$2:$D$11,0))="","",INDEX([2]ORTHO!$C$2:$C$11,MATCH($D32,[2]ORTHO!$D$2:$D$11,0))),"")</f>
        <v>46147</v>
      </c>
      <c r="D32" s="7">
        <v>555677002</v>
      </c>
      <c r="E32" s="8" t="s">
        <v>218</v>
      </c>
      <c r="F32" s="9">
        <v>46059</v>
      </c>
      <c r="G32" s="8" t="s">
        <v>97</v>
      </c>
      <c r="H32" s="8" t="s">
        <v>97</v>
      </c>
      <c r="I32" s="8" t="s">
        <v>69</v>
      </c>
      <c r="J32" s="8" t="s">
        <v>219</v>
      </c>
      <c r="K32" s="6">
        <f>IFERROR(IF(INDEX([2]ORTHO!$K$2:$K$11,MATCH($D32,[2]ORTHO!$D$2:$D$11,0))="","",INDEX([2]ORTHO!$K$2:$K$11,MATCH($D32,[2]ORTHO!$D$2:$D$11,0))),"")</f>
        <v>46247</v>
      </c>
      <c r="L32" s="11">
        <f ca="1">IF($O32="","",$O32-TODAY())</f>
        <v>-155</v>
      </c>
      <c r="M32" s="11">
        <f ca="1">IF(AND(TRIM($A32)="Finalized",$K32&lt;&gt;""),"",IF($F32="","",$F32+90-TODAY()))</f>
        <v>-155</v>
      </c>
      <c r="N32" s="11">
        <f ca="1">IF(AND(TRIM($A32)="Finalized",$K32&lt;&gt;""),"",IF($C32="","",$C32+540-TODAY()))</f>
        <v>383</v>
      </c>
      <c r="O32" s="9">
        <f>IF(AND(TRIM($A32)="Finalized",$K32&lt;&gt;""),"",DATE(2026,5,7))</f>
        <v>46149</v>
      </c>
      <c r="P32" s="8" t="s">
        <v>86</v>
      </c>
      <c r="Q32" s="8" t="s">
        <v>99</v>
      </c>
      <c r="R32" s="8" t="s">
        <v>86</v>
      </c>
      <c r="S32" s="8" t="s">
        <v>88</v>
      </c>
      <c r="T32" s="8" t="s">
        <v>100</v>
      </c>
      <c r="U32" s="8" t="s">
        <v>74</v>
      </c>
      <c r="V32" s="8" t="s">
        <v>204</v>
      </c>
      <c r="W32" s="8" t="s">
        <v>76</v>
      </c>
      <c r="X32" s="8"/>
      <c r="Y32" s="8"/>
      <c r="Z32" s="8"/>
      <c r="AA32" s="8" t="s">
        <v>77</v>
      </c>
      <c r="AB32" s="10">
        <v>9056.39</v>
      </c>
      <c r="AC32" s="10">
        <v>0</v>
      </c>
      <c r="AD32" s="10">
        <v>0</v>
      </c>
      <c r="AE32" s="9">
        <v>46147</v>
      </c>
      <c r="AF32" s="10">
        <v>9056.39</v>
      </c>
      <c r="AG32" s="7">
        <v>183</v>
      </c>
      <c r="AH32" s="8" t="s">
        <v>145</v>
      </c>
      <c r="AI32" s="8"/>
      <c r="AJ32" s="8"/>
      <c r="AK32" s="8"/>
      <c r="AL32" s="7"/>
      <c r="AM32" s="8" t="s">
        <v>146</v>
      </c>
      <c r="AN32" s="8" t="s">
        <v>109</v>
      </c>
      <c r="AO32" s="9">
        <v>46065</v>
      </c>
    </row>
    <row r="33" spans="1:41" x14ac:dyDescent="0.25">
      <c r="A33" s="5" t="str">
        <f>IFERROR(IF(INDEX([2]BH!$A$2:$A$9,MATCH($D33,[2]BH!$D$2:$D$9,0))="","",INDEX([2]BH!$A$2:$A$9,MATCH($D33,[2]BH!$D$2:$D$9,0))),"")</f>
        <v>Denied</v>
      </c>
      <c r="B33" s="5" t="str">
        <f>IFERROR(IF(INDEX([2]BH!$B$2:$B$9,MATCH($D33,[2]BH!$D$2:$D$9,0))="","",INDEX([2]BH!$B$2:$B$9,MATCH($D33,[2]BH!$D$2:$D$9,0))),"")</f>
        <v>DND - Non contracted provider</v>
      </c>
      <c r="C33" s="6">
        <f>IFERROR(IF(INDEX([2]BH!$C$2:$C$9,MATCH($D33,[2]BH!$D$2:$D$9,0))="","",INDEX([2]BH!$C$2:$C$9,MATCH($D33,[2]BH!$D$2:$D$9,0))),"")</f>
        <v>46148</v>
      </c>
      <c r="D33" s="7">
        <v>548979329</v>
      </c>
      <c r="E33" s="8" t="s">
        <v>67</v>
      </c>
      <c r="F33" s="9">
        <v>46062</v>
      </c>
      <c r="G33" s="8" t="s">
        <v>123</v>
      </c>
      <c r="H33" s="8" t="s">
        <v>123</v>
      </c>
      <c r="I33" s="8" t="s">
        <v>69</v>
      </c>
      <c r="J33" s="8" t="s">
        <v>220</v>
      </c>
      <c r="K33" s="6">
        <f>IFERROR(IF(INDEX([2]BH!$K$2:$K$9,MATCH($D33,[2]BH!$D$2:$D$9,0))="","",INDEX([2]BH!$K$2:$K$9,MATCH($D33,[2]BH!$D$2:$D$9,0))),"")</f>
        <v>46183</v>
      </c>
      <c r="L33" s="11">
        <f ca="1">IF($O33="","",$O33-TODAY())</f>
        <v>-152</v>
      </c>
      <c r="M33" s="11">
        <f ca="1">IF(AND(TRIM($A33)="Finalized",$K33&lt;&gt;""),"",IF($F33="","",$F33+90-TODAY()))</f>
        <v>-152</v>
      </c>
      <c r="N33" s="11">
        <f ca="1">IF(AND(TRIM($A33)="Finalized",$K33&lt;&gt;""),"",IF($C33="","",$C33+365-TODAY()))</f>
        <v>209</v>
      </c>
      <c r="O33" s="9">
        <f>IF(AND(TRIM($A33)="Finalized",$K33&lt;&gt;""),"",DATE(2026,5,10))</f>
        <v>46152</v>
      </c>
      <c r="P33" s="8" t="s">
        <v>86</v>
      </c>
      <c r="Q33" s="8" t="s">
        <v>125</v>
      </c>
      <c r="R33" s="8" t="s">
        <v>86</v>
      </c>
      <c r="S33" s="8" t="s">
        <v>88</v>
      </c>
      <c r="T33" s="8" t="s">
        <v>73</v>
      </c>
      <c r="U33" s="8" t="s">
        <v>74</v>
      </c>
      <c r="V33" s="8" t="s">
        <v>204</v>
      </c>
      <c r="W33" s="8" t="s">
        <v>118</v>
      </c>
      <c r="X33" s="8"/>
      <c r="Y33" s="8"/>
      <c r="Z33" s="8"/>
      <c r="AA33" s="8" t="s">
        <v>77</v>
      </c>
      <c r="AB33" s="10">
        <v>1372.91</v>
      </c>
      <c r="AC33" s="10">
        <v>0</v>
      </c>
      <c r="AD33" s="10">
        <v>0</v>
      </c>
      <c r="AE33" s="9">
        <v>46148</v>
      </c>
      <c r="AF33" s="10">
        <v>1372.91</v>
      </c>
      <c r="AG33" s="7">
        <v>180</v>
      </c>
      <c r="AH33" s="8" t="s">
        <v>119</v>
      </c>
      <c r="AI33" s="8"/>
      <c r="AJ33" s="8"/>
      <c r="AK33" s="8"/>
      <c r="AL33" s="7"/>
      <c r="AM33" s="8" t="s">
        <v>80</v>
      </c>
      <c r="AN33" s="8" t="s">
        <v>121</v>
      </c>
      <c r="AO33" s="9">
        <v>46090</v>
      </c>
    </row>
    <row r="34" spans="1:41" x14ac:dyDescent="0.25">
      <c r="A34" s="5" t="str">
        <f>IFERROR(IF(INDEX([2]BH!$A$2:$A$9,MATCH($D34,[2]BH!$D$2:$D$9,0))="","",INDEX([2]BH!$A$2:$A$9,MATCH($D34,[2]BH!$D$2:$D$9,0))),"")</f>
        <v>Finalized</v>
      </c>
      <c r="B34" s="5" t="str">
        <f>IFERROR(IF(INDEX([2]BH!$B$2:$B$9,MATCH($D34,[2]BH!$D$2:$D$9,0))="","",INDEX([2]BH!$B$2:$B$9,MATCH($D34,[2]BH!$D$2:$D$9,0))),"")</f>
        <v/>
      </c>
      <c r="C34" s="6">
        <f>IFERROR(IF(INDEX([2]BH!$C$2:$C$9,MATCH($D34,[2]BH!$D$2:$D$9,0))="","",INDEX([2]BH!$C$2:$C$9,MATCH($D34,[2]BH!$D$2:$D$9,0))),"")</f>
        <v>46119</v>
      </c>
      <c r="D34" s="7">
        <v>549765437</v>
      </c>
      <c r="E34" s="8" t="s">
        <v>177</v>
      </c>
      <c r="F34" s="9">
        <v>46065</v>
      </c>
      <c r="G34" s="8" t="s">
        <v>178</v>
      </c>
      <c r="H34" s="8" t="s">
        <v>123</v>
      </c>
      <c r="I34" s="8" t="s">
        <v>178</v>
      </c>
      <c r="J34" s="8" t="s">
        <v>220</v>
      </c>
      <c r="K34" s="6" t="str">
        <f>IFERROR(IF(INDEX([2]BH!$K$2:$K$9,MATCH($D34,[2]BH!$D$2:$D$9,0))="","",INDEX([2]BH!$K$2:$K$9,MATCH($D34,[2]BH!$D$2:$D$9,0))),"")</f>
        <v/>
      </c>
      <c r="L34" s="11">
        <f ca="1">IF($O34="","",$O34-TODAY())</f>
        <v>-149</v>
      </c>
      <c r="M34" s="11">
        <f ca="1">IF(AND(TRIM($A34)="Finalized",$K34&lt;&gt;""),"",IF($F34="","",$F34+90-TODAY()))</f>
        <v>-149</v>
      </c>
      <c r="N34" s="11">
        <f ca="1">IF(AND(TRIM($A34)="Finalized",$K34&lt;&gt;""),"",IF($C34="","",$C34+365-TODAY()))</f>
        <v>180</v>
      </c>
      <c r="O34" s="9">
        <f>IF(AND(TRIM($A34)="Finalized",$K34&lt;&gt;""),"",DATE(2026,5,13))</f>
        <v>46155</v>
      </c>
      <c r="P34" s="8" t="s">
        <v>86</v>
      </c>
      <c r="Q34" s="8" t="s">
        <v>125</v>
      </c>
      <c r="R34" s="8" t="s">
        <v>86</v>
      </c>
      <c r="S34" s="8" t="s">
        <v>88</v>
      </c>
      <c r="T34" s="8" t="s">
        <v>73</v>
      </c>
      <c r="U34" s="8" t="s">
        <v>74</v>
      </c>
      <c r="V34" s="8" t="s">
        <v>204</v>
      </c>
      <c r="W34" s="8" t="s">
        <v>118</v>
      </c>
      <c r="X34" s="8"/>
      <c r="Y34" s="8"/>
      <c r="Z34" s="8"/>
      <c r="AA34" s="8" t="s">
        <v>77</v>
      </c>
      <c r="AB34" s="10">
        <v>1372.91</v>
      </c>
      <c r="AC34" s="10">
        <v>1179.8900000000001</v>
      </c>
      <c r="AD34" s="10">
        <v>0</v>
      </c>
      <c r="AE34" s="9">
        <v>46119</v>
      </c>
      <c r="AF34" s="10">
        <v>193.02</v>
      </c>
      <c r="AG34" s="7">
        <v>177</v>
      </c>
      <c r="AH34" s="8" t="s">
        <v>179</v>
      </c>
      <c r="AI34" s="8"/>
      <c r="AJ34" s="8"/>
      <c r="AK34" s="8"/>
      <c r="AL34" s="7">
        <v>558453526</v>
      </c>
      <c r="AM34" s="8" t="s">
        <v>157</v>
      </c>
      <c r="AN34" s="8" t="s">
        <v>132</v>
      </c>
      <c r="AO34" s="9">
        <v>46086</v>
      </c>
    </row>
    <row r="35" spans="1:41" x14ac:dyDescent="0.25">
      <c r="A35" s="5" t="str">
        <f>IFERROR(IF(INDEX([1]BH!$A$2:$A$17,MATCH($D35,[1]BH!$D$2:$D$17,0))="","",INDEX([1]BH!$A$2:$A$17,MATCH($D35,[1]BH!$D$2:$D$17,0))),"")</f>
        <v>Rejected</v>
      </c>
      <c r="B35" s="5" t="str">
        <f>IFERROR(IF(INDEX([1]BH!$B$2:$B$17,MATCH($D35,[1]BH!$D$2:$D$17,0))="","",INDEX([1]BH!$B$2:$B$17,MATCH($D35,[1]BH!$D$2:$D$17,0))),"")</f>
        <v>ASAP DEER VALLEY NPI missing - Resubmitted</v>
      </c>
      <c r="C35" s="6">
        <f>IFERROR(IF(INDEX([1]BH!$C$2:$C$17,MATCH($D35,[1]BH!$D$2:$D$17,0))="","",INDEX([1]BH!$C$2:$C$17,MATCH($D35,[1]BH!$D$2:$D$17,0))),"")</f>
        <v>46098</v>
      </c>
      <c r="D35" s="7">
        <v>557090486</v>
      </c>
      <c r="E35" s="8" t="s">
        <v>221</v>
      </c>
      <c r="F35" s="9">
        <v>46036</v>
      </c>
      <c r="G35" s="8" t="s">
        <v>222</v>
      </c>
      <c r="H35" s="8" t="s">
        <v>222</v>
      </c>
      <c r="I35" s="8" t="s">
        <v>69</v>
      </c>
      <c r="J35" s="8" t="s">
        <v>223</v>
      </c>
      <c r="K35" s="6">
        <f>IFERROR(IF(INDEX([1]BH!$K$2:$K$17,MATCH($D35,[1]BH!$D$2:$D$17,0))="","",INDEX([1]BH!$K$2:$K$17,MATCH($D35,[1]BH!$D$2:$D$17,0))),"")</f>
        <v>46135</v>
      </c>
      <c r="L35" s="11">
        <f ca="1">IF($O35="","",$O35-TODAY())</f>
        <v>-148</v>
      </c>
      <c r="M35" s="11">
        <f ca="1">IF(AND(TRIM($A35)="Finalized",$K35&lt;&gt;""),"",IF($C35="","",$C35+365-TODAY()))</f>
        <v>159</v>
      </c>
      <c r="N35" s="11">
        <f ca="1">IF(AND(TRIM($A35)="Finalized",$K35&lt;&gt;""),"",IF($C35="","",$C35+90-TODAY()))</f>
        <v>-116</v>
      </c>
      <c r="O35" s="9">
        <f>IF(AND(TRIM($A35)="Finalized",$K35&lt;&gt;""),"",DATE(2026,5,14))</f>
        <v>46156</v>
      </c>
      <c r="P35" s="8" t="s">
        <v>208</v>
      </c>
      <c r="Q35" s="8" t="s">
        <v>224</v>
      </c>
      <c r="R35" s="8" t="s">
        <v>73</v>
      </c>
      <c r="S35" s="8" t="s">
        <v>74</v>
      </c>
      <c r="T35" s="8" t="s">
        <v>86</v>
      </c>
      <c r="U35" s="8" t="s">
        <v>74</v>
      </c>
      <c r="V35" s="8" t="s">
        <v>75</v>
      </c>
      <c r="W35" s="8" t="s">
        <v>118</v>
      </c>
      <c r="X35" s="8"/>
      <c r="Y35" s="8"/>
      <c r="Z35" s="8"/>
      <c r="AA35" s="8" t="s">
        <v>112</v>
      </c>
      <c r="AB35" s="10">
        <v>1769.18</v>
      </c>
      <c r="AC35" s="10">
        <v>0</v>
      </c>
      <c r="AD35" s="10">
        <v>0</v>
      </c>
      <c r="AE35" s="9">
        <v>46098</v>
      </c>
      <c r="AF35" s="10">
        <v>1769.18</v>
      </c>
      <c r="AG35" s="7">
        <v>206</v>
      </c>
      <c r="AH35" s="8" t="s">
        <v>225</v>
      </c>
      <c r="AI35" s="8"/>
      <c r="AJ35" s="8"/>
      <c r="AK35" s="8"/>
      <c r="AL35" s="7"/>
      <c r="AM35" s="8" t="s">
        <v>131</v>
      </c>
      <c r="AN35" s="8" t="s">
        <v>132</v>
      </c>
      <c r="AO35" s="9">
        <v>46056</v>
      </c>
    </row>
    <row r="36" spans="1:41" x14ac:dyDescent="0.25">
      <c r="A36" s="5" t="str">
        <f>IFERROR(IF(INDEX([2]BH!$A$2:$A$9,MATCH($D36,[2]BH!$D$2:$D$9,0))="","",INDEX([2]BH!$A$2:$A$9,MATCH($D36,[2]BH!$D$2:$D$9,0))),"")</f>
        <v>Denied</v>
      </c>
      <c r="B36" s="5" t="str">
        <f>IFERROR(IF(INDEX([2]BH!$B$2:$B$9,MATCH($D36,[2]BH!$D$2:$D$9,0))="","",INDEX([2]BH!$B$2:$B$9,MATCH($D36,[2]BH!$D$2:$D$9,0))),"")</f>
        <v>Added Date of Current Illness, claim note, and resubmitted</v>
      </c>
      <c r="C36" s="6">
        <f>IFERROR(IF(INDEX([2]BH!$C$2:$C$9,MATCH($D36,[2]BH!$D$2:$D$9,0))="","",INDEX([2]BH!$C$2:$C$9,MATCH($D36,[2]BH!$D$2:$D$9,0))),"")</f>
        <v>46147</v>
      </c>
      <c r="D36" s="7">
        <v>557794433</v>
      </c>
      <c r="E36" s="8" t="s">
        <v>159</v>
      </c>
      <c r="F36" s="9">
        <v>46066</v>
      </c>
      <c r="G36" s="8" t="s">
        <v>134</v>
      </c>
      <c r="H36" s="8" t="s">
        <v>134</v>
      </c>
      <c r="I36" s="8" t="s">
        <v>69</v>
      </c>
      <c r="J36" s="8" t="s">
        <v>160</v>
      </c>
      <c r="K36" s="6">
        <f>IFERROR(IF(INDEX([2]BH!$K$2:$K$9,MATCH($D36,[2]BH!$D$2:$D$9,0))="","",INDEX([2]BH!$K$2:$K$9,MATCH($D36,[2]BH!$D$2:$D$9,0))),"")</f>
        <v>46142</v>
      </c>
      <c r="L36" s="11">
        <f ca="1">IF($O36="","",$O36-TODAY())</f>
        <v>-148</v>
      </c>
      <c r="M36" s="11">
        <f ca="1">IF(AND(TRIM($A36)="Finalized",$K36&lt;&gt;""),"",IF($C36="","",$C36+365-TODAY()))</f>
        <v>208</v>
      </c>
      <c r="N36" s="11">
        <f ca="1">IF(AND(TRIM($A36)="Finalized",$K36&lt;&gt;""),"",IF($C36="","",$C36+365-TODAY()))</f>
        <v>208</v>
      </c>
      <c r="O36" s="9">
        <f>IF(AND(TRIM($A36)="Finalized",$K36&lt;&gt;""),"",DATE(2026,5,14))</f>
        <v>46156</v>
      </c>
      <c r="P36" s="8" t="s">
        <v>86</v>
      </c>
      <c r="Q36" s="8" t="s">
        <v>136</v>
      </c>
      <c r="R36" s="8" t="s">
        <v>73</v>
      </c>
      <c r="S36" s="8" t="s">
        <v>74</v>
      </c>
      <c r="T36" s="8" t="s">
        <v>73</v>
      </c>
      <c r="U36" s="8" t="s">
        <v>74</v>
      </c>
      <c r="V36" s="8" t="s">
        <v>204</v>
      </c>
      <c r="W36" s="8" t="s">
        <v>118</v>
      </c>
      <c r="X36" s="8"/>
      <c r="Y36" s="8"/>
      <c r="Z36" s="8"/>
      <c r="AA36" s="8" t="s">
        <v>77</v>
      </c>
      <c r="AB36" s="10">
        <v>976.64</v>
      </c>
      <c r="AC36" s="10">
        <v>0</v>
      </c>
      <c r="AD36" s="10">
        <v>0</v>
      </c>
      <c r="AE36" s="9">
        <v>46147</v>
      </c>
      <c r="AF36" s="10">
        <v>976.64</v>
      </c>
      <c r="AG36" s="7">
        <v>176</v>
      </c>
      <c r="AH36" s="8" t="s">
        <v>161</v>
      </c>
      <c r="AI36" s="8"/>
      <c r="AJ36" s="8"/>
      <c r="AK36" s="8"/>
      <c r="AL36" s="7"/>
      <c r="AM36" s="8" t="s">
        <v>157</v>
      </c>
      <c r="AN36" s="8" t="s">
        <v>158</v>
      </c>
      <c r="AO36" s="9">
        <v>46086</v>
      </c>
    </row>
    <row r="37" spans="1:41" x14ac:dyDescent="0.25">
      <c r="A37" s="5" t="str">
        <f>IFERROR(IF(INDEX([2]GAE!$A$2:$A$6,MATCH($D37,[2]GAE!$D$2:$D$6,0))="","",INDEX([2]GAE!$A$2:$A$6,MATCH($D37,[2]GAE!$D$2:$D$6,0))),"")</f>
        <v>Denied</v>
      </c>
      <c r="B37" s="5" t="str">
        <f>IFERROR(IF(INDEX([2]GAE!$B$2:$B$6,MATCH($D37,[2]GAE!$D$2:$D$6,0))="","",INDEX([2]GAE!$B$2:$B$6,MATCH($D37,[2]GAE!$D$2:$D$6,0))),"")</f>
        <v>Provider active, resubmitted</v>
      </c>
      <c r="C37" s="6">
        <f>IFERROR(IF(INDEX([2]GAE!$C$2:$C$6,MATCH($D37,[2]GAE!$D$2:$D$6,0))="","",INDEX([2]GAE!$C$2:$C$6,MATCH($D37,[2]GAE!$D$2:$D$6,0))),"")</f>
        <v>46154</v>
      </c>
      <c r="D37" s="7">
        <v>557784595</v>
      </c>
      <c r="E37" s="8" t="s">
        <v>226</v>
      </c>
      <c r="F37" s="9">
        <v>46069</v>
      </c>
      <c r="G37" s="8" t="s">
        <v>123</v>
      </c>
      <c r="H37" s="8" t="s">
        <v>123</v>
      </c>
      <c r="I37" s="8" t="s">
        <v>69</v>
      </c>
      <c r="J37" s="8" t="s">
        <v>227</v>
      </c>
      <c r="K37" s="6">
        <f>IFERROR(IF(INDEX([2]GAE!$K$2:$K$6,MATCH($D37,[2]GAE!$D$2:$D$6,0))="","",INDEX([2]GAE!$K$2:$K$6,MATCH($D37,[2]GAE!$D$2:$D$6,0))),"")</f>
        <v>46142</v>
      </c>
      <c r="L37" s="11">
        <f ca="1">IF($O37="","",$O37-TODAY())</f>
        <v>-145</v>
      </c>
      <c r="M37" s="11">
        <f ca="1">IF(AND(TRIM($A37)="Finalized",$K37&lt;&gt;""),"",IF($F37="","",$F37+90-TODAY()))</f>
        <v>-145</v>
      </c>
      <c r="N37" s="11">
        <f ca="1">IF(AND(TRIM($A37)="Finalized",$K37&lt;&gt;""),"",IF($C37="","",$C37+365-TODAY()))</f>
        <v>215</v>
      </c>
      <c r="O37" s="9">
        <f>IF(AND(TRIM($A37)="Finalized",$K37&lt;&gt;""),"",DATE(2026,5,17))</f>
        <v>46159</v>
      </c>
      <c r="P37" s="8" t="s">
        <v>86</v>
      </c>
      <c r="Q37" s="8" t="s">
        <v>125</v>
      </c>
      <c r="R37" s="8" t="s">
        <v>86</v>
      </c>
      <c r="S37" s="8" t="s">
        <v>88</v>
      </c>
      <c r="T37" s="8" t="s">
        <v>73</v>
      </c>
      <c r="U37" s="8" t="s">
        <v>74</v>
      </c>
      <c r="V37" s="8" t="s">
        <v>204</v>
      </c>
      <c r="W37" s="8" t="s">
        <v>101</v>
      </c>
      <c r="X37" s="8" t="s">
        <v>228</v>
      </c>
      <c r="Y37" s="8" t="s">
        <v>103</v>
      </c>
      <c r="Z37" s="8"/>
      <c r="AA37" s="8" t="s">
        <v>229</v>
      </c>
      <c r="AB37" s="10">
        <v>61320.35</v>
      </c>
      <c r="AC37" s="10">
        <v>0</v>
      </c>
      <c r="AD37" s="10">
        <v>0</v>
      </c>
      <c r="AE37" s="9">
        <v>46154</v>
      </c>
      <c r="AF37" s="10">
        <v>61320.35</v>
      </c>
      <c r="AG37" s="7">
        <v>173</v>
      </c>
      <c r="AH37" s="8" t="s">
        <v>105</v>
      </c>
      <c r="AI37" s="8" t="s">
        <v>106</v>
      </c>
      <c r="AJ37" s="8" t="s">
        <v>107</v>
      </c>
      <c r="AK37" s="8"/>
      <c r="AL37" s="7"/>
      <c r="AM37" s="8" t="s">
        <v>108</v>
      </c>
      <c r="AN37" s="8" t="s">
        <v>132</v>
      </c>
      <c r="AO37" s="9">
        <v>46090</v>
      </c>
    </row>
    <row r="38" spans="1:41" x14ac:dyDescent="0.25">
      <c r="A38" s="5" t="str">
        <f>IFERROR(IF(INDEX([2]DME!$A$2:$A$12,MATCH($D38,[2]DME!$D$2:$D$12,0))="","",INDEX([2]DME!$A$2:$A$12,MATCH($D38,[2]DME!$D$2:$D$12,0))),"")</f>
        <v>Under Review</v>
      </c>
      <c r="B38" s="5" t="str">
        <f>IFERROR(IF(INDEX([2]DME!$B$2:$B$12,MATCH($D38,[2]DME!$D$2:$D$12,0))="","",INDEX([2]DME!$B$2:$B$12,MATCH($D38,[2]DME!$D$2:$D$12,0))),"")</f>
        <v xml:space="preserve">Auth issue - Denied payment again - Bri resubmitted - Provider TAX ID/NPI Combination is not on file with BCBS AZ. </v>
      </c>
      <c r="C38" s="6">
        <f>IFERROR(IF(INDEX([2]DME!$C$2:$C$12,MATCH($D38,[2]DME!$D$2:$D$12,0))="","",INDEX([2]DME!$C$2:$C$12,MATCH($D38,[2]DME!$D$2:$D$12,0))),"")</f>
        <v>46227</v>
      </c>
      <c r="D38" s="7">
        <v>565140993</v>
      </c>
      <c r="E38" s="8" t="s">
        <v>230</v>
      </c>
      <c r="F38" s="9">
        <v>46069</v>
      </c>
      <c r="G38" s="8" t="s">
        <v>123</v>
      </c>
      <c r="H38" s="8" t="s">
        <v>123</v>
      </c>
      <c r="I38" s="8" t="s">
        <v>69</v>
      </c>
      <c r="J38" s="8" t="s">
        <v>231</v>
      </c>
      <c r="K38" s="6">
        <f>IFERROR(IF(INDEX([2]DME!$K$2:$K$12,MATCH($D38,[2]DME!$D$2:$D$12,0))="","",INDEX([2]DME!$K$2:$K$12,MATCH($D38,[2]DME!$D$2:$D$12,0))),"")</f>
        <v>46196</v>
      </c>
      <c r="L38" s="11">
        <f ca="1">IF($O38="","",$O38-TODAY())</f>
        <v>-145</v>
      </c>
      <c r="M38" s="11">
        <f ca="1">IF(AND(TRIM($A38)="Finalized",$K38&lt;&gt;""),"",IF($F38="","",$F38+90-TODAY()))</f>
        <v>-145</v>
      </c>
      <c r="N38" s="11">
        <f ca="1">IF(AND(TRIM($A38)="Finalized",$K38&lt;&gt;""),"",IF($C38="","",$C38+365-TODAY()))</f>
        <v>288</v>
      </c>
      <c r="O38" s="9">
        <f>IF(AND(TRIM($A38)="Finalized",$K38&lt;&gt;""),"",DATE(2026,5,17))</f>
        <v>46159</v>
      </c>
      <c r="P38" s="8" t="s">
        <v>86</v>
      </c>
      <c r="Q38" s="8" t="s">
        <v>125</v>
      </c>
      <c r="R38" s="8" t="s">
        <v>86</v>
      </c>
      <c r="S38" s="8" t="s">
        <v>88</v>
      </c>
      <c r="T38" s="8" t="s">
        <v>73</v>
      </c>
      <c r="U38" s="8" t="s">
        <v>74</v>
      </c>
      <c r="V38" s="8" t="s">
        <v>204</v>
      </c>
      <c r="W38" s="8" t="s">
        <v>89</v>
      </c>
      <c r="X38" s="8" t="s">
        <v>232</v>
      </c>
      <c r="Y38" s="8"/>
      <c r="Z38" s="8"/>
      <c r="AA38" s="8" t="s">
        <v>77</v>
      </c>
      <c r="AB38" s="10">
        <v>5492.55</v>
      </c>
      <c r="AC38" s="10">
        <v>0</v>
      </c>
      <c r="AD38" s="10">
        <v>0</v>
      </c>
      <c r="AE38" s="9"/>
      <c r="AF38" s="10">
        <v>5492.55</v>
      </c>
      <c r="AG38" s="7">
        <v>173</v>
      </c>
      <c r="AH38" s="8" t="s">
        <v>233</v>
      </c>
      <c r="AI38" s="8" t="s">
        <v>215</v>
      </c>
      <c r="AJ38" s="8"/>
      <c r="AK38" s="8"/>
      <c r="AL38" s="7"/>
      <c r="AM38" s="8" t="s">
        <v>168</v>
      </c>
      <c r="AN38" s="8" t="s">
        <v>191</v>
      </c>
      <c r="AO38" s="9">
        <v>46080</v>
      </c>
    </row>
    <row r="39" spans="1:41" x14ac:dyDescent="0.25">
      <c r="A39" s="5" t="str">
        <f>IFERROR(IF(INDEX([2]BH!$A$2:$A$9,MATCH($D39,[2]BH!$D$2:$D$9,0))="","",INDEX([2]BH!$A$2:$A$9,MATCH($D39,[2]BH!$D$2:$D$9,0))),"")</f>
        <v>Denied</v>
      </c>
      <c r="B39" s="5" t="str">
        <f>IFERROR(IF(INDEX([2]BH!$B$2:$B$9,MATCH($D39,[2]BH!$D$2:$D$9,0))="","",INDEX([2]BH!$B$2:$B$9,MATCH($D39,[2]BH!$D$2:$D$9,0))),"")</f>
        <v>Awaiting resolution on claim #556349314 (DOS 01/27/2026) before reprocessing DND 99493 This non-payable code is for required reporting only - Added Date of Current Illness, claim note, and resubmitted</v>
      </c>
      <c r="C39" s="6">
        <f>IFERROR(IF(INDEX([2]BH!$C$2:$C$9,MATCH($D39,[2]BH!$D$2:$D$9,0))="","",INDEX([2]BH!$C$2:$C$9,MATCH($D39,[2]BH!$D$2:$D$9,0))),"")</f>
        <v>46147</v>
      </c>
      <c r="D39" s="7">
        <v>557794882</v>
      </c>
      <c r="E39" s="8" t="s">
        <v>196</v>
      </c>
      <c r="F39" s="9">
        <v>46070</v>
      </c>
      <c r="G39" s="8" t="s">
        <v>134</v>
      </c>
      <c r="H39" s="8" t="s">
        <v>134</v>
      </c>
      <c r="I39" s="8" t="s">
        <v>69</v>
      </c>
      <c r="J39" s="8" t="s">
        <v>160</v>
      </c>
      <c r="K39" s="6">
        <f>IFERROR(IF(INDEX([2]BH!$K$2:$K$9,MATCH($D39,[2]BH!$D$2:$D$9,0))="","",INDEX([2]BH!$K$2:$K$9,MATCH($D39,[2]BH!$D$2:$D$9,0))),"")</f>
        <v>46284</v>
      </c>
      <c r="L39" s="11">
        <f ca="1">IF($O39="","",$O39-TODAY())</f>
        <v>-144</v>
      </c>
      <c r="M39" s="11">
        <f ca="1">IF(AND(TRIM($A39)="Finalized",$K39&lt;&gt;""),"",IF($C39="","",$C39+365-TODAY()))</f>
        <v>208</v>
      </c>
      <c r="N39" s="11">
        <f ca="1">IF(AND(TRIM($A39)="Finalized",$K39&lt;&gt;""),"",IF($C39="","",$C39+365-TODAY()))</f>
        <v>208</v>
      </c>
      <c r="O39" s="9">
        <f>IF(AND(TRIM($A39)="Finalized",$K39&lt;&gt;""),"",DATE(2026,5,18))</f>
        <v>46160</v>
      </c>
      <c r="P39" s="8" t="s">
        <v>86</v>
      </c>
      <c r="Q39" s="8" t="s">
        <v>136</v>
      </c>
      <c r="R39" s="8" t="s">
        <v>73</v>
      </c>
      <c r="S39" s="8" t="s">
        <v>74</v>
      </c>
      <c r="T39" s="8" t="s">
        <v>73</v>
      </c>
      <c r="U39" s="8" t="s">
        <v>74</v>
      </c>
      <c r="V39" s="8" t="s">
        <v>204</v>
      </c>
      <c r="W39" s="8" t="s">
        <v>118</v>
      </c>
      <c r="X39" s="8"/>
      <c r="Y39" s="8"/>
      <c r="Z39" s="8"/>
      <c r="AA39" s="8" t="s">
        <v>77</v>
      </c>
      <c r="AB39" s="10">
        <v>976.64</v>
      </c>
      <c r="AC39" s="10">
        <v>0</v>
      </c>
      <c r="AD39" s="10">
        <v>0</v>
      </c>
      <c r="AE39" s="9">
        <v>46147</v>
      </c>
      <c r="AF39" s="10">
        <v>976.64</v>
      </c>
      <c r="AG39" s="7">
        <v>172</v>
      </c>
      <c r="AH39" s="8" t="s">
        <v>197</v>
      </c>
      <c r="AI39" s="8" t="s">
        <v>179</v>
      </c>
      <c r="AJ39" s="8"/>
      <c r="AK39" s="8"/>
      <c r="AL39" s="7"/>
      <c r="AM39" s="8" t="s">
        <v>146</v>
      </c>
      <c r="AN39" s="8" t="s">
        <v>198</v>
      </c>
      <c r="AO39" s="9">
        <v>46086</v>
      </c>
    </row>
    <row r="40" spans="1:41" x14ac:dyDescent="0.25">
      <c r="A40" s="5" t="str">
        <f>IFERROR(IF(INDEX([2]BH!$A$2:$A$9,MATCH($D40,[2]BH!$D$2:$D$9,0))="","",INDEX([2]BH!$A$2:$A$9,MATCH($D40,[2]BH!$D$2:$D$9,0))),"")</f>
        <v>Denied</v>
      </c>
      <c r="B40" s="5" t="str">
        <f>IFERROR(IF(INDEX([2]BH!$B$2:$B$9,MATCH($D40,[2]BH!$D$2:$D$9,0))="","",INDEX([2]BH!$B$2:$B$9,MATCH($D40,[2]BH!$D$2:$D$9,0))),"")</f>
        <v>Rep Muthamma - Under review - Ref # 11253575</v>
      </c>
      <c r="C40" s="6">
        <f>IFERROR(IF(INDEX([2]BH!$C$2:$C$9,MATCH($D40,[2]BH!$D$2:$D$9,0))="","",INDEX([2]BH!$C$2:$C$9,MATCH($D40,[2]BH!$D$2:$D$9,0))),"")</f>
        <v>46101</v>
      </c>
      <c r="D40" s="7">
        <v>550288006</v>
      </c>
      <c r="E40" s="8" t="s">
        <v>234</v>
      </c>
      <c r="F40" s="9">
        <v>46071</v>
      </c>
      <c r="G40" s="8" t="s">
        <v>123</v>
      </c>
      <c r="H40" s="8" t="s">
        <v>123</v>
      </c>
      <c r="I40" s="8" t="s">
        <v>69</v>
      </c>
      <c r="J40" s="8" t="s">
        <v>235</v>
      </c>
      <c r="K40" s="6">
        <f>IFERROR(IF(INDEX([2]BH!$K$2:$K$9,MATCH($D40,[2]BH!$D$2:$D$9,0))="","",INDEX([2]BH!$K$2:$K$9,MATCH($D40,[2]BH!$D$2:$D$9,0))),"")</f>
        <v>46183</v>
      </c>
      <c r="L40" s="11">
        <f ca="1">IF($O40="","",$O40-TODAY())</f>
        <v>-143</v>
      </c>
      <c r="M40" s="11">
        <f ca="1">IF(AND(TRIM($A40)="Finalized",$K40&lt;&gt;""),"",IF($F40="","",$F40+90-TODAY()))</f>
        <v>-143</v>
      </c>
      <c r="N40" s="11">
        <f ca="1">IF(AND(TRIM($A40)="Finalized",$K40&lt;&gt;""),"",IF($C40="","",$C40+365-TODAY()))</f>
        <v>162</v>
      </c>
      <c r="O40" s="9">
        <f>IF(AND(TRIM($A40)="Finalized",$K40&lt;&gt;""),"",DATE(2026,5,19))</f>
        <v>46161</v>
      </c>
      <c r="P40" s="8" t="s">
        <v>86</v>
      </c>
      <c r="Q40" s="8" t="s">
        <v>125</v>
      </c>
      <c r="R40" s="8" t="s">
        <v>86</v>
      </c>
      <c r="S40" s="8" t="s">
        <v>88</v>
      </c>
      <c r="T40" s="8" t="s">
        <v>73</v>
      </c>
      <c r="U40" s="8" t="s">
        <v>74</v>
      </c>
      <c r="V40" s="8" t="s">
        <v>204</v>
      </c>
      <c r="W40" s="8" t="s">
        <v>118</v>
      </c>
      <c r="X40" s="8"/>
      <c r="Y40" s="8"/>
      <c r="Z40" s="8"/>
      <c r="AA40" s="8" t="s">
        <v>112</v>
      </c>
      <c r="AB40" s="10">
        <v>1822.52</v>
      </c>
      <c r="AC40" s="10">
        <v>0</v>
      </c>
      <c r="AD40" s="10">
        <v>0</v>
      </c>
      <c r="AE40" s="9">
        <v>46101</v>
      </c>
      <c r="AF40" s="10">
        <v>1822.52</v>
      </c>
      <c r="AG40" s="7">
        <v>171</v>
      </c>
      <c r="AH40" s="8" t="s">
        <v>201</v>
      </c>
      <c r="AI40" s="8"/>
      <c r="AJ40" s="8"/>
      <c r="AK40" s="8"/>
      <c r="AL40" s="7"/>
      <c r="AM40" s="8" t="s">
        <v>126</v>
      </c>
      <c r="AN40" s="8" t="s">
        <v>132</v>
      </c>
      <c r="AO40" s="9">
        <v>46086</v>
      </c>
    </row>
    <row r="41" spans="1:41" x14ac:dyDescent="0.25">
      <c r="A41" s="5" t="str">
        <f>IFERROR(IF(INDEX([2]DME!$A$2:$A$12,MATCH($D41,[2]DME!$D$2:$D$12,0))="","",INDEX([2]DME!$A$2:$A$12,MATCH($D41,[2]DME!$D$2:$D$12,0))),"")</f>
        <v>Denied</v>
      </c>
      <c r="B41" s="5" t="str">
        <f>IFERROR(IF(INDEX([2]DME!$B$2:$B$12,MATCH($D41,[2]DME!$D$2:$D$12,0))="","",INDEX([2]DME!$B$2:$B$12,MATCH($D41,[2]DME!$D$2:$D$12,0))),"")</f>
        <v>No authorization found or requested - Checking if we need auth on Curo portal # 19801266 - Pending - Review</v>
      </c>
      <c r="C41" s="6">
        <f>IFERROR(IF(INDEX([2]DME!$C$2:$C$12,MATCH($D41,[2]DME!$D$2:$D$12,0))="","",INDEX([2]DME!$C$2:$C$12,MATCH($D41,[2]DME!$D$2:$D$12,0))),"")</f>
        <v>46106</v>
      </c>
      <c r="D41" s="7">
        <v>550530483</v>
      </c>
      <c r="E41" s="8" t="s">
        <v>242</v>
      </c>
      <c r="F41" s="9">
        <v>46072</v>
      </c>
      <c r="G41" s="8" t="s">
        <v>237</v>
      </c>
      <c r="H41" s="8" t="s">
        <v>237</v>
      </c>
      <c r="I41" s="8" t="s">
        <v>69</v>
      </c>
      <c r="J41" s="8" t="s">
        <v>243</v>
      </c>
      <c r="K41" s="6">
        <f>IFERROR(IF(INDEX([2]DME!$K$2:$K$12,MATCH($D41,[2]DME!$D$2:$D$12,0))="","",INDEX([2]DME!$K$2:$K$12,MATCH($D41,[2]DME!$D$2:$D$12,0))),"")</f>
        <v>46197</v>
      </c>
      <c r="L41" s="11">
        <f ca="1">IF($O41="","",$O41-TODAY())</f>
        <v>-142</v>
      </c>
      <c r="M41" s="11">
        <f ca="1">IF(AND(TRIM($A41)="Finalized",$K41&lt;&gt;""),"",IF($C41="","",$C41+180-TODAY()))</f>
        <v>-18</v>
      </c>
      <c r="N41" s="11">
        <f ca="1">IF(AND(TRIM($A41)="Finalized",$K41&lt;&gt;""),"",IF($C41="","",$C41+365-TODAY()))</f>
        <v>167</v>
      </c>
      <c r="O41" s="9">
        <f>IF(AND(TRIM($A41)="Finalized",$K41&lt;&gt;""),"",DATE(2026,5,20))</f>
        <v>46162</v>
      </c>
      <c r="P41" s="8" t="s">
        <v>86</v>
      </c>
      <c r="Q41" s="8" t="s">
        <v>239</v>
      </c>
      <c r="R41" s="8" t="s">
        <v>117</v>
      </c>
      <c r="S41" s="8" t="s">
        <v>74</v>
      </c>
      <c r="T41" s="8" t="s">
        <v>73</v>
      </c>
      <c r="U41" s="8" t="s">
        <v>74</v>
      </c>
      <c r="V41" s="8" t="s">
        <v>204</v>
      </c>
      <c r="W41" s="8" t="s">
        <v>89</v>
      </c>
      <c r="X41" s="8" t="s">
        <v>244</v>
      </c>
      <c r="Y41" s="8"/>
      <c r="Z41" s="8"/>
      <c r="AA41" s="8" t="s">
        <v>91</v>
      </c>
      <c r="AB41" s="10">
        <v>5916.4</v>
      </c>
      <c r="AC41" s="10">
        <v>0</v>
      </c>
      <c r="AD41" s="10">
        <v>0</v>
      </c>
      <c r="AE41" s="9">
        <v>46106</v>
      </c>
      <c r="AF41" s="10">
        <v>5916.4</v>
      </c>
      <c r="AG41" s="7">
        <v>170</v>
      </c>
      <c r="AH41" s="8" t="s">
        <v>92</v>
      </c>
      <c r="AI41" s="8" t="s">
        <v>245</v>
      </c>
      <c r="AJ41" s="8"/>
      <c r="AK41" s="8"/>
      <c r="AL41" s="7"/>
      <c r="AM41" s="8" t="s">
        <v>120</v>
      </c>
      <c r="AN41" s="8" t="s">
        <v>121</v>
      </c>
      <c r="AO41" s="9">
        <v>46077</v>
      </c>
    </row>
    <row r="42" spans="1:41" x14ac:dyDescent="0.25">
      <c r="A42" s="5" t="str">
        <f>IFERROR(IF(INDEX([2]BH!$A$2:$A$9,MATCH($D42,[2]BH!$D$2:$D$9,0))="","",INDEX([2]BH!$A$2:$A$9,MATCH($D42,[2]BH!$D$2:$D$9,0))),"")</f>
        <v>Denied</v>
      </c>
      <c r="B42" s="5" t="str">
        <f>IFERROR(IF(INDEX([2]BH!$B$2:$B$9,MATCH($D42,[2]BH!$D$2:$D$9,0))="","",INDEX([2]BH!$B$2:$B$9,MATCH($D42,[2]BH!$D$2:$D$9,0))),"")</f>
        <v>Changed primary code - Used 99492, and resubmitted</v>
      </c>
      <c r="C42" s="6">
        <f>IFERROR(IF(INDEX([2]BH!$C$2:$C$9,MATCH($D42,[2]BH!$D$2:$D$9,0))="","",INDEX([2]BH!$C$2:$C$9,MATCH($D42,[2]BH!$D$2:$D$9,0))),"")</f>
        <v>46147</v>
      </c>
      <c r="D42" s="7">
        <v>557794229</v>
      </c>
      <c r="E42" s="8" t="s">
        <v>246</v>
      </c>
      <c r="F42" s="9">
        <v>46073</v>
      </c>
      <c r="G42" s="8" t="s">
        <v>134</v>
      </c>
      <c r="H42" s="8" t="s">
        <v>134</v>
      </c>
      <c r="I42" s="8" t="s">
        <v>69</v>
      </c>
      <c r="J42" s="8" t="s">
        <v>160</v>
      </c>
      <c r="K42" s="6">
        <f>IFERROR(IF(INDEX([2]BH!$K$2:$K$9,MATCH($D42,[2]BH!$D$2:$D$9,0))="","",INDEX([2]BH!$K$2:$K$9,MATCH($D42,[2]BH!$D$2:$D$9,0))),"")</f>
        <v>46247</v>
      </c>
      <c r="L42" s="11">
        <f ca="1">IF($O42="","",$O42-TODAY())</f>
        <v>-141</v>
      </c>
      <c r="M42" s="11">
        <f ca="1">IF(AND(TRIM($A42)="Finalized",$K42&lt;&gt;""),"",IF($C42="","",$C42+365-TODAY()))</f>
        <v>208</v>
      </c>
      <c r="N42" s="11">
        <f ca="1">IF(AND(TRIM($A42)="Finalized",$K42&lt;&gt;""),"",IF($C42="","",$C42+365-TODAY()))</f>
        <v>208</v>
      </c>
      <c r="O42" s="9">
        <f>IF(AND(TRIM($A42)="Finalized",$K42&lt;&gt;""),"",DATE(2026,5,21))</f>
        <v>46163</v>
      </c>
      <c r="P42" s="8" t="s">
        <v>86</v>
      </c>
      <c r="Q42" s="8" t="s">
        <v>136</v>
      </c>
      <c r="R42" s="8" t="s">
        <v>73</v>
      </c>
      <c r="S42" s="8" t="s">
        <v>74</v>
      </c>
      <c r="T42" s="8" t="s">
        <v>73</v>
      </c>
      <c r="U42" s="8" t="s">
        <v>74</v>
      </c>
      <c r="V42" s="8" t="s">
        <v>204</v>
      </c>
      <c r="W42" s="8" t="s">
        <v>118</v>
      </c>
      <c r="X42" s="8"/>
      <c r="Y42" s="8"/>
      <c r="Z42" s="8"/>
      <c r="AA42" s="8" t="s">
        <v>77</v>
      </c>
      <c r="AB42" s="10">
        <v>976.64</v>
      </c>
      <c r="AC42" s="10">
        <v>0</v>
      </c>
      <c r="AD42" s="10">
        <v>0</v>
      </c>
      <c r="AE42" s="9">
        <v>46147</v>
      </c>
      <c r="AF42" s="10">
        <v>976.64</v>
      </c>
      <c r="AG42" s="7">
        <v>169</v>
      </c>
      <c r="AH42" s="8" t="s">
        <v>161</v>
      </c>
      <c r="AI42" s="8"/>
      <c r="AJ42" s="8"/>
      <c r="AK42" s="8"/>
      <c r="AL42" s="7"/>
      <c r="AM42" s="8" t="s">
        <v>80</v>
      </c>
      <c r="AN42" s="8" t="s">
        <v>158</v>
      </c>
      <c r="AO42" s="9">
        <v>46086</v>
      </c>
    </row>
    <row r="43" spans="1:41" x14ac:dyDescent="0.25">
      <c r="A43" s="5" t="str">
        <f>IFERROR(IF(INDEX([2]BH!$A$2:$A$9,MATCH($D43,[2]BH!$D$2:$D$9,0))="","",INDEX([2]BH!$A$2:$A$9,MATCH($D43,[2]BH!$D$2:$D$9,0))),"")</f>
        <v>Denied</v>
      </c>
      <c r="B43" s="5" t="str">
        <f>IFERROR(IF(INDEX([2]BH!$B$2:$B$9,MATCH($D43,[2]BH!$D$2:$D$9,0))="","",INDEX([2]BH!$B$2:$B$9,MATCH($D43,[2]BH!$D$2:$D$9,0))),"")</f>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
      <c r="C43" s="6">
        <f>IFERROR(IF(INDEX([2]BH!$C$2:$C$9,MATCH($D43,[2]BH!$D$2:$D$9,0))="","",INDEX([2]BH!$C$2:$C$9,MATCH($D43,[2]BH!$D$2:$D$9,0))),"")</f>
        <v>46147</v>
      </c>
      <c r="D43" s="7">
        <v>557793858</v>
      </c>
      <c r="E43" s="8" t="s">
        <v>247</v>
      </c>
      <c r="F43" s="9">
        <v>46073</v>
      </c>
      <c r="G43" s="8" t="s">
        <v>134</v>
      </c>
      <c r="H43" s="8" t="s">
        <v>134</v>
      </c>
      <c r="I43" s="8" t="s">
        <v>69</v>
      </c>
      <c r="J43" s="8" t="s">
        <v>160</v>
      </c>
      <c r="K43" s="6">
        <f>IFERROR(IF(INDEX([2]BH!$K$2:$K$9,MATCH($D43,[2]BH!$D$2:$D$9,0))="","",INDEX([2]BH!$K$2:$K$9,MATCH($D43,[2]BH!$D$2:$D$9,0))),"")</f>
        <v>46266</v>
      </c>
      <c r="L43" s="11">
        <f ca="1">IF($O43="","",$O43-TODAY())</f>
        <v>-141</v>
      </c>
      <c r="M43" s="11">
        <f ca="1">IF(AND(TRIM($A43)="Finalized",$K43&lt;&gt;""),"",IF($C43="","",$C43+365-TODAY()))</f>
        <v>208</v>
      </c>
      <c r="N43" s="11">
        <f ca="1">IF(AND(TRIM($A43)="Finalized",$K43&lt;&gt;""),"",IF($C43="","",$C43+365-TODAY()))</f>
        <v>208</v>
      </c>
      <c r="O43" s="9">
        <f>IF(AND(TRIM($A43)="Finalized",$K43&lt;&gt;""),"",DATE(2026,5,21))</f>
        <v>46163</v>
      </c>
      <c r="P43" s="8" t="s">
        <v>86</v>
      </c>
      <c r="Q43" s="8" t="s">
        <v>136</v>
      </c>
      <c r="R43" s="8" t="s">
        <v>73</v>
      </c>
      <c r="S43" s="8" t="s">
        <v>74</v>
      </c>
      <c r="T43" s="8" t="s">
        <v>73</v>
      </c>
      <c r="U43" s="8" t="s">
        <v>74</v>
      </c>
      <c r="V43" s="8" t="s">
        <v>204</v>
      </c>
      <c r="W43" s="8" t="s">
        <v>118</v>
      </c>
      <c r="X43" s="8"/>
      <c r="Y43" s="8"/>
      <c r="Z43" s="8"/>
      <c r="AA43" s="8" t="s">
        <v>77</v>
      </c>
      <c r="AB43" s="10">
        <v>976.64</v>
      </c>
      <c r="AC43" s="10">
        <v>0</v>
      </c>
      <c r="AD43" s="10">
        <v>0</v>
      </c>
      <c r="AE43" s="9">
        <v>46147</v>
      </c>
      <c r="AF43" s="10">
        <v>976.64</v>
      </c>
      <c r="AG43" s="7">
        <v>169</v>
      </c>
      <c r="AH43" s="8" t="s">
        <v>161</v>
      </c>
      <c r="AI43" s="8"/>
      <c r="AJ43" s="8"/>
      <c r="AK43" s="8"/>
      <c r="AL43" s="7"/>
      <c r="AM43" s="8" t="s">
        <v>157</v>
      </c>
      <c r="AN43" s="8" t="s">
        <v>158</v>
      </c>
      <c r="AO43" s="9">
        <v>46086</v>
      </c>
    </row>
    <row r="44" spans="1:41" x14ac:dyDescent="0.25">
      <c r="A44" s="5" t="str">
        <f>IFERROR(IF(INDEX([2]ORTHO!$A$2:$A$11,MATCH($D44,[2]ORTHO!$D$2:$D$11,0))="","",INDEX([2]ORTHO!$A$2:$A$11,MATCH($D44,[2]ORTHO!$D$2:$D$11,0))),"")</f>
        <v>Received</v>
      </c>
      <c r="B44" s="5" t="str">
        <f>IFERROR(IF(INDEX([2]ORTHO!$B$2:$B$11,MATCH($D44,[2]ORTHO!$D$2:$D$11,0))="","",INDEX([2]ORTHO!$B$2:$B$11,MATCH($D44,[2]ORTHO!$D$2:$D$11,0))),"")</f>
        <v>Provider TAX ID/NPI Combination is not on file with BCBS AZ.</v>
      </c>
      <c r="C44" s="6">
        <f>IFERROR(IF(INDEX([2]ORTHO!$C$2:$C$11,MATCH($D44,[2]ORTHO!$D$2:$D$11,0))="","",INDEX([2]ORTHO!$C$2:$C$11,MATCH($D44,[2]ORTHO!$D$2:$D$11,0))),"")</f>
        <v>46212</v>
      </c>
      <c r="D44" s="7">
        <v>563274947</v>
      </c>
      <c r="E44" s="8" t="s">
        <v>230</v>
      </c>
      <c r="F44" s="9">
        <v>46079</v>
      </c>
      <c r="G44" s="8" t="s">
        <v>123</v>
      </c>
      <c r="H44" s="8" t="s">
        <v>123</v>
      </c>
      <c r="I44" s="8" t="s">
        <v>69</v>
      </c>
      <c r="J44" s="8" t="s">
        <v>248</v>
      </c>
      <c r="K44" s="6" t="str">
        <f>IFERROR(IF(INDEX([2]ORTHO!$K$2:$K$11,MATCH($D44,[2]ORTHO!$D$2:$D$11,0))="","",INDEX([2]ORTHO!$K$2:$K$11,MATCH($D44,[2]ORTHO!$D$2:$D$11,0))),"")</f>
        <v/>
      </c>
      <c r="L44" s="11">
        <f ca="1">IF($O44="","",$O44-TODAY())</f>
        <v>-135</v>
      </c>
      <c r="M44" s="11">
        <f ca="1">IF(AND(TRIM($A44)="Finalized",$K44&lt;&gt;""),"",IF($F44="","",$F44+90-TODAY()))</f>
        <v>-135</v>
      </c>
      <c r="N44" s="11">
        <f ca="1">IF(AND(TRIM($A44)="Finalized",$K44&lt;&gt;""),"",IF($C44="","",$C44+365-TODAY()))</f>
        <v>273</v>
      </c>
      <c r="O44" s="9">
        <f>IF(AND(TRIM($A44)="Finalized",$K44&lt;&gt;""),"",DATE(2026,5,27))</f>
        <v>46169</v>
      </c>
      <c r="P44" s="8" t="s">
        <v>86</v>
      </c>
      <c r="Q44" s="8" t="s">
        <v>125</v>
      </c>
      <c r="R44" s="8" t="s">
        <v>86</v>
      </c>
      <c r="S44" s="8" t="s">
        <v>88</v>
      </c>
      <c r="T44" s="8" t="s">
        <v>73</v>
      </c>
      <c r="U44" s="8" t="s">
        <v>74</v>
      </c>
      <c r="V44" s="8" t="s">
        <v>204</v>
      </c>
      <c r="W44" s="8" t="s">
        <v>76</v>
      </c>
      <c r="X44" s="8" t="s">
        <v>102</v>
      </c>
      <c r="Y44" s="8"/>
      <c r="Z44" s="8"/>
      <c r="AA44" s="8" t="s">
        <v>77</v>
      </c>
      <c r="AB44" s="10">
        <v>6709.36</v>
      </c>
      <c r="AC44" s="10">
        <v>0</v>
      </c>
      <c r="AD44" s="10">
        <v>0</v>
      </c>
      <c r="AE44" s="9">
        <v>46212</v>
      </c>
      <c r="AF44" s="10">
        <v>6709.36</v>
      </c>
      <c r="AG44" s="7">
        <v>163</v>
      </c>
      <c r="AH44" s="8" t="s">
        <v>79</v>
      </c>
      <c r="AI44" s="8" t="s">
        <v>249</v>
      </c>
      <c r="AJ44" s="8"/>
      <c r="AK44" s="8"/>
      <c r="AL44" s="7"/>
      <c r="AM44" s="8" t="s">
        <v>168</v>
      </c>
      <c r="AN44" s="8" t="s">
        <v>250</v>
      </c>
      <c r="AO44" s="9">
        <v>46092</v>
      </c>
    </row>
    <row r="45" spans="1:41" x14ac:dyDescent="0.25">
      <c r="A45" s="5" t="str">
        <f>IFERROR(IF(INDEX([2]ORTHO!$A$2:$A$11,MATCH($D45,[2]ORTHO!$D$2:$D$11,0))="","",INDEX([2]ORTHO!$A$2:$A$11,MATCH($D45,[2]ORTHO!$D$2:$D$11,0))),"")</f>
        <v>Denied</v>
      </c>
      <c r="B45" s="5" t="str">
        <f>IFERROR(IF(INDEX([2]ORTHO!$B$2:$B$11,MATCH($D45,[2]ORTHO!$D$2:$D$11,0))="","",INDEX([2]ORTHO!$B$2:$B$11,MATCH($D45,[2]ORTHO!$D$2:$D$11,0))),"")</f>
        <v>We need to reprocess when claim 568613230 gets adjusted - Added mod 58, and resubmitted</v>
      </c>
      <c r="C45" s="6">
        <f>IFERROR(IF(INDEX([2]ORTHO!$C$2:$C$11,MATCH($D45,[2]ORTHO!$D$2:$D$11,0))="","",INDEX([2]ORTHO!$C$2:$C$11,MATCH($D45,[2]ORTHO!$D$2:$D$11,0))),"")</f>
        <v>46189</v>
      </c>
      <c r="D45" s="7">
        <v>562083380</v>
      </c>
      <c r="E45" s="8" t="s">
        <v>251</v>
      </c>
      <c r="F45" s="9">
        <v>46080</v>
      </c>
      <c r="G45" s="8" t="s">
        <v>134</v>
      </c>
      <c r="H45" s="8" t="s">
        <v>134</v>
      </c>
      <c r="I45" s="8" t="s">
        <v>69</v>
      </c>
      <c r="J45" s="8" t="s">
        <v>252</v>
      </c>
      <c r="K45" s="6">
        <f>IFERROR(IF(INDEX([2]ORTHO!$K$2:$K$11,MATCH($D45,[2]ORTHO!$D$2:$D$11,0))="","",INDEX([2]ORTHO!$K$2:$K$11,MATCH($D45,[2]ORTHO!$D$2:$D$11,0))),"")</f>
        <v>46247</v>
      </c>
      <c r="L45" s="11">
        <f ca="1">IF($O45="","",$O45-TODAY())</f>
        <v>-134</v>
      </c>
      <c r="M45" s="11">
        <f ca="1">IF(AND(TRIM($A45)="Finalized",$K45&lt;&gt;""),"",IF($C45="","",$C45+365-TODAY()))</f>
        <v>250</v>
      </c>
      <c r="N45" s="11">
        <f ca="1">IF(AND(TRIM($A45)="Finalized",$K45&lt;&gt;""),"",IF($C45="","",$C45+365-TODAY()))</f>
        <v>250</v>
      </c>
      <c r="O45" s="9">
        <f>IF(AND(TRIM($A45)="Finalized",$K45&lt;&gt;""),"",DATE(2026,5,28))</f>
        <v>46170</v>
      </c>
      <c r="P45" s="8" t="s">
        <v>86</v>
      </c>
      <c r="Q45" s="8" t="s">
        <v>136</v>
      </c>
      <c r="R45" s="8" t="s">
        <v>73</v>
      </c>
      <c r="S45" s="8" t="s">
        <v>74</v>
      </c>
      <c r="T45" s="8" t="s">
        <v>73</v>
      </c>
      <c r="U45" s="8" t="s">
        <v>74</v>
      </c>
      <c r="V45" s="8" t="s">
        <v>204</v>
      </c>
      <c r="W45" s="8" t="s">
        <v>76</v>
      </c>
      <c r="X45" s="8" t="s">
        <v>253</v>
      </c>
      <c r="Y45" s="8"/>
      <c r="Z45" s="8"/>
      <c r="AA45" s="8" t="s">
        <v>77</v>
      </c>
      <c r="AB45" s="10">
        <v>7623.07</v>
      </c>
      <c r="AC45" s="10">
        <v>0</v>
      </c>
      <c r="AD45" s="10">
        <v>0</v>
      </c>
      <c r="AE45" s="9">
        <v>46189</v>
      </c>
      <c r="AF45" s="10">
        <v>7623.07</v>
      </c>
      <c r="AG45" s="7">
        <v>162</v>
      </c>
      <c r="AH45" s="8" t="s">
        <v>145</v>
      </c>
      <c r="AI45" s="8"/>
      <c r="AJ45" s="8"/>
      <c r="AK45" s="8"/>
      <c r="AL45" s="7"/>
      <c r="AM45" s="8" t="s">
        <v>157</v>
      </c>
      <c r="AN45" s="8" t="s">
        <v>81</v>
      </c>
      <c r="AO45" s="9">
        <v>46083</v>
      </c>
    </row>
    <row r="46" spans="1:41" x14ac:dyDescent="0.25">
      <c r="A46" s="5" t="str">
        <f>IFERROR(IF(INDEX([3]GAE!$A$2:$A$4,MATCH($D46,[3]GAE!$D$2:$D$4,0))="","",INDEX([3]GAE!$A$2:$A$4,MATCH($D46,[3]GAE!$D$2:$D$4,0))),"")</f>
        <v>Denied</v>
      </c>
      <c r="B46" s="5" t="str">
        <f>IFERROR(IF(INDEX([3]GAE!$B$2:$B$4,MATCH($D46,[3]GAE!$D$2:$D$4,0))="","",INDEX([3]GAE!$B$2:$B$4,MATCH($D46,[3]GAE!$D$2:$D$4,0))),"")</f>
        <v>Uploaded MR - PIQ-86274627</v>
      </c>
      <c r="C46" s="6">
        <f>IFERROR(IF(INDEX([3]GAE!$C$2:$C$4,MATCH($D46,[3]GAE!$D$2:$D$4,0))="","",INDEX([3]GAE!$C$2:$C$4,MATCH($D46,[3]GAE!$D$2:$D$4,0))),"")</f>
        <v>46217</v>
      </c>
      <c r="D46" s="7">
        <v>555067836</v>
      </c>
      <c r="E46" s="8" t="s">
        <v>254</v>
      </c>
      <c r="F46" s="9">
        <v>46083</v>
      </c>
      <c r="G46" s="8" t="s">
        <v>148</v>
      </c>
      <c r="H46" s="8" t="s">
        <v>148</v>
      </c>
      <c r="I46" s="8" t="s">
        <v>148</v>
      </c>
      <c r="J46" s="8" t="s">
        <v>255</v>
      </c>
      <c r="K46" s="6">
        <f>IFERROR(IF(INDEX([3]GAE!$K$2:$K$4,MATCH($D46,[3]GAE!$D$2:$D$4,0))="","",INDEX([3]GAE!$K$2:$K$4,MATCH($D46,[3]GAE!$D$2:$D$4,0))),"")</f>
        <v>46197</v>
      </c>
      <c r="L46" s="11">
        <f ca="1">IF($O46="","",$O46-TODAY())</f>
        <v>-131</v>
      </c>
      <c r="M46" s="11">
        <f ca="1">IF(AND(TRIM($A46)="Finalized",$K46&lt;&gt;""),"",IF($C46="","",$C46+180-TODAY()))</f>
        <v>93</v>
      </c>
      <c r="N46" s="11">
        <f ca="1">IF(AND(TRIM($A46)="Finalized",$K46&lt;&gt;""),"",IF($C46="","",$C46+365-TODAY()))</f>
        <v>278</v>
      </c>
      <c r="O46" s="9">
        <f>IF(AND(TRIM($A46)="Finalized",$K46&lt;&gt;""),"",DATE(2026,5,31))</f>
        <v>46173</v>
      </c>
      <c r="P46" s="8" t="s">
        <v>86</v>
      </c>
      <c r="Q46" s="8" t="s">
        <v>152</v>
      </c>
      <c r="R46" s="8" t="s">
        <v>117</v>
      </c>
      <c r="S46" s="8" t="s">
        <v>74</v>
      </c>
      <c r="T46" s="8" t="s">
        <v>73</v>
      </c>
      <c r="U46" s="8" t="s">
        <v>74</v>
      </c>
      <c r="V46" s="8" t="s">
        <v>256</v>
      </c>
      <c r="W46" s="8" t="s">
        <v>101</v>
      </c>
      <c r="X46" s="8" t="s">
        <v>257</v>
      </c>
      <c r="Y46" s="8" t="s">
        <v>258</v>
      </c>
      <c r="Z46" s="8" t="s">
        <v>103</v>
      </c>
      <c r="AA46" s="8" t="s">
        <v>259</v>
      </c>
      <c r="AB46" s="10">
        <v>10134.879999999999</v>
      </c>
      <c r="AC46" s="10">
        <v>0</v>
      </c>
      <c r="AD46" s="10">
        <v>0</v>
      </c>
      <c r="AE46" s="9">
        <v>46217</v>
      </c>
      <c r="AF46" s="10">
        <v>10134.879999999999</v>
      </c>
      <c r="AG46" s="7">
        <v>159</v>
      </c>
      <c r="AH46" s="8" t="s">
        <v>105</v>
      </c>
      <c r="AI46" s="8" t="s">
        <v>106</v>
      </c>
      <c r="AJ46" s="8" t="s">
        <v>107</v>
      </c>
      <c r="AK46" s="8"/>
      <c r="AL46" s="7"/>
      <c r="AM46" s="8" t="s">
        <v>108</v>
      </c>
      <c r="AN46" s="8" t="s">
        <v>109</v>
      </c>
      <c r="AO46" s="9">
        <v>46119</v>
      </c>
    </row>
    <row r="47" spans="1:41" x14ac:dyDescent="0.25">
      <c r="A47" s="5" t="str">
        <f>IFERROR(IF(INDEX([3]US!$A$2:$A$15,MATCH($D47,[3]US!$D$2:$D$15,0))="","",INDEX([3]US!$A$2:$A$15,MATCH($D47,[3]US!$D$2:$D$15,0))),"")</f>
        <v>Denied</v>
      </c>
      <c r="B47" s="5" t="str">
        <f>IFERROR(IF(INDEX([3]US!$B$2:$B$15,MATCH($D47,[3]US!$D$2:$D$15,0))="","",INDEX([3]US!$B$2:$B$15,MATCH($D47,[3]US!$D$2:$D$15,0))),"")</f>
        <v>Edited dx order, and resubmitted - DND Diagnosis was invalid for the date(s) of service reported</v>
      </c>
      <c r="C47" s="6">
        <f>IFERROR(IF(INDEX([3]US!$C$2:$C$15,MATCH($D47,[3]US!$D$2:$D$15,0))="","",INDEX([3]US!$C$2:$C$15,MATCH($D47,[3]US!$D$2:$D$15,0))),"")</f>
        <v>46113</v>
      </c>
      <c r="D47" s="7">
        <v>571606836</v>
      </c>
      <c r="E47" s="8" t="s">
        <v>260</v>
      </c>
      <c r="F47" s="9">
        <v>46084</v>
      </c>
      <c r="G47" s="8" t="s">
        <v>261</v>
      </c>
      <c r="H47" s="8" t="s">
        <v>261</v>
      </c>
      <c r="I47" s="8" t="s">
        <v>69</v>
      </c>
      <c r="J47" s="8" t="s">
        <v>262</v>
      </c>
      <c r="K47" s="6">
        <f>IFERROR(IF(INDEX([3]US!$K$2:$K$15,MATCH($D47,[3]US!$D$2:$D$15,0))="","",INDEX([3]US!$K$2:$K$15,MATCH($D47,[3]US!$D$2:$D$15,0))),"")</f>
        <v>46278</v>
      </c>
      <c r="L47" s="11">
        <f ca="1">IF($O47="","",$O47-TODAY())</f>
        <v>-130</v>
      </c>
      <c r="M47" s="11">
        <f ca="1">IF(AND(TRIM($A47)="Finalized",$K47&lt;&gt;""),"",IF($F47="","",$F47+90-TODAY()))</f>
        <v>-130</v>
      </c>
      <c r="N47" s="11">
        <f ca="1">IF(AND(TRIM($A47)="Finalized",$K47&lt;&gt;""),"",IF($C47="","",$C47+180-TODAY()))</f>
        <v>-11</v>
      </c>
      <c r="O47" s="9">
        <f>IF(AND(TRIM($A47)="Finalized",$K47&lt;&gt;""),"",DATE(2026,6,1))</f>
        <v>46174</v>
      </c>
      <c r="P47" s="8" t="s">
        <v>86</v>
      </c>
      <c r="Q47" s="8" t="s">
        <v>144</v>
      </c>
      <c r="R47" s="8" t="s">
        <v>86</v>
      </c>
      <c r="S47" s="8" t="s">
        <v>88</v>
      </c>
      <c r="T47" s="8" t="s">
        <v>117</v>
      </c>
      <c r="U47" s="8" t="s">
        <v>74</v>
      </c>
      <c r="V47" s="8" t="s">
        <v>256</v>
      </c>
      <c r="W47" s="8" t="s">
        <v>129</v>
      </c>
      <c r="X47" s="8"/>
      <c r="Y47" s="8"/>
      <c r="Z47" s="8"/>
      <c r="AA47" s="8" t="s">
        <v>77</v>
      </c>
      <c r="AB47" s="10">
        <v>2173.29</v>
      </c>
      <c r="AC47" s="10">
        <v>0</v>
      </c>
      <c r="AD47" s="10">
        <v>0</v>
      </c>
      <c r="AE47" s="9">
        <v>46113</v>
      </c>
      <c r="AF47" s="10">
        <v>2173.29</v>
      </c>
      <c r="AG47" s="7">
        <v>158</v>
      </c>
      <c r="AH47" s="8" t="s">
        <v>79</v>
      </c>
      <c r="AI47" s="8" t="s">
        <v>137</v>
      </c>
      <c r="AJ47" s="8" t="s">
        <v>263</v>
      </c>
      <c r="AK47" s="8" t="s">
        <v>264</v>
      </c>
      <c r="AL47" s="7"/>
      <c r="AM47" s="8" t="s">
        <v>157</v>
      </c>
      <c r="AN47" s="8" t="s">
        <v>158</v>
      </c>
      <c r="AO47" s="9">
        <v>46106</v>
      </c>
    </row>
    <row r="48" spans="1:41" x14ac:dyDescent="0.25">
      <c r="A48" s="5" t="str">
        <f>IFERROR(IF(INDEX([3]BH!$A$2:$A$32,MATCH($D48,[3]BH!$D$2:$D$32,0))="","",INDEX([3]BH!$A$2:$A$32,MATCH($D48,[3]BH!$D$2:$D$32,0))),"")</f>
        <v>Denied</v>
      </c>
      <c r="B48" s="5" t="str">
        <f>IFERROR(IF(INDEX([3]BH!$B$2:$B$32,MATCH($D48,[3]BH!$D$2:$D$32,0))="","",INDEX([3]BH!$B$2:$B$32,MATCH($D48,[3]BH!$D$2:$D$32,0))),"")</f>
        <v>Jess corrected rendering to TIMOTHY BAUGHER, and resubmitted - We had JARRETT LEATHEM - DND The procedure code is inconsistent with the provider type/specialty (taxonomy).</v>
      </c>
      <c r="C48" s="6">
        <f>IFERROR(IF(INDEX([3]BH!$C$2:$C$32,MATCH($D48,[3]BH!$D$2:$D$32,0))="","",INDEX([3]BH!$C$2:$C$32,MATCH($D48,[3]BH!$D$2:$D$32,0))),"")</f>
        <v>46134</v>
      </c>
      <c r="D48" s="7">
        <v>566722180</v>
      </c>
      <c r="E48" s="8" t="s">
        <v>170</v>
      </c>
      <c r="F48" s="9">
        <v>46085</v>
      </c>
      <c r="G48" s="8" t="s">
        <v>123</v>
      </c>
      <c r="H48" s="8" t="s">
        <v>123</v>
      </c>
      <c r="I48" s="8" t="s">
        <v>171</v>
      </c>
      <c r="J48" s="8" t="s">
        <v>265</v>
      </c>
      <c r="K48" s="6">
        <f>IFERROR(IF(INDEX([3]BH!$K$2:$K$32,MATCH($D48,[3]BH!$D$2:$D$32,0))="","",INDEX([3]BH!$K$2:$K$32,MATCH($D48,[3]BH!$D$2:$D$32,0))),"")</f>
        <v>46231</v>
      </c>
      <c r="L48" s="11">
        <f ca="1">IF($O48="","",$O48-TODAY())</f>
        <v>-129</v>
      </c>
      <c r="M48" s="11">
        <f ca="1">IF(AND(TRIM($A48)="Finalized",$K48&lt;&gt;""),"",IF($F48="","",$F48+90-TODAY()))</f>
        <v>-129</v>
      </c>
      <c r="N48" s="11">
        <f ca="1">IF(AND(TRIM($A48)="Finalized",$K48&lt;&gt;""),"",IF($C48="","",$C48+365-TODAY()))</f>
        <v>195</v>
      </c>
      <c r="O48" s="9">
        <f>IF(AND(TRIM($A48)="Finalized",$K48&lt;&gt;""),"",DATE(2026,6,2))</f>
        <v>46175</v>
      </c>
      <c r="P48" s="8" t="s">
        <v>86</v>
      </c>
      <c r="Q48" s="8" t="s">
        <v>125</v>
      </c>
      <c r="R48" s="8" t="s">
        <v>86</v>
      </c>
      <c r="S48" s="8" t="s">
        <v>88</v>
      </c>
      <c r="T48" s="8" t="s">
        <v>73</v>
      </c>
      <c r="U48" s="8" t="s">
        <v>74</v>
      </c>
      <c r="V48" s="8" t="s">
        <v>256</v>
      </c>
      <c r="W48" s="8" t="s">
        <v>118</v>
      </c>
      <c r="X48" s="8"/>
      <c r="Y48" s="8"/>
      <c r="Z48" s="8"/>
      <c r="AA48" s="8" t="s">
        <v>266</v>
      </c>
      <c r="AB48" s="10">
        <v>1769.18</v>
      </c>
      <c r="AC48" s="10">
        <v>0</v>
      </c>
      <c r="AD48" s="10">
        <v>0</v>
      </c>
      <c r="AE48" s="9">
        <v>46134</v>
      </c>
      <c r="AF48" s="10">
        <v>1769.18</v>
      </c>
      <c r="AG48" s="7">
        <v>157</v>
      </c>
      <c r="AH48" s="8" t="s">
        <v>172</v>
      </c>
      <c r="AI48" s="8"/>
      <c r="AJ48" s="8"/>
      <c r="AK48" s="8"/>
      <c r="AL48" s="7"/>
      <c r="AM48" s="8" t="s">
        <v>267</v>
      </c>
      <c r="AN48" s="8" t="s">
        <v>158</v>
      </c>
      <c r="AO48" s="9">
        <v>46119</v>
      </c>
    </row>
    <row r="49" spans="1:41" x14ac:dyDescent="0.25">
      <c r="A49" s="5" t="str">
        <f>IFERROR(IF(INDEX([3]ORTHO!$A$2:$A$16,MATCH($D49,[3]ORTHO!$D$2:$D$16,0))="","",INDEX([3]ORTHO!$A$2:$A$16,MATCH($D49,[3]ORTHO!$D$2:$D$16,0))),"")</f>
        <v>Denied</v>
      </c>
      <c r="B49" s="5" t="str">
        <f>IFERROR(IF(INDEX([3]ORTHO!$B$2:$B$16,MATCH($D49,[3]ORTHO!$D$2:$D$16,0))="","",INDEX([3]ORTHO!$B$2:$B$16,MATCH($D49,[3]ORTHO!$D$2:$D$16,0))),"")</f>
        <v>Recon sent to fax 615-401-4642 by Christian J - DND 63048 Treatment was deemed by the payer to have been rendered in an inappropriate or invalid place of service</v>
      </c>
      <c r="C49" s="6">
        <f>IFERROR(IF(INDEX([3]ORTHO!$C$2:$C$16,MATCH($D49,[3]ORTHO!$D$2:$D$16,0))="","",INDEX([3]ORTHO!$C$2:$C$16,MATCH($D49,[3]ORTHO!$D$2:$D$16,0))),"")</f>
        <v>46204</v>
      </c>
      <c r="D49" s="7">
        <v>552284225</v>
      </c>
      <c r="E49" s="8" t="s">
        <v>268</v>
      </c>
      <c r="F49" s="9">
        <v>46085</v>
      </c>
      <c r="G49" s="8" t="s">
        <v>174</v>
      </c>
      <c r="H49" s="8" t="s">
        <v>174</v>
      </c>
      <c r="I49" s="8" t="s">
        <v>69</v>
      </c>
      <c r="J49" s="8" t="s">
        <v>269</v>
      </c>
      <c r="K49" s="6" t="str">
        <f>IFERROR(IF(INDEX([3]ORTHO!$K$2:$K$16,MATCH($D49,[3]ORTHO!$D$2:$D$16,0))="","",INDEX([3]ORTHO!$K$2:$K$16,MATCH($D49,[3]ORTHO!$D$2:$D$16,0))),"")</f>
        <v/>
      </c>
      <c r="L49" s="11">
        <f ca="1">IF($O49="","",$O49-TODAY())</f>
        <v>-129</v>
      </c>
      <c r="M49" s="11">
        <f ca="1">IF(AND(TRIM($A49)="Finalized",$K49&lt;&gt;""),"",IF($F49="","",$F49+90-TODAY()))</f>
        <v>-129</v>
      </c>
      <c r="N49" s="11">
        <f ca="1">IF(AND(TRIM($A49)="Finalized",$K49&lt;&gt;""),"",IF($C49="","",$C49+180-TODAY()))</f>
        <v>80</v>
      </c>
      <c r="O49" s="9">
        <f>IF(AND(TRIM($A49)="Finalized",$K49&lt;&gt;""),"",DATE(2026,6,2))</f>
        <v>46175</v>
      </c>
      <c r="P49" s="8" t="s">
        <v>86</v>
      </c>
      <c r="Q49" s="8" t="s">
        <v>144</v>
      </c>
      <c r="R49" s="8" t="s">
        <v>86</v>
      </c>
      <c r="S49" s="8" t="s">
        <v>88</v>
      </c>
      <c r="T49" s="8" t="s">
        <v>117</v>
      </c>
      <c r="U49" s="8" t="s">
        <v>74</v>
      </c>
      <c r="V49" s="8" t="s">
        <v>256</v>
      </c>
      <c r="W49" s="8" t="s">
        <v>76</v>
      </c>
      <c r="X49" s="8"/>
      <c r="Y49" s="8"/>
      <c r="Z49" s="8"/>
      <c r="AA49" s="8" t="s">
        <v>77</v>
      </c>
      <c r="AB49" s="10">
        <v>1433.32</v>
      </c>
      <c r="AC49" s="10">
        <v>0</v>
      </c>
      <c r="AD49" s="10">
        <v>0</v>
      </c>
      <c r="AE49" s="9">
        <v>46204</v>
      </c>
      <c r="AF49" s="10">
        <v>1433.32</v>
      </c>
      <c r="AG49" s="7">
        <v>157</v>
      </c>
      <c r="AH49" s="8" t="s">
        <v>233</v>
      </c>
      <c r="AI49" s="8" t="s">
        <v>270</v>
      </c>
      <c r="AJ49" s="8" t="s">
        <v>79</v>
      </c>
      <c r="AK49" s="8" t="s">
        <v>271</v>
      </c>
      <c r="AL49" s="7"/>
      <c r="AM49" s="8" t="s">
        <v>272</v>
      </c>
      <c r="AN49" s="8" t="s">
        <v>109</v>
      </c>
      <c r="AO49" s="9">
        <v>46197</v>
      </c>
    </row>
    <row r="50" spans="1:41" x14ac:dyDescent="0.25">
      <c r="A50" s="5" t="str">
        <f>IFERROR(IF(INDEX([3]BH!$A$2:$A$32,MATCH($D50,[3]BH!$D$2:$D$32,0))="","",INDEX([3]BH!$A$2:$A$32,MATCH($D50,[3]BH!$D$2:$D$32,0))),"")</f>
        <v>Denied</v>
      </c>
      <c r="B50" s="5" t="str">
        <f>IFERROR(IF(INDEX([3]BH!$B$2:$B$32,MATCH($D50,[3]BH!$D$2:$D$32,0))="","",INDEX([3]BH!$B$2:$B$32,MATCH($D50,[3]BH!$D$2:$D$32,0))),"")</f>
        <v>Optum has no record of 99492 - that code was billed to UHC, not Optum - Resubmitted with 99492</v>
      </c>
      <c r="C50" s="6">
        <f>IFERROR(IF(INDEX([3]BH!$C$2:$C$32,MATCH($D50,[3]BH!$D$2:$D$32,0))="","",INDEX([3]BH!$C$2:$C$32,MATCH($D50,[3]BH!$D$2:$D$32,0))),"")</f>
        <v>46141</v>
      </c>
      <c r="D50" s="7">
        <v>551769931</v>
      </c>
      <c r="E50" s="8" t="s">
        <v>273</v>
      </c>
      <c r="F50" s="9">
        <v>46086</v>
      </c>
      <c r="G50" s="8" t="s">
        <v>134</v>
      </c>
      <c r="H50" s="8" t="s">
        <v>134</v>
      </c>
      <c r="I50" s="8" t="s">
        <v>69</v>
      </c>
      <c r="J50" s="8" t="s">
        <v>220</v>
      </c>
      <c r="K50" s="6">
        <f>IFERROR(IF(INDEX([3]BH!$K$2:$K$32,MATCH($D50,[3]BH!$D$2:$D$32,0))="","",INDEX([3]BH!$K$2:$K$32,MATCH($D50,[3]BH!$D$2:$D$32,0))),"")</f>
        <v>46265</v>
      </c>
      <c r="L50" s="11">
        <f ca="1">IF($O50="","",$O50-TODAY())</f>
        <v>-128</v>
      </c>
      <c r="M50" s="11">
        <f ca="1">IF(AND(TRIM($A50)="Finalized",$K50&lt;&gt;""),"",IF($C50="","",$C50+365-TODAY()))</f>
        <v>202</v>
      </c>
      <c r="N50" s="11">
        <f ca="1">IF(AND(TRIM($A50)="Finalized",$K50&lt;&gt;""),"",IF($C50="","",$C50+365-TODAY()))</f>
        <v>202</v>
      </c>
      <c r="O50" s="9">
        <f>IF(AND(TRIM($A50)="Finalized",$K50&lt;&gt;""),"",DATE(2026,6,3))</f>
        <v>46176</v>
      </c>
      <c r="P50" s="8" t="s">
        <v>86</v>
      </c>
      <c r="Q50" s="8" t="s">
        <v>136</v>
      </c>
      <c r="R50" s="8" t="s">
        <v>73</v>
      </c>
      <c r="S50" s="8" t="s">
        <v>74</v>
      </c>
      <c r="T50" s="8" t="s">
        <v>73</v>
      </c>
      <c r="U50" s="8" t="s">
        <v>74</v>
      </c>
      <c r="V50" s="8" t="s">
        <v>256</v>
      </c>
      <c r="W50" s="8" t="s">
        <v>118</v>
      </c>
      <c r="X50" s="8"/>
      <c r="Y50" s="8"/>
      <c r="Z50" s="8"/>
      <c r="AA50" s="8" t="s">
        <v>77</v>
      </c>
      <c r="AB50" s="10">
        <v>1372.91</v>
      </c>
      <c r="AC50" s="10">
        <v>0</v>
      </c>
      <c r="AD50" s="10">
        <v>0</v>
      </c>
      <c r="AE50" s="9">
        <v>46141</v>
      </c>
      <c r="AF50" s="10">
        <v>1372.91</v>
      </c>
      <c r="AG50" s="7">
        <v>156</v>
      </c>
      <c r="AH50" s="8" t="s">
        <v>161</v>
      </c>
      <c r="AI50" s="8"/>
      <c r="AJ50" s="8"/>
      <c r="AK50" s="8"/>
      <c r="AL50" s="7"/>
      <c r="AM50" s="8" t="s">
        <v>157</v>
      </c>
      <c r="AN50" s="8" t="s">
        <v>132</v>
      </c>
      <c r="AO50" s="9">
        <v>46119</v>
      </c>
    </row>
    <row r="51" spans="1:41" x14ac:dyDescent="0.25">
      <c r="A51" s="5" t="str">
        <f>IFERROR(IF(INDEX([3]BH!$A$2:$A$32,MATCH($D51,[3]BH!$D$2:$D$32,0))="","",INDEX([3]BH!$A$2:$A$32,MATCH($D51,[3]BH!$D$2:$D$32,0))),"")</f>
        <v>Denied</v>
      </c>
      <c r="B51" s="5" t="str">
        <f>IFERROR(IF(INDEX([3]BH!$B$2:$B$32,MATCH($D51,[3]BH!$D$2:$D$32,0))="","",INDEX([3]BH!$B$2:$B$32,MATCH($D51,[3]BH!$D$2:$D$32,0))),"")</f>
        <v>Corrected rendering provider, and resubmitted</v>
      </c>
      <c r="C51" s="6">
        <f>IFERROR(IF(INDEX([3]BH!$C$2:$C$32,MATCH($D51,[3]BH!$D$2:$D$32,0))="","",INDEX([3]BH!$C$2:$C$32,MATCH($D51,[3]BH!$D$2:$D$32,0))),"")</f>
        <v>46121</v>
      </c>
      <c r="D51" s="7">
        <v>551874008</v>
      </c>
      <c r="E51" s="8" t="s">
        <v>274</v>
      </c>
      <c r="F51" s="9">
        <v>46087</v>
      </c>
      <c r="G51" s="8" t="s">
        <v>134</v>
      </c>
      <c r="H51" s="8" t="s">
        <v>134</v>
      </c>
      <c r="I51" s="8" t="s">
        <v>69</v>
      </c>
      <c r="J51" s="8" t="s">
        <v>124</v>
      </c>
      <c r="K51" s="6">
        <f>IFERROR(IF(INDEX([3]BH!$K$2:$K$32,MATCH($D51,[3]BH!$D$2:$D$32,0))="","",INDEX([3]BH!$K$2:$K$32,MATCH($D51,[3]BH!$D$2:$D$32,0))),"")</f>
        <v>46265</v>
      </c>
      <c r="L51" s="11">
        <f ca="1">IF($O51="","",$O51-TODAY())</f>
        <v>-127</v>
      </c>
      <c r="M51" s="11">
        <f ca="1">IF(AND(TRIM($A51)="Finalized",$K51&lt;&gt;""),"",IF($C51="","",$C51+365-TODAY()))</f>
        <v>182</v>
      </c>
      <c r="N51" s="11">
        <f ca="1">IF(AND(TRIM($A51)="Finalized",$K51&lt;&gt;""),"",IF($C51="","",$C51+365-TODAY()))</f>
        <v>182</v>
      </c>
      <c r="O51" s="9">
        <f>IF(AND(TRIM($A51)="Finalized",$K51&lt;&gt;""),"",DATE(2026,6,4))</f>
        <v>46177</v>
      </c>
      <c r="P51" s="8" t="s">
        <v>86</v>
      </c>
      <c r="Q51" s="8" t="s">
        <v>136</v>
      </c>
      <c r="R51" s="8" t="s">
        <v>73</v>
      </c>
      <c r="S51" s="8" t="s">
        <v>74</v>
      </c>
      <c r="T51" s="8" t="s">
        <v>73</v>
      </c>
      <c r="U51" s="8" t="s">
        <v>74</v>
      </c>
      <c r="V51" s="8" t="s">
        <v>256</v>
      </c>
      <c r="W51" s="8" t="s">
        <v>118</v>
      </c>
      <c r="X51" s="8"/>
      <c r="Y51" s="8"/>
      <c r="Z51" s="8"/>
      <c r="AA51" s="8" t="s">
        <v>77</v>
      </c>
      <c r="AB51" s="10">
        <v>1426.25</v>
      </c>
      <c r="AC51" s="10">
        <v>0</v>
      </c>
      <c r="AD51" s="10">
        <v>0</v>
      </c>
      <c r="AE51" s="9">
        <v>46121</v>
      </c>
      <c r="AF51" s="10">
        <v>1426.25</v>
      </c>
      <c r="AG51" s="7">
        <v>155</v>
      </c>
      <c r="AH51" s="8" t="s">
        <v>119</v>
      </c>
      <c r="AI51" s="8"/>
      <c r="AJ51" s="8"/>
      <c r="AK51" s="8"/>
      <c r="AL51" s="7"/>
      <c r="AM51" s="8" t="s">
        <v>154</v>
      </c>
      <c r="AN51" s="8" t="s">
        <v>132</v>
      </c>
      <c r="AO51" s="9">
        <v>46119</v>
      </c>
    </row>
    <row r="52" spans="1:41" x14ac:dyDescent="0.25">
      <c r="A52" s="5" t="str">
        <f>IFERROR(IF(INDEX([3]BH!$A$2:$A$32,MATCH($D52,[3]BH!$D$2:$D$32,0))="","",INDEX([3]BH!$A$2:$A$32,MATCH($D52,[3]BH!$D$2:$D$32,0))),"")</f>
        <v>Pending</v>
      </c>
      <c r="B52" s="5" t="str">
        <f>IFERROR(IF(INDEX([3]BH!$B$2:$B$32,MATCH($D52,[3]BH!$D$2:$D$32,0))="","",INDEX([3]BH!$B$2:$B$32,MATCH($D52,[3]BH!$D$2:$D$32,0))),"")</f>
        <v xml:space="preserve">secondary - Rep Gloria C - Ins started the refund request - Rep sent claim back to have it reprocessed - Ref # 188336955 - Ticket # SF20260903906271400 - TAT 30 bd - OP by secondary insurance </v>
      </c>
      <c r="C52" s="6">
        <f>IFERROR(IF(INDEX([3]BH!$C$2:$C$32,MATCH($D52,[3]BH!$D$2:$D$32,0))="","",INDEX([3]BH!$C$2:$C$32,MATCH($D52,[3]BH!$D$2:$D$32,0))),"")</f>
        <v>46196</v>
      </c>
      <c r="D52" s="7">
        <v>551830492</v>
      </c>
      <c r="E52" s="8" t="s">
        <v>275</v>
      </c>
      <c r="F52" s="9">
        <v>46087</v>
      </c>
      <c r="G52" s="8" t="s">
        <v>148</v>
      </c>
      <c r="H52" s="8" t="s">
        <v>114</v>
      </c>
      <c r="I52" s="8" t="s">
        <v>148</v>
      </c>
      <c r="J52" s="8" t="s">
        <v>195</v>
      </c>
      <c r="K52" s="6">
        <f>IFERROR(IF(INDEX([3]BH!$K$2:$K$32,MATCH($D52,[3]BH!$D$2:$D$32,0))="","",INDEX([3]BH!$K$2:$K$32,MATCH($D52,[3]BH!$D$2:$D$32,0))),"")</f>
        <v>46268</v>
      </c>
      <c r="L52" s="11">
        <f ca="1">IF($O52="","",$O52-TODAY())</f>
        <v>-127</v>
      </c>
      <c r="M52" s="11">
        <f ca="1">IF(AND(TRIM($A52)="Finalized",$K52&lt;&gt;""),"",IF($C52="","",$C52+180-TODAY()))</f>
        <v>72</v>
      </c>
      <c r="N52" s="11">
        <f ca="1">IF(AND(TRIM($A52)="Finalized",$K52&lt;&gt;""),"",IF($C52="","",$C52+365-TODAY()))</f>
        <v>257</v>
      </c>
      <c r="O52" s="9">
        <f>IF(AND(TRIM($A52)="Finalized",$K52&lt;&gt;""),"",DATE(2026,6,4))</f>
        <v>46177</v>
      </c>
      <c r="P52" s="8" t="s">
        <v>86</v>
      </c>
      <c r="Q52" s="8" t="s">
        <v>116</v>
      </c>
      <c r="R52" s="8" t="s">
        <v>117</v>
      </c>
      <c r="S52" s="8" t="s">
        <v>74</v>
      </c>
      <c r="T52" s="8" t="s">
        <v>73</v>
      </c>
      <c r="U52" s="8" t="s">
        <v>74</v>
      </c>
      <c r="V52" s="8" t="s">
        <v>256</v>
      </c>
      <c r="W52" s="8" t="s">
        <v>118</v>
      </c>
      <c r="X52" s="8"/>
      <c r="Y52" s="8"/>
      <c r="Z52" s="8"/>
      <c r="AA52" s="8" t="s">
        <v>77</v>
      </c>
      <c r="AB52" s="10">
        <v>1426.25</v>
      </c>
      <c r="AC52" s="10">
        <v>1223.69</v>
      </c>
      <c r="AD52" s="10">
        <v>354.8</v>
      </c>
      <c r="AE52" s="9">
        <v>46196</v>
      </c>
      <c r="AF52" s="10">
        <v>-152.24</v>
      </c>
      <c r="AG52" s="7">
        <v>155</v>
      </c>
      <c r="AH52" s="8" t="s">
        <v>276</v>
      </c>
      <c r="AI52" s="8"/>
      <c r="AJ52" s="8"/>
      <c r="AK52" s="8"/>
      <c r="AL52" s="7">
        <v>560056768</v>
      </c>
      <c r="AM52" s="8" t="s">
        <v>157</v>
      </c>
      <c r="AN52" s="8" t="s">
        <v>158</v>
      </c>
      <c r="AO52" s="9">
        <v>46119</v>
      </c>
    </row>
    <row r="53" spans="1:41" x14ac:dyDescent="0.25">
      <c r="A53" s="5" t="str">
        <f>IFERROR(IF(INDEX([3]ORTHO!$A$2:$A$16,MATCH($D53,[3]ORTHO!$D$2:$D$16,0))="","",INDEX([3]ORTHO!$A$2:$A$16,MATCH($D53,[3]ORTHO!$D$2:$D$16,0))),"")</f>
        <v>Denied</v>
      </c>
      <c r="B53" s="5" t="str">
        <f>IFERROR(IF(INDEX([3]ORTHO!$B$2:$B$16,MATCH($D53,[3]ORTHO!$D$2:$D$16,0))="","",INDEX([3]ORTHO!$B$2:$B$16,MATCH($D53,[3]ORTHO!$D$2:$D$16,0))),"")</f>
        <v xml:space="preserve">Adjusted balance - Auth only included 62330 - DND 63047 missing auth </v>
      </c>
      <c r="C53" s="6">
        <f>IFERROR(IF(INDEX([3]ORTHO!$C$2:$C$16,MATCH($D53,[3]ORTHO!$D$2:$D$16,0))="","",INDEX([3]ORTHO!$C$2:$C$16,MATCH($D53,[3]ORTHO!$D$2:$D$16,0))),"")</f>
        <v>46097</v>
      </c>
      <c r="D53" s="7">
        <v>551964467</v>
      </c>
      <c r="E53" s="8" t="s">
        <v>277</v>
      </c>
      <c r="F53" s="9">
        <v>46087</v>
      </c>
      <c r="G53" s="8" t="s">
        <v>97</v>
      </c>
      <c r="H53" s="8" t="s">
        <v>97</v>
      </c>
      <c r="I53" s="8" t="s">
        <v>69</v>
      </c>
      <c r="J53" s="8" t="s">
        <v>143</v>
      </c>
      <c r="K53" s="6">
        <f>IFERROR(IF(INDEX([3]ORTHO!$K$2:$K$16,MATCH($D53,[3]ORTHO!$D$2:$D$16,0))="","",INDEX([3]ORTHO!$K$2:$K$16,MATCH($D53,[3]ORTHO!$D$2:$D$16,0))),"")</f>
        <v>46279</v>
      </c>
      <c r="L53" s="11">
        <f ca="1">IF($O53="","",$O53-TODAY())</f>
        <v>-127</v>
      </c>
      <c r="M53" s="11">
        <f ca="1">IF(AND(TRIM($A53)="Finalized",$K53&lt;&gt;""),"",IF($F53="","",$F53+90-TODAY()))</f>
        <v>-127</v>
      </c>
      <c r="N53" s="11">
        <f ca="1">IF(AND(TRIM($A53)="Finalized",$K53&lt;&gt;""),"",IF($C53="","",$C53+540-TODAY()))</f>
        <v>333</v>
      </c>
      <c r="O53" s="9">
        <f>IF(AND(TRIM($A53)="Finalized",$K53&lt;&gt;""),"",DATE(2026,6,4))</f>
        <v>46177</v>
      </c>
      <c r="P53" s="8" t="s">
        <v>86</v>
      </c>
      <c r="Q53" s="8" t="s">
        <v>99</v>
      </c>
      <c r="R53" s="8" t="s">
        <v>86</v>
      </c>
      <c r="S53" s="8" t="s">
        <v>88</v>
      </c>
      <c r="T53" s="8" t="s">
        <v>100</v>
      </c>
      <c r="U53" s="8" t="s">
        <v>74</v>
      </c>
      <c r="V53" s="8" t="s">
        <v>256</v>
      </c>
      <c r="W53" s="8" t="s">
        <v>76</v>
      </c>
      <c r="X53" s="8"/>
      <c r="Y53" s="8"/>
      <c r="Z53" s="8"/>
      <c r="AA53" s="8" t="s">
        <v>77</v>
      </c>
      <c r="AB53" s="10">
        <v>7623.07</v>
      </c>
      <c r="AC53" s="10">
        <v>0</v>
      </c>
      <c r="AD53" s="10">
        <v>0</v>
      </c>
      <c r="AE53" s="9">
        <v>46097</v>
      </c>
      <c r="AF53" s="10">
        <v>7623.07</v>
      </c>
      <c r="AG53" s="7">
        <v>155</v>
      </c>
      <c r="AH53" s="8" t="s">
        <v>145</v>
      </c>
      <c r="AI53" s="8"/>
      <c r="AJ53" s="8"/>
      <c r="AK53" s="8"/>
      <c r="AL53" s="7"/>
      <c r="AM53" s="8" t="s">
        <v>278</v>
      </c>
      <c r="AN53" s="8" t="s">
        <v>109</v>
      </c>
      <c r="AO53" s="9">
        <v>46091</v>
      </c>
    </row>
    <row r="54" spans="1:41" x14ac:dyDescent="0.25">
      <c r="A54" s="5" t="str">
        <f>IFERROR(IF(INDEX([2]ORTHO!$A$2:$A$11,MATCH($D54,[2]ORTHO!$D$2:$D$11,0))="","",INDEX([2]ORTHO!$A$2:$A$11,MATCH($D54,[2]ORTHO!$D$2:$D$11,0))),"")</f>
        <v>Denied</v>
      </c>
      <c r="B54" s="5" t="str">
        <f>IFERROR(IF(INDEX([2]ORTHO!$B$2:$B$11,MATCH($D54,[2]ORTHO!$D$2:$D$11,0))="","",INDEX([2]ORTHO!$B$2:$B$11,MATCH($D54,[2]ORTHO!$D$2:$D$11,0))),"")</f>
        <v xml:space="preserve">Filed appeal # Z264AZW09999 on portal - Basis: add-on to auth'd/paid 63047, intraop findings. Op note attached - Add-on 63048 requires auth according to medicaid auth tool - Auth # OP4987640976 didn't include 63048 - DND 63048 due to missing auth </v>
      </c>
      <c r="C54" s="6">
        <f>IFERROR(IF(INDEX([2]ORTHO!$C$2:$C$11,MATCH($D54,[2]ORTHO!$D$2:$D$11,0))="","",INDEX([2]ORTHO!$C$2:$C$11,MATCH($D54,[2]ORTHO!$D$2:$D$11,0))),"")</f>
        <v>46218</v>
      </c>
      <c r="D54" s="7">
        <v>564578362</v>
      </c>
      <c r="E54" s="8" t="s">
        <v>279</v>
      </c>
      <c r="F54" s="9">
        <v>46057</v>
      </c>
      <c r="G54" s="8" t="s">
        <v>280</v>
      </c>
      <c r="H54" s="8" t="s">
        <v>280</v>
      </c>
      <c r="I54" s="8" t="s">
        <v>69</v>
      </c>
      <c r="J54" s="8" t="s">
        <v>269</v>
      </c>
      <c r="K54" s="6">
        <f>IFERROR(IF(INDEX([2]ORTHO!$K$2:$K$11,MATCH($D54,[2]ORTHO!$D$2:$D$11,0))="","",INDEX([2]ORTHO!$K$2:$K$11,MATCH($D54,[2]ORTHO!$D$2:$D$11,0))),"")</f>
        <v>46285</v>
      </c>
      <c r="L54" s="11">
        <f ca="1">IF($O54="","",$O54-TODAY())</f>
        <v>-127</v>
      </c>
      <c r="M54" s="11">
        <f ca="1">IF(AND(TRIM($A54)="Finalized",$K54&lt;&gt;""),"",IF($F54="","",$F54+365-TODAY()))</f>
        <v>118</v>
      </c>
      <c r="N54" s="11">
        <f ca="1">IF(AND(TRIM($A54)="Finalized",$K54&lt;&gt;""),"",IF($F54="","",$F54+365-TODAY()))</f>
        <v>118</v>
      </c>
      <c r="O54" s="9">
        <f>IF(AND(TRIM($A54)="Finalized",$K54&lt;&gt;""),"",DATE(2026,6,4))</f>
        <v>46177</v>
      </c>
      <c r="P54" s="8" t="s">
        <v>208</v>
      </c>
      <c r="Q54" s="8" t="s">
        <v>281</v>
      </c>
      <c r="R54" s="8" t="s">
        <v>73</v>
      </c>
      <c r="S54" s="8" t="s">
        <v>88</v>
      </c>
      <c r="T54" s="8" t="s">
        <v>73</v>
      </c>
      <c r="U54" s="8" t="s">
        <v>88</v>
      </c>
      <c r="V54" s="8" t="s">
        <v>204</v>
      </c>
      <c r="W54" s="8" t="s">
        <v>76</v>
      </c>
      <c r="X54" s="8"/>
      <c r="Y54" s="8"/>
      <c r="Z54" s="8"/>
      <c r="AA54" s="8" t="s">
        <v>77</v>
      </c>
      <c r="AB54" s="10">
        <v>1433.32</v>
      </c>
      <c r="AC54" s="10">
        <v>0</v>
      </c>
      <c r="AD54" s="10">
        <v>0</v>
      </c>
      <c r="AE54" s="9">
        <v>46218</v>
      </c>
      <c r="AF54" s="10">
        <v>1433.32</v>
      </c>
      <c r="AG54" s="7">
        <v>185</v>
      </c>
      <c r="AH54" s="8" t="s">
        <v>145</v>
      </c>
      <c r="AI54" s="8" t="s">
        <v>282</v>
      </c>
      <c r="AJ54" s="8"/>
      <c r="AK54" s="8"/>
      <c r="AL54" s="7"/>
      <c r="AM54" s="8" t="s">
        <v>272</v>
      </c>
      <c r="AN54" s="8" t="s">
        <v>109</v>
      </c>
      <c r="AO54" s="9">
        <v>46077</v>
      </c>
    </row>
    <row r="55" spans="1:41" x14ac:dyDescent="0.25">
      <c r="A55" s="5" t="str">
        <f>IFERROR(IF(INDEX([3]ORTHO!$A$2:$A$16,MATCH($D55,[3]ORTHO!$D$2:$D$16,0))="","",INDEX([3]ORTHO!$A$2:$A$16,MATCH($D55,[3]ORTHO!$D$2:$D$16,0))),"")</f>
        <v>PAID</v>
      </c>
      <c r="B55" s="5" t="str">
        <f>IFERROR(IF(INDEX([3]ORTHO!$B$2:$B$16,MATCH($D55,[3]ORTHO!$D$2:$D$16,0))="","",INDEX([3]ORTHO!$B$2:$B$16,MATCH($D55,[3]ORTHO!$D$2:$D$16,0))),"")</f>
        <v>PENDING POSTING</v>
      </c>
      <c r="C55" s="6">
        <f>IFERROR(IF(INDEX([3]ORTHO!$C$2:$C$16,MATCH($D55,[3]ORTHO!$D$2:$D$16,0))="","",INDEX([3]ORTHO!$C$2:$C$16,MATCH($D55,[3]ORTHO!$D$2:$D$16,0))),"")</f>
        <v>46203</v>
      </c>
      <c r="D55" s="7">
        <v>553643849</v>
      </c>
      <c r="E55" s="8" t="s">
        <v>283</v>
      </c>
      <c r="F55" s="9">
        <v>46087</v>
      </c>
      <c r="G55" s="8" t="s">
        <v>123</v>
      </c>
      <c r="H55" s="8" t="s">
        <v>123</v>
      </c>
      <c r="I55" s="8" t="s">
        <v>69</v>
      </c>
      <c r="J55" s="8" t="s">
        <v>284</v>
      </c>
      <c r="K55" s="6" t="str">
        <f>IFERROR(IF(INDEX([3]ORTHO!$K$2:$K$16,MATCH($D55,[3]ORTHO!$D$2:$D$16,0))="","",INDEX([3]ORTHO!$K$2:$K$16,MATCH($D55,[3]ORTHO!$D$2:$D$16,0))),"")</f>
        <v/>
      </c>
      <c r="L55" s="11">
        <f ca="1">IF($O55="","",$O55-TODAY())</f>
        <v>-127</v>
      </c>
      <c r="M55" s="11">
        <f ca="1">IF(AND(TRIM($A55)="Finalized",$K55&lt;&gt;""),"",IF($F55="","",$F55+90-TODAY()))</f>
        <v>-127</v>
      </c>
      <c r="N55" s="11">
        <f ca="1">IF(AND(TRIM($A55)="Finalized",$K55&lt;&gt;""),"",IF($C55="","",$C55+365-TODAY()))</f>
        <v>264</v>
      </c>
      <c r="O55" s="9">
        <f>IF(AND(TRIM($A55)="Finalized",$K55&lt;&gt;""),"",DATE(2026,6,4))</f>
        <v>46177</v>
      </c>
      <c r="P55" s="8" t="s">
        <v>86</v>
      </c>
      <c r="Q55" s="8" t="s">
        <v>125</v>
      </c>
      <c r="R55" s="8" t="s">
        <v>86</v>
      </c>
      <c r="S55" s="8" t="s">
        <v>88</v>
      </c>
      <c r="T55" s="8" t="s">
        <v>73</v>
      </c>
      <c r="U55" s="8" t="s">
        <v>74</v>
      </c>
      <c r="V55" s="8" t="s">
        <v>256</v>
      </c>
      <c r="W55" s="8" t="s">
        <v>76</v>
      </c>
      <c r="X55" s="8" t="s">
        <v>102</v>
      </c>
      <c r="Y55" s="8"/>
      <c r="Z55" s="8"/>
      <c r="AA55" s="8" t="s">
        <v>77</v>
      </c>
      <c r="AB55" s="10">
        <v>18400.34</v>
      </c>
      <c r="AC55" s="10">
        <v>0</v>
      </c>
      <c r="AD55" s="10">
        <v>0</v>
      </c>
      <c r="AE55" s="9"/>
      <c r="AF55" s="10">
        <v>18400.34</v>
      </c>
      <c r="AG55" s="7">
        <v>155</v>
      </c>
      <c r="AH55" s="8" t="s">
        <v>285</v>
      </c>
      <c r="AI55" s="8" t="s">
        <v>286</v>
      </c>
      <c r="AJ55" s="8"/>
      <c r="AK55" s="8"/>
      <c r="AL55" s="7"/>
      <c r="AM55" s="8" t="s">
        <v>168</v>
      </c>
      <c r="AN55" s="8" t="s">
        <v>250</v>
      </c>
      <c r="AO55" s="9">
        <v>46197</v>
      </c>
    </row>
    <row r="56" spans="1:41" x14ac:dyDescent="0.25">
      <c r="A56" s="5" t="str">
        <f>IFERROR(IF(INDEX([3]BH!$A$2:$A$32,MATCH($D56,[3]BH!$D$2:$D$32,0))="","",INDEX([3]BH!$A$2:$A$32,MATCH($D56,[3]BH!$D$2:$D$32,0))),"")</f>
        <v>Denied</v>
      </c>
      <c r="B56" s="5" t="str">
        <f>IFERROR(IF(INDEX([3]BH!$B$2:$B$32,MATCH($D56,[3]BH!$D$2:$D$32,0))="","",INDEX([3]BH!$B$2:$B$32,MATCH($D56,[3]BH!$D$2:$D$32,0))),"")</f>
        <v xml:space="preserve">Resubmitted to Alignment active on DOS </v>
      </c>
      <c r="C56" s="6">
        <f>IFERROR(IF(INDEX([3]BH!$C$2:$C$32,MATCH($D56,[3]BH!$D$2:$D$32,0))="","",INDEX([3]BH!$C$2:$C$32,MATCH($D56,[3]BH!$D$2:$D$32,0))),"")</f>
        <v>46121</v>
      </c>
      <c r="D56" s="7">
        <v>552405449</v>
      </c>
      <c r="E56" s="8" t="s">
        <v>287</v>
      </c>
      <c r="F56" s="9">
        <v>46092</v>
      </c>
      <c r="G56" s="8" t="s">
        <v>134</v>
      </c>
      <c r="H56" s="8" t="s">
        <v>134</v>
      </c>
      <c r="I56" s="8" t="s">
        <v>69</v>
      </c>
      <c r="J56" s="8" t="s">
        <v>195</v>
      </c>
      <c r="K56" s="6">
        <f>IFERROR(IF(INDEX([3]BH!$K$2:$K$32,MATCH($D56,[3]BH!$D$2:$D$32,0))="","",INDEX([3]BH!$K$2:$K$32,MATCH($D56,[3]BH!$D$2:$D$32,0))),"")</f>
        <v>46257</v>
      </c>
      <c r="L56" s="11">
        <f ca="1">IF($O56="","",$O56-TODAY())</f>
        <v>-122</v>
      </c>
      <c r="M56" s="11">
        <f ca="1">IF(AND(TRIM($A56)="Finalized",$K56&lt;&gt;""),"",IF($C56="","",$C56+365-TODAY()))</f>
        <v>182</v>
      </c>
      <c r="N56" s="11">
        <f ca="1">IF(AND(TRIM($A56)="Finalized",$K56&lt;&gt;""),"",IF($C56="","",$C56+365-TODAY()))</f>
        <v>182</v>
      </c>
      <c r="O56" s="9">
        <f>IF(AND(TRIM($A56)="Finalized",$K56&lt;&gt;""),"",DATE(2026,6,9))</f>
        <v>46182</v>
      </c>
      <c r="P56" s="8" t="s">
        <v>86</v>
      </c>
      <c r="Q56" s="8" t="s">
        <v>136</v>
      </c>
      <c r="R56" s="8" t="s">
        <v>73</v>
      </c>
      <c r="S56" s="8" t="s">
        <v>74</v>
      </c>
      <c r="T56" s="8" t="s">
        <v>73</v>
      </c>
      <c r="U56" s="8" t="s">
        <v>74</v>
      </c>
      <c r="V56" s="8" t="s">
        <v>256</v>
      </c>
      <c r="W56" s="8" t="s">
        <v>118</v>
      </c>
      <c r="X56" s="8"/>
      <c r="Y56" s="8"/>
      <c r="Z56" s="8"/>
      <c r="AA56" s="8" t="s">
        <v>77</v>
      </c>
      <c r="AB56" s="10">
        <v>1426.25</v>
      </c>
      <c r="AC56" s="10">
        <v>0</v>
      </c>
      <c r="AD56" s="10">
        <v>0</v>
      </c>
      <c r="AE56" s="9">
        <v>46121</v>
      </c>
      <c r="AF56" s="10">
        <v>1426.25</v>
      </c>
      <c r="AG56" s="7">
        <v>150</v>
      </c>
      <c r="AH56" s="8" t="s">
        <v>161</v>
      </c>
      <c r="AI56" s="8"/>
      <c r="AJ56" s="8"/>
      <c r="AK56" s="8"/>
      <c r="AL56" s="7"/>
      <c r="AM56" s="8" t="s">
        <v>146</v>
      </c>
      <c r="AN56" s="8" t="s">
        <v>132</v>
      </c>
      <c r="AO56" s="9">
        <v>46119</v>
      </c>
    </row>
    <row r="57" spans="1:41" x14ac:dyDescent="0.25">
      <c r="A57" s="5" t="str">
        <f>IFERROR(IF(INDEX([3]ORTHO!$A$2:$A$16,MATCH($D57,[3]ORTHO!$D$2:$D$16,0))="","",INDEX([3]ORTHO!$A$2:$A$16,MATCH($D57,[3]ORTHO!$D$2:$D$16,0))),"")</f>
        <v>Denied</v>
      </c>
      <c r="B57" s="5" t="str">
        <f>IFERROR(IF(INDEX([3]ORTHO!$B$2:$B$16,MATCH($D57,[3]ORTHO!$D$2:$D$16,0))="","",INDEX([3]ORTHO!$B$2:$B$16,MATCH($D57,[3]ORTHO!$D$2:$D$16,0))),"")</f>
        <v>Jess resubmitted claim on 08/31/2026</v>
      </c>
      <c r="C57" s="6">
        <f>IFERROR(IF(INDEX([3]ORTHO!$C$2:$C$16,MATCH($D57,[3]ORTHO!$D$2:$D$16,0))="","",INDEX([3]ORTHO!$C$2:$C$16,MATCH($D57,[3]ORTHO!$D$2:$D$16,0))),"")</f>
        <v>46108</v>
      </c>
      <c r="D57" s="7">
        <v>553652690</v>
      </c>
      <c r="E57" s="8" t="s">
        <v>292</v>
      </c>
      <c r="F57" s="9">
        <v>46093</v>
      </c>
      <c r="G57" s="8" t="s">
        <v>97</v>
      </c>
      <c r="H57" s="8" t="s">
        <v>97</v>
      </c>
      <c r="I57" s="8" t="s">
        <v>69</v>
      </c>
      <c r="J57" s="8" t="s">
        <v>293</v>
      </c>
      <c r="K57" s="6">
        <f>IFERROR(IF(INDEX([3]ORTHO!$K$2:$K$16,MATCH($D57,[3]ORTHO!$D$2:$D$16,0))="","",INDEX([3]ORTHO!$K$2:$K$16,MATCH($D57,[3]ORTHO!$D$2:$D$16,0))),"")</f>
        <v>46265</v>
      </c>
      <c r="L57" s="11">
        <f ca="1">IF($O57="","",$O57-TODAY())</f>
        <v>-121</v>
      </c>
      <c r="M57" s="11">
        <f ca="1">IF(AND(TRIM($A57)="Finalized",$K57&lt;&gt;""),"",IF($F57="","",$F57+90-TODAY()))</f>
        <v>-121</v>
      </c>
      <c r="N57" s="11">
        <f ca="1">IF(AND(TRIM($A57)="Finalized",$K57&lt;&gt;""),"",IF($C57="","",$C57+540-TODAY()))</f>
        <v>344</v>
      </c>
      <c r="O57" s="9">
        <f>IF(AND(TRIM($A57)="Finalized",$K57&lt;&gt;""),"",DATE(2026,6,10))</f>
        <v>46183</v>
      </c>
      <c r="P57" s="8" t="s">
        <v>86</v>
      </c>
      <c r="Q57" s="8" t="s">
        <v>99</v>
      </c>
      <c r="R57" s="8" t="s">
        <v>86</v>
      </c>
      <c r="S57" s="8" t="s">
        <v>88</v>
      </c>
      <c r="T57" s="8" t="s">
        <v>100</v>
      </c>
      <c r="U57" s="8" t="s">
        <v>74</v>
      </c>
      <c r="V57" s="8" t="s">
        <v>256</v>
      </c>
      <c r="W57" s="8" t="s">
        <v>76</v>
      </c>
      <c r="X57" s="8" t="s">
        <v>102</v>
      </c>
      <c r="Y57" s="8"/>
      <c r="Z57" s="8"/>
      <c r="AA57" s="8" t="s">
        <v>77</v>
      </c>
      <c r="AB57" s="10">
        <v>18400.34</v>
      </c>
      <c r="AC57" s="10">
        <v>0</v>
      </c>
      <c r="AD57" s="10">
        <v>0</v>
      </c>
      <c r="AE57" s="9">
        <v>46108</v>
      </c>
      <c r="AF57" s="10">
        <v>18400.34</v>
      </c>
      <c r="AG57" s="7">
        <v>149</v>
      </c>
      <c r="AH57" s="8" t="s">
        <v>79</v>
      </c>
      <c r="AI57" s="8" t="s">
        <v>294</v>
      </c>
      <c r="AJ57" s="8"/>
      <c r="AK57" s="8"/>
      <c r="AL57" s="7"/>
      <c r="AM57" s="8" t="s">
        <v>168</v>
      </c>
      <c r="AN57" s="8" t="s">
        <v>250</v>
      </c>
      <c r="AO57" s="9">
        <v>46105</v>
      </c>
    </row>
    <row r="58" spans="1:41" x14ac:dyDescent="0.25">
      <c r="A58" s="5" t="str">
        <f>IFERROR(IF(INDEX([3]ORTHO!$A$2:$A$16,MATCH($D58,[3]ORTHO!$D$2:$D$16,0))="","",INDEX([3]ORTHO!$A$2:$A$16,MATCH($D58,[3]ORTHO!$D$2:$D$16,0))),"")</f>
        <v>Denied</v>
      </c>
      <c r="B58" s="5" t="str">
        <f>IFERROR(IF(INDEX([3]ORTHO!$B$2:$B$16,MATCH($D58,[3]ORTHO!$D$2:$D$16,0))="","",INDEX([3]ORTHO!$B$2:$B$16,MATCH($D58,[3]ORTHO!$D$2:$D$16,0))),"")</f>
        <v>Uploaded op notes from 03/12/2026 to 03/15/2026 - Request ID 35165602 - DND incomplete documentation - Jess uploaded MR</v>
      </c>
      <c r="C58" s="6">
        <f>IFERROR(IF(INDEX([3]ORTHO!$C$2:$C$16,MATCH($D58,[3]ORTHO!$D$2:$D$16,0))="","",INDEX([3]ORTHO!$C$2:$C$16,MATCH($D58,[3]ORTHO!$D$2:$D$16,0))),"")</f>
        <v>46220</v>
      </c>
      <c r="D58" s="7">
        <v>553656838</v>
      </c>
      <c r="E58" s="8" t="s">
        <v>295</v>
      </c>
      <c r="F58" s="9">
        <v>46093</v>
      </c>
      <c r="G58" s="8" t="s">
        <v>97</v>
      </c>
      <c r="H58" s="8" t="s">
        <v>97</v>
      </c>
      <c r="I58" s="8" t="s">
        <v>69</v>
      </c>
      <c r="J58" s="8" t="s">
        <v>296</v>
      </c>
      <c r="K58" s="6">
        <f>IFERROR(IF(INDEX([3]ORTHO!$K$2:$K$16,MATCH($D58,[3]ORTHO!$D$2:$D$16,0))="","",INDEX([3]ORTHO!$K$2:$K$16,MATCH($D58,[3]ORTHO!$D$2:$D$16,0))),"")</f>
        <v>46279</v>
      </c>
      <c r="L58" s="11">
        <f ca="1">IF($O58="","",$O58-TODAY())</f>
        <v>-121</v>
      </c>
      <c r="M58" s="11">
        <f ca="1">IF(AND(TRIM($A58)="Finalized",$K58&lt;&gt;""),"",IF($F58="","",$F58+90-TODAY()))</f>
        <v>-121</v>
      </c>
      <c r="N58" s="11">
        <f ca="1">IF(AND(TRIM($A58)="Finalized",$K58&lt;&gt;""),"",IF($C58="","",$C58+540-TODAY()))</f>
        <v>456</v>
      </c>
      <c r="O58" s="9">
        <f>IF(AND(TRIM($A58)="Finalized",$K58&lt;&gt;""),"",DATE(2026,6,10))</f>
        <v>46183</v>
      </c>
      <c r="P58" s="8" t="s">
        <v>86</v>
      </c>
      <c r="Q58" s="8" t="s">
        <v>99</v>
      </c>
      <c r="R58" s="8" t="s">
        <v>86</v>
      </c>
      <c r="S58" s="8" t="s">
        <v>88</v>
      </c>
      <c r="T58" s="8" t="s">
        <v>100</v>
      </c>
      <c r="U58" s="8" t="s">
        <v>74</v>
      </c>
      <c r="V58" s="8" t="s">
        <v>256</v>
      </c>
      <c r="W58" s="8" t="s">
        <v>76</v>
      </c>
      <c r="X58" s="8"/>
      <c r="Y58" s="8"/>
      <c r="Z58" s="8"/>
      <c r="AA58" s="8" t="s">
        <v>77</v>
      </c>
      <c r="AB58" s="10">
        <v>12650.96</v>
      </c>
      <c r="AC58" s="10">
        <v>0</v>
      </c>
      <c r="AD58" s="10">
        <v>0</v>
      </c>
      <c r="AE58" s="9">
        <v>46220</v>
      </c>
      <c r="AF58" s="10">
        <v>12650.96</v>
      </c>
      <c r="AG58" s="7">
        <v>149</v>
      </c>
      <c r="AH58" s="8" t="s">
        <v>79</v>
      </c>
      <c r="AI58" s="8" t="s">
        <v>167</v>
      </c>
      <c r="AJ58" s="8"/>
      <c r="AK58" s="8"/>
      <c r="AL58" s="7"/>
      <c r="AM58" s="8" t="s">
        <v>168</v>
      </c>
      <c r="AN58" s="8" t="s">
        <v>250</v>
      </c>
      <c r="AO58" s="9">
        <v>46105</v>
      </c>
    </row>
    <row r="59" spans="1:41" x14ac:dyDescent="0.25">
      <c r="A59" s="5" t="str">
        <f>IFERROR(IF(INDEX([3]ORTHO!$A$2:$A$16,MATCH($D59,[3]ORTHO!$D$2:$D$16,0))="","",INDEX([3]ORTHO!$A$2:$A$16,MATCH($D59,[3]ORTHO!$D$2:$D$16,0))),"")</f>
        <v>Denied</v>
      </c>
      <c r="B59" s="5" t="str">
        <f>IFERROR(IF(INDEX([3]ORTHO!$B$2:$B$16,MATCH($D59,[3]ORTHO!$D$2:$D$16,0))="","",INDEX([3]ORTHO!$B$2:$B$16,MATCH($D59,[3]ORTHO!$D$2:$D$16,0))),"")</f>
        <v>Uploaded MR - PIQ-90849065</v>
      </c>
      <c r="C59" s="6">
        <f>IFERROR(IF(INDEX([3]ORTHO!$C$2:$C$16,MATCH($D59,[3]ORTHO!$D$2:$D$16,0))="","",INDEX([3]ORTHO!$C$2:$C$16,MATCH($D59,[3]ORTHO!$D$2:$D$16,0))),"")</f>
        <v>46127</v>
      </c>
      <c r="D59" s="7">
        <v>555351211</v>
      </c>
      <c r="E59" s="8" t="s">
        <v>297</v>
      </c>
      <c r="F59" s="9">
        <v>46093</v>
      </c>
      <c r="G59" s="8" t="s">
        <v>148</v>
      </c>
      <c r="H59" s="8" t="s">
        <v>148</v>
      </c>
      <c r="I59" s="8" t="s">
        <v>69</v>
      </c>
      <c r="J59" s="8" t="s">
        <v>298</v>
      </c>
      <c r="K59" s="6">
        <f>IFERROR(IF(INDEX([3]ORTHO!$K$2:$K$16,MATCH($D59,[3]ORTHO!$D$2:$D$16,0))="","",INDEX([3]ORTHO!$K$2:$K$16,MATCH($D59,[3]ORTHO!$D$2:$D$16,0))),"")</f>
        <v>46279</v>
      </c>
      <c r="L59" s="11">
        <f ca="1">IF($O59="","",$O59-TODAY())</f>
        <v>-121</v>
      </c>
      <c r="M59" s="11">
        <f ca="1">IF(AND(TRIM($A59)="Finalized",$K59&lt;&gt;""),"",IF($C59="","",$C59+180-TODAY()))</f>
        <v>3</v>
      </c>
      <c r="N59" s="11">
        <f ca="1">IF(AND(TRIM($A59)="Finalized",$K59&lt;&gt;""),"",IF($C59="","",$C59+365-TODAY()))</f>
        <v>188</v>
      </c>
      <c r="O59" s="9">
        <f>IF(AND(TRIM($A59)="Finalized",$K59&lt;&gt;""),"",DATE(2026,6,10))</f>
        <v>46183</v>
      </c>
      <c r="P59" s="8" t="s">
        <v>86</v>
      </c>
      <c r="Q59" s="8" t="s">
        <v>152</v>
      </c>
      <c r="R59" s="8" t="s">
        <v>117</v>
      </c>
      <c r="S59" s="8" t="s">
        <v>74</v>
      </c>
      <c r="T59" s="8" t="s">
        <v>73</v>
      </c>
      <c r="U59" s="8" t="s">
        <v>74</v>
      </c>
      <c r="V59" s="8" t="s">
        <v>256</v>
      </c>
      <c r="W59" s="8" t="s">
        <v>76</v>
      </c>
      <c r="X59" s="8"/>
      <c r="Y59" s="8"/>
      <c r="Z59" s="8"/>
      <c r="AA59" s="8" t="s">
        <v>77</v>
      </c>
      <c r="AB59" s="10">
        <v>8277.57</v>
      </c>
      <c r="AC59" s="10">
        <v>0</v>
      </c>
      <c r="AD59" s="10">
        <v>0</v>
      </c>
      <c r="AE59" s="9">
        <v>46127</v>
      </c>
      <c r="AF59" s="10">
        <v>8277.57</v>
      </c>
      <c r="AG59" s="7">
        <v>149</v>
      </c>
      <c r="AH59" s="8" t="s">
        <v>78</v>
      </c>
      <c r="AI59" s="8" t="s">
        <v>79</v>
      </c>
      <c r="AJ59" s="8"/>
      <c r="AK59" s="8"/>
      <c r="AL59" s="7"/>
      <c r="AM59" s="8" t="s">
        <v>217</v>
      </c>
      <c r="AN59" s="8" t="s">
        <v>109</v>
      </c>
      <c r="AO59" s="9">
        <v>46120</v>
      </c>
    </row>
    <row r="60" spans="1:41" x14ac:dyDescent="0.25">
      <c r="A60" s="5" t="str">
        <f>IFERROR(IF(INDEX([3]BH!$A$2:$A$32,MATCH($D60,[3]BH!$D$2:$D$32,0))="","",INDEX([3]BH!$A$2:$A$32,MATCH($D60,[3]BH!$D$2:$D$32,0))),"")</f>
        <v>Denied</v>
      </c>
      <c r="B60" s="5" t="str">
        <f>IFERROR(IF(INDEX([3]BH!$B$2:$B$32,MATCH($D60,[3]BH!$D$2:$D$32,0))="","",INDEX([3]BH!$B$2:$B$32,MATCH($D60,[3]BH!$D$2:$D$32,0))),"")</f>
        <v>Edited insured's info, and resubmitted - DND Remark: Patient/Insured health identification number and name do not match</v>
      </c>
      <c r="C60" s="6">
        <f>IFERROR(IF(INDEX([3]BH!$C$2:$C$32,MATCH($D60,[3]BH!$D$2:$D$32,0))="","",INDEX([3]BH!$C$2:$C$32,MATCH($D60,[3]BH!$D$2:$D$32,0))),"")</f>
        <v>46135</v>
      </c>
      <c r="D60" s="7">
        <v>552859864</v>
      </c>
      <c r="E60" s="8" t="s">
        <v>307</v>
      </c>
      <c r="F60" s="9">
        <v>46097</v>
      </c>
      <c r="G60" s="8" t="s">
        <v>123</v>
      </c>
      <c r="H60" s="8" t="s">
        <v>123</v>
      </c>
      <c r="I60" s="8" t="s">
        <v>123</v>
      </c>
      <c r="J60" s="8" t="s">
        <v>124</v>
      </c>
      <c r="K60" s="6">
        <f>IFERROR(IF(INDEX([3]BH!$K$2:$K$32,MATCH($D60,[3]BH!$D$2:$D$32,0))="","",INDEX([3]BH!$K$2:$K$32,MATCH($D60,[3]BH!$D$2:$D$32,0))),"")</f>
        <v>46268</v>
      </c>
      <c r="L60" s="11">
        <f ca="1">IF($O60="","",$O60-TODAY())</f>
        <v>-117</v>
      </c>
      <c r="M60" s="11">
        <f ca="1">IF(AND(TRIM($A60)="Finalized",$K60&lt;&gt;""),"",IF($F60="","",$F60+90-TODAY()))</f>
        <v>-117</v>
      </c>
      <c r="N60" s="11">
        <f ca="1">IF(AND(TRIM($A60)="Finalized",$K60&lt;&gt;""),"",IF($C60="","",$C60+365-TODAY()))</f>
        <v>196</v>
      </c>
      <c r="O60" s="9">
        <f>IF(AND(TRIM($A60)="Finalized",$K60&lt;&gt;""),"",DATE(2026,6,14))</f>
        <v>46187</v>
      </c>
      <c r="P60" s="8" t="s">
        <v>86</v>
      </c>
      <c r="Q60" s="8" t="s">
        <v>125</v>
      </c>
      <c r="R60" s="8" t="s">
        <v>86</v>
      </c>
      <c r="S60" s="8" t="s">
        <v>88</v>
      </c>
      <c r="T60" s="8" t="s">
        <v>73</v>
      </c>
      <c r="U60" s="8" t="s">
        <v>74</v>
      </c>
      <c r="V60" s="8" t="s">
        <v>256</v>
      </c>
      <c r="W60" s="8" t="s">
        <v>118</v>
      </c>
      <c r="X60" s="8"/>
      <c r="Y60" s="8"/>
      <c r="Z60" s="8"/>
      <c r="AA60" s="8" t="s">
        <v>77</v>
      </c>
      <c r="AB60" s="10">
        <v>1426.25</v>
      </c>
      <c r="AC60" s="10">
        <v>0</v>
      </c>
      <c r="AD60" s="10">
        <v>0</v>
      </c>
      <c r="AE60" s="9">
        <v>46135</v>
      </c>
      <c r="AF60" s="10">
        <v>1426.25</v>
      </c>
      <c r="AG60" s="7">
        <v>145</v>
      </c>
      <c r="AH60" s="8" t="s">
        <v>161</v>
      </c>
      <c r="AI60" s="8" t="s">
        <v>179</v>
      </c>
      <c r="AJ60" s="8"/>
      <c r="AK60" s="8"/>
      <c r="AL60" s="7"/>
      <c r="AM60" s="8" t="s">
        <v>120</v>
      </c>
      <c r="AN60" s="8" t="s">
        <v>121</v>
      </c>
      <c r="AO60" s="9">
        <v>46119</v>
      </c>
    </row>
    <row r="61" spans="1:41" x14ac:dyDescent="0.25">
      <c r="A61" s="5" t="str">
        <f>IFERROR(IF(INDEX([3]US!$A$2:$A$15,MATCH($D61,[3]US!$D$2:$D$15,0))="","",INDEX([3]US!$A$2:$A$15,MATCH($D61,[3]US!$D$2:$D$15,0))),"")</f>
        <v>Denied</v>
      </c>
      <c r="B61" s="5" t="str">
        <f>IFERROR(IF(INDEX([3]US!$B$2:$B$15,MATCH($D61,[3]US!$D$2:$D$15,0))="","",INDEX([3]US!$B$2:$B$15,MATCH($D61,[3]US!$D$2:$D$15,0))),"")</f>
        <v>Resubmitted to UHC as primary - DND This care may be covered by another payer per coordination of benefits</v>
      </c>
      <c r="C61" s="6">
        <f>IFERROR(IF(INDEX([3]US!$C$2:$C$15,MATCH($D61,[3]US!$D$2:$D$15,0))="","",INDEX([3]US!$C$2:$C$15,MATCH($D61,[3]US!$D$2:$D$15,0))),"")</f>
        <v>46135</v>
      </c>
      <c r="D61" s="7">
        <v>571607238</v>
      </c>
      <c r="E61" s="8" t="s">
        <v>180</v>
      </c>
      <c r="F61" s="9">
        <v>46098</v>
      </c>
      <c r="G61" s="8" t="s">
        <v>114</v>
      </c>
      <c r="H61" s="8" t="s">
        <v>114</v>
      </c>
      <c r="I61" s="8" t="s">
        <v>123</v>
      </c>
      <c r="J61" s="8" t="s">
        <v>135</v>
      </c>
      <c r="K61" s="6">
        <f>IFERROR(IF(INDEX([3]US!$K$2:$K$15,MATCH($D61,[3]US!$D$2:$D$15,0))="","",INDEX([3]US!$K$2:$K$15,MATCH($D61,[3]US!$D$2:$D$15,0))),"")</f>
        <v>46278</v>
      </c>
      <c r="L61" s="11">
        <f ca="1">IF($O61="","",$O61-TODAY())</f>
        <v>-116</v>
      </c>
      <c r="M61" s="11">
        <f ca="1">IF(AND(TRIM($A61)="Finalized",$K61&lt;&gt;""),"",IF($C61="","",$C61+180-TODAY()))</f>
        <v>11</v>
      </c>
      <c r="N61" s="11">
        <f ca="1">IF(AND(TRIM($A61)="Finalized",$K61&lt;&gt;""),"",IF($C61="","",$C61+365-TODAY()))</f>
        <v>196</v>
      </c>
      <c r="O61" s="9">
        <f>IF(AND(TRIM($A61)="Finalized",$K61&lt;&gt;""),"",DATE(2026,6,15))</f>
        <v>46188</v>
      </c>
      <c r="P61" s="8" t="s">
        <v>86</v>
      </c>
      <c r="Q61" s="8" t="s">
        <v>116</v>
      </c>
      <c r="R61" s="8" t="s">
        <v>117</v>
      </c>
      <c r="S61" s="8" t="s">
        <v>74</v>
      </c>
      <c r="T61" s="8" t="s">
        <v>73</v>
      </c>
      <c r="U61" s="8" t="s">
        <v>74</v>
      </c>
      <c r="V61" s="8" t="s">
        <v>256</v>
      </c>
      <c r="W61" s="8" t="s">
        <v>129</v>
      </c>
      <c r="X61" s="8"/>
      <c r="Y61" s="8"/>
      <c r="Z61" s="8"/>
      <c r="AA61" s="8" t="s">
        <v>77</v>
      </c>
      <c r="AB61" s="10">
        <v>1294.23</v>
      </c>
      <c r="AC61" s="10">
        <v>0</v>
      </c>
      <c r="AD61" s="10">
        <v>0</v>
      </c>
      <c r="AE61" s="9">
        <v>46135</v>
      </c>
      <c r="AF61" s="10">
        <v>1294.23</v>
      </c>
      <c r="AG61" s="7">
        <v>144</v>
      </c>
      <c r="AH61" s="8" t="s">
        <v>308</v>
      </c>
      <c r="AI61" s="8" t="s">
        <v>309</v>
      </c>
      <c r="AJ61" s="8"/>
      <c r="AK61" s="8"/>
      <c r="AL61" s="7"/>
      <c r="AM61" s="8" t="s">
        <v>157</v>
      </c>
      <c r="AN61" s="8" t="s">
        <v>158</v>
      </c>
      <c r="AO61" s="9">
        <v>46119</v>
      </c>
    </row>
    <row r="62" spans="1:41" x14ac:dyDescent="0.25">
      <c r="A62" s="5" t="str">
        <f>IFERROR(IF(INDEX([3]US!$A$2:$A$15,MATCH($D62,[3]US!$D$2:$D$15,0))="","",INDEX([3]US!$A$2:$A$15,MATCH($D62,[3]US!$D$2:$D$15,0))),"")</f>
        <v>Denied</v>
      </c>
      <c r="B62" s="5" t="str">
        <f>IFERROR(IF(INDEX([3]US!$B$2:$B$15,MATCH($D62,[3]US!$D$2:$D$15,0))="","",INDEX([3]US!$B$2:$B$15,MATCH($D62,[3]US!$D$2:$D$15,0))),"")</f>
        <v>Corrected cpt codes, added code 7, and resubmitted</v>
      </c>
      <c r="C62" s="6">
        <f>IFERROR(IF(INDEX([3]US!$C$2:$C$15,MATCH($D62,[3]US!$D$2:$D$15,0))="","",INDEX([3]US!$C$2:$C$15,MATCH($D62,[3]US!$D$2:$D$15,0))),"")</f>
        <v>46146</v>
      </c>
      <c r="D62" s="7">
        <v>571612561</v>
      </c>
      <c r="E62" s="8" t="s">
        <v>310</v>
      </c>
      <c r="F62" s="9">
        <v>46098</v>
      </c>
      <c r="G62" s="8" t="s">
        <v>212</v>
      </c>
      <c r="H62" s="8" t="s">
        <v>212</v>
      </c>
      <c r="I62" s="8" t="s">
        <v>69</v>
      </c>
      <c r="J62" s="8" t="s">
        <v>311</v>
      </c>
      <c r="K62" s="6">
        <f>IFERROR(IF(INDEX([3]US!$K$2:$K$15,MATCH($D62,[3]US!$D$2:$D$15,0))="","",INDEX([3]US!$K$2:$K$15,MATCH($D62,[3]US!$D$2:$D$15,0))),"")</f>
        <v>46278</v>
      </c>
      <c r="L62" s="11">
        <f ca="1">IF($O62="","",$O62-TODAY())</f>
        <v>-116</v>
      </c>
      <c r="M62" s="11">
        <f ca="1">IF(AND(TRIM($A62)="Finalized",$K62&lt;&gt;""),"",IF($C62="","",$C62+365-TODAY()))</f>
        <v>207</v>
      </c>
      <c r="N62" s="11">
        <f ca="1">IF(AND(TRIM($A62)="Finalized",$K62&lt;&gt;""),"",IF($C62="","",$C62+365-TODAY()))</f>
        <v>207</v>
      </c>
      <c r="O62" s="9">
        <f>IF(AND(TRIM($A62)="Finalized",$K62&lt;&gt;""),"",DATE(2026,6,15))</f>
        <v>46188</v>
      </c>
      <c r="P62" s="8" t="s">
        <v>86</v>
      </c>
      <c r="Q62" s="8" t="s">
        <v>214</v>
      </c>
      <c r="R62" s="8" t="s">
        <v>73</v>
      </c>
      <c r="S62" s="8" t="s">
        <v>74</v>
      </c>
      <c r="T62" s="8" t="s">
        <v>73</v>
      </c>
      <c r="U62" s="8" t="s">
        <v>74</v>
      </c>
      <c r="V62" s="8" t="s">
        <v>256</v>
      </c>
      <c r="W62" s="8" t="s">
        <v>129</v>
      </c>
      <c r="X62" s="8"/>
      <c r="Y62" s="8"/>
      <c r="Z62" s="8"/>
      <c r="AA62" s="8" t="s">
        <v>77</v>
      </c>
      <c r="AB62" s="10">
        <v>3822.49</v>
      </c>
      <c r="AC62" s="10">
        <v>0</v>
      </c>
      <c r="AD62" s="10">
        <v>0</v>
      </c>
      <c r="AE62" s="9">
        <v>46146</v>
      </c>
      <c r="AF62" s="10">
        <v>3822.49</v>
      </c>
      <c r="AG62" s="7">
        <v>144</v>
      </c>
      <c r="AH62" s="8" t="s">
        <v>139</v>
      </c>
      <c r="AI62" s="8" t="s">
        <v>138</v>
      </c>
      <c r="AJ62" s="8" t="s">
        <v>137</v>
      </c>
      <c r="AK62" s="8"/>
      <c r="AL62" s="7"/>
      <c r="AM62" s="8" t="s">
        <v>157</v>
      </c>
      <c r="AN62" s="8" t="s">
        <v>158</v>
      </c>
      <c r="AO62" s="9">
        <v>46106</v>
      </c>
    </row>
    <row r="63" spans="1:41" x14ac:dyDescent="0.25">
      <c r="A63" s="5" t="str">
        <f>IFERROR(IF(INDEX([3]BH!$A$2:$A$32,MATCH($D63,[3]BH!$D$2:$D$32,0))="","",INDEX([3]BH!$A$2:$A$32,MATCH($D63,[3]BH!$D$2:$D$32,0))),"")</f>
        <v>Denied</v>
      </c>
      <c r="B63" s="5" t="str">
        <f>IFERROR(IF(INDEX([3]BH!$B$2:$B$32,MATCH($D63,[3]BH!$D$2:$D$32,0))="","",INDEX([3]BH!$B$2:$B$32,MATCH($D63,[3]BH!$D$2:$D$32,0))),"")</f>
        <v>Added Date of Current Illness, claim note, and resubmitted</v>
      </c>
      <c r="C63" s="6">
        <f>IFERROR(IF(INDEX([3]BH!$C$2:$C$32,MATCH($D63,[3]BH!$D$2:$D$32,0))="","",INDEX([3]BH!$C$2:$C$32,MATCH($D63,[3]BH!$D$2:$D$32,0))),"")</f>
        <v>46167</v>
      </c>
      <c r="D63" s="7">
        <v>553148506</v>
      </c>
      <c r="E63" s="8" t="s">
        <v>312</v>
      </c>
      <c r="F63" s="9">
        <v>46099</v>
      </c>
      <c r="G63" s="8" t="s">
        <v>134</v>
      </c>
      <c r="H63" s="8" t="s">
        <v>134</v>
      </c>
      <c r="I63" s="8" t="s">
        <v>69</v>
      </c>
      <c r="J63" s="8" t="s">
        <v>220</v>
      </c>
      <c r="K63" s="6">
        <f>IFERROR(IF(INDEX([3]BH!$K$2:$K$32,MATCH($D63,[3]BH!$D$2:$D$32,0))="","",INDEX([3]BH!$K$2:$K$32,MATCH($D63,[3]BH!$D$2:$D$32,0))),"")</f>
        <v>46265</v>
      </c>
      <c r="L63" s="11">
        <f ca="1">IF($O63="","",$O63-TODAY())</f>
        <v>-115</v>
      </c>
      <c r="M63" s="11">
        <f ca="1">IF(AND(TRIM($A63)="Finalized",$K63&lt;&gt;""),"",IF($C63="","",$C63+365-TODAY()))</f>
        <v>228</v>
      </c>
      <c r="N63" s="11">
        <f ca="1">IF(AND(TRIM($A63)="Finalized",$K63&lt;&gt;""),"",IF($C63="","",$C63+365-TODAY()))</f>
        <v>228</v>
      </c>
      <c r="O63" s="9">
        <f>IF(AND(TRIM($A63)="Finalized",$K63&lt;&gt;""),"",DATE(2026,6,16))</f>
        <v>46189</v>
      </c>
      <c r="P63" s="8" t="s">
        <v>86</v>
      </c>
      <c r="Q63" s="8" t="s">
        <v>136</v>
      </c>
      <c r="R63" s="8" t="s">
        <v>73</v>
      </c>
      <c r="S63" s="8" t="s">
        <v>74</v>
      </c>
      <c r="T63" s="8" t="s">
        <v>73</v>
      </c>
      <c r="U63" s="8" t="s">
        <v>74</v>
      </c>
      <c r="V63" s="8" t="s">
        <v>256</v>
      </c>
      <c r="W63" s="8" t="s">
        <v>118</v>
      </c>
      <c r="X63" s="8"/>
      <c r="Y63" s="8"/>
      <c r="Z63" s="8"/>
      <c r="AA63" s="8" t="s">
        <v>77</v>
      </c>
      <c r="AB63" s="10">
        <v>1372.91</v>
      </c>
      <c r="AC63" s="10">
        <v>0</v>
      </c>
      <c r="AD63" s="10">
        <v>0</v>
      </c>
      <c r="AE63" s="9">
        <v>46167</v>
      </c>
      <c r="AF63" s="10">
        <v>1372.91</v>
      </c>
      <c r="AG63" s="7">
        <v>143</v>
      </c>
      <c r="AH63" s="8" t="s">
        <v>197</v>
      </c>
      <c r="AI63" s="8" t="s">
        <v>179</v>
      </c>
      <c r="AJ63" s="8"/>
      <c r="AK63" s="8"/>
      <c r="AL63" s="7"/>
      <c r="AM63" s="8" t="s">
        <v>131</v>
      </c>
      <c r="AN63" s="8" t="s">
        <v>158</v>
      </c>
      <c r="AO63" s="9">
        <v>46153</v>
      </c>
    </row>
    <row r="64" spans="1:41" x14ac:dyDescent="0.25">
      <c r="A64" s="5" t="str">
        <f>IFERROR(IF(INDEX([3]BH!$A$2:$A$32,MATCH($D64,[3]BH!$D$2:$D$32,0))="","",INDEX([3]BH!$A$2:$A$32,MATCH($D64,[3]BH!$D$2:$D$32,0))),"")</f>
        <v>Denied</v>
      </c>
      <c r="B64" s="5" t="str">
        <f>IFERROR(IF(INDEX([3]BH!$B$2:$B$32,MATCH($D64,[3]BH!$D$2:$D$32,0))="","",INDEX([3]BH!$B$2:$B$32,MATCH($D64,[3]BH!$D$2:$D$32,0))),"")</f>
        <v xml:space="preserve">Filed reconsideration with the 02/27/2026 order notes for BHE prior to SCS trial + March 2026 Monthly Review Summary - PIQ-90338069 - Jess uploaded MR </v>
      </c>
      <c r="C64" s="6">
        <f>IFERROR(IF(INDEX([3]BH!$C$2:$C$32,MATCH($D64,[3]BH!$D$2:$D$32,0))="","",INDEX([3]BH!$C$2:$C$32,MATCH($D64,[3]BH!$D$2:$D$32,0))),"")</f>
        <v>46161</v>
      </c>
      <c r="D64" s="7">
        <v>553133483</v>
      </c>
      <c r="E64" s="8" t="s">
        <v>313</v>
      </c>
      <c r="F64" s="9">
        <v>46099</v>
      </c>
      <c r="G64" s="8" t="s">
        <v>114</v>
      </c>
      <c r="H64" s="8" t="s">
        <v>114</v>
      </c>
      <c r="I64" s="8" t="s">
        <v>69</v>
      </c>
      <c r="J64" s="8" t="s">
        <v>195</v>
      </c>
      <c r="K64" s="6">
        <f>IFERROR(IF(INDEX([3]BH!$K$2:$K$32,MATCH($D64,[3]BH!$D$2:$D$32,0))="","",INDEX([3]BH!$K$2:$K$32,MATCH($D64,[3]BH!$D$2:$D$32,0))),"")</f>
        <v>46268</v>
      </c>
      <c r="L64" s="11">
        <f ca="1">IF($O64="","",$O64-TODAY())</f>
        <v>-115</v>
      </c>
      <c r="M64" s="11">
        <f ca="1">IF(AND(TRIM($A64)="Finalized",$K64&lt;&gt;""),"",IF($C64="","",$C64+180-TODAY()))</f>
        <v>37</v>
      </c>
      <c r="N64" s="11">
        <f ca="1">IF(AND(TRIM($A64)="Finalized",$K64&lt;&gt;""),"",IF($C64="","",$C64+365-TODAY()))</f>
        <v>222</v>
      </c>
      <c r="O64" s="9">
        <f>IF(AND(TRIM($A64)="Finalized",$K64&lt;&gt;""),"",DATE(2026,6,16))</f>
        <v>46189</v>
      </c>
      <c r="P64" s="8" t="s">
        <v>86</v>
      </c>
      <c r="Q64" s="8" t="s">
        <v>116</v>
      </c>
      <c r="R64" s="8" t="s">
        <v>117</v>
      </c>
      <c r="S64" s="8" t="s">
        <v>74</v>
      </c>
      <c r="T64" s="8" t="s">
        <v>73</v>
      </c>
      <c r="U64" s="8" t="s">
        <v>74</v>
      </c>
      <c r="V64" s="8" t="s">
        <v>256</v>
      </c>
      <c r="W64" s="8" t="s">
        <v>118</v>
      </c>
      <c r="X64" s="8"/>
      <c r="Y64" s="8"/>
      <c r="Z64" s="8"/>
      <c r="AA64" s="8" t="s">
        <v>77</v>
      </c>
      <c r="AB64" s="10">
        <v>1426.25</v>
      </c>
      <c r="AC64" s="10">
        <v>0</v>
      </c>
      <c r="AD64" s="10">
        <v>0</v>
      </c>
      <c r="AE64" s="9">
        <v>46161</v>
      </c>
      <c r="AF64" s="10">
        <v>1426.25</v>
      </c>
      <c r="AG64" s="7">
        <v>143</v>
      </c>
      <c r="AH64" s="8" t="s">
        <v>276</v>
      </c>
      <c r="AI64" s="8"/>
      <c r="AJ64" s="8"/>
      <c r="AK64" s="8"/>
      <c r="AL64" s="7"/>
      <c r="AM64" s="8" t="s">
        <v>146</v>
      </c>
      <c r="AN64" s="8" t="s">
        <v>158</v>
      </c>
      <c r="AO64" s="9">
        <v>46119</v>
      </c>
    </row>
    <row r="65" spans="1:41" x14ac:dyDescent="0.25">
      <c r="A65" s="5" t="str">
        <f>IFERROR(IF(INDEX([3]US!$A$2:$A$15,MATCH($D65,[3]US!$D$2:$D$15,0))="","",INDEX([3]US!$A$2:$A$15,MATCH($D65,[3]US!$D$2:$D$15,0))),"")</f>
        <v>Not found</v>
      </c>
      <c r="B65" s="5" t="str">
        <f>IFERROR(IF(INDEX([3]US!$B$2:$B$15,MATCH($D65,[3]US!$D$2:$D$15,0))="","",INDEX([3]US!$B$2:$B$15,MATCH($D65,[3]US!$D$2:$D$15,0))),"")</f>
        <v xml:space="preserve">secondary - Resubmitted to Tricare for life - claim sent to tricare west and cant be locate it on Availity </v>
      </c>
      <c r="C65" s="6">
        <f>IFERROR(IF(INDEX([3]US!$C$2:$C$15,MATCH($D65,[3]US!$D$2:$D$15,0))="","",INDEX([3]US!$C$2:$C$15,MATCH($D65,[3]US!$D$2:$D$15,0))),"")</f>
        <v>46114</v>
      </c>
      <c r="D65" s="7">
        <v>553857983</v>
      </c>
      <c r="E65" s="8" t="s">
        <v>314</v>
      </c>
      <c r="F65" s="9">
        <v>46099</v>
      </c>
      <c r="G65" s="8" t="s">
        <v>315</v>
      </c>
      <c r="H65" s="8" t="s">
        <v>261</v>
      </c>
      <c r="I65" s="8" t="s">
        <v>315</v>
      </c>
      <c r="J65" s="8" t="s">
        <v>128</v>
      </c>
      <c r="K65" s="6">
        <f>IFERROR(IF(INDEX([3]US!$K$2:$K$15,MATCH($D65,[3]US!$D$2:$D$15,0))="","",INDEX([3]US!$K$2:$K$15,MATCH($D65,[3]US!$D$2:$D$15,0))),"")</f>
        <v>46278</v>
      </c>
      <c r="L65" s="11">
        <f ca="1">IF($O65="","",$O65-TODAY())</f>
        <v>-115</v>
      </c>
      <c r="M65" s="11">
        <f ca="1">IF(AND(TRIM($A65)="Finalized",$K65&lt;&gt;""),"",IF($F65="","",$F65+90-TODAY()))</f>
        <v>-115</v>
      </c>
      <c r="N65" s="11">
        <f ca="1">IF(AND(TRIM($A65)="Finalized",$K65&lt;&gt;""),"",IF($C65="","",$C65+180-TODAY()))</f>
        <v>-10</v>
      </c>
      <c r="O65" s="9">
        <f>IF(AND(TRIM($A65)="Finalized",$K65&lt;&gt;""),"",DATE(2026,6,16))</f>
        <v>46189</v>
      </c>
      <c r="P65" s="8" t="s">
        <v>86</v>
      </c>
      <c r="Q65" s="8" t="s">
        <v>144</v>
      </c>
      <c r="R65" s="8" t="s">
        <v>86</v>
      </c>
      <c r="S65" s="8" t="s">
        <v>88</v>
      </c>
      <c r="T65" s="8" t="s">
        <v>117</v>
      </c>
      <c r="U65" s="8" t="s">
        <v>74</v>
      </c>
      <c r="V65" s="8" t="s">
        <v>256</v>
      </c>
      <c r="W65" s="8" t="s">
        <v>129</v>
      </c>
      <c r="X65" s="8"/>
      <c r="Y65" s="8"/>
      <c r="Z65" s="8"/>
      <c r="AA65" s="8" t="s">
        <v>77</v>
      </c>
      <c r="AB65" s="10">
        <v>1649.2</v>
      </c>
      <c r="AC65" s="10">
        <v>1420.82</v>
      </c>
      <c r="AD65" s="10">
        <v>160.93</v>
      </c>
      <c r="AE65" s="9">
        <v>46114</v>
      </c>
      <c r="AF65" s="10">
        <v>67.45</v>
      </c>
      <c r="AG65" s="7">
        <v>143</v>
      </c>
      <c r="AH65" s="8" t="s">
        <v>316</v>
      </c>
      <c r="AI65" s="8"/>
      <c r="AJ65" s="8"/>
      <c r="AK65" s="8"/>
      <c r="AL65" s="7">
        <v>571607938</v>
      </c>
      <c r="AM65" s="8" t="s">
        <v>165</v>
      </c>
      <c r="AN65" s="8" t="s">
        <v>95</v>
      </c>
      <c r="AO65" s="9">
        <v>46106</v>
      </c>
    </row>
    <row r="66" spans="1:41" x14ac:dyDescent="0.25">
      <c r="A66" s="5" t="str">
        <f>IFERROR(IF(INDEX([3]US!$A$2:$A$15,MATCH($D66,[3]US!$D$2:$D$15,0))="","",INDEX([3]US!$A$2:$A$15,MATCH($D66,[3]US!$D$2:$D$15,0))),"")</f>
        <v>Under Review</v>
      </c>
      <c r="B66" s="5" t="str">
        <f>IFERROR(IF(INDEX([3]US!$B$2:$B$15,MATCH($D66,[3]US!$D$2:$D$15,0))="","",INDEX([3]US!$B$2:$B$15,MATCH($D66,[3]US!$D$2:$D$15,0))),"")</f>
        <v xml:space="preserve">I need to ask Juan for MR </v>
      </c>
      <c r="C66" s="6">
        <f>IFERROR(IF(INDEX([3]US!$C$2:$C$15,MATCH($D66,[3]US!$D$2:$D$15,0))="","",INDEX([3]US!$C$2:$C$15,MATCH($D66,[3]US!$D$2:$D$15,0))),"")</f>
        <v>46220</v>
      </c>
      <c r="D66" s="7">
        <v>553063753</v>
      </c>
      <c r="E66" s="8" t="s">
        <v>317</v>
      </c>
      <c r="F66" s="9">
        <v>46099</v>
      </c>
      <c r="G66" s="8" t="s">
        <v>97</v>
      </c>
      <c r="H66" s="8" t="s">
        <v>97</v>
      </c>
      <c r="I66" s="8" t="s">
        <v>69</v>
      </c>
      <c r="J66" s="8" t="s">
        <v>311</v>
      </c>
      <c r="K66" s="6" t="str">
        <f>IFERROR(IF(INDEX([3]US!$K$2:$K$15,MATCH($D66,[3]US!$D$2:$D$15,0))="","",INDEX([3]US!$K$2:$K$15,MATCH($D66,[3]US!$D$2:$D$15,0))),"")</f>
        <v/>
      </c>
      <c r="L66" s="11">
        <f ca="1">IF($O66="","",$O66-TODAY())</f>
        <v>-115</v>
      </c>
      <c r="M66" s="11">
        <f ca="1">IF(AND(TRIM($A66)="Finalized",$K66&lt;&gt;""),"",IF($F66="","",$F66+90-TODAY()))</f>
        <v>-115</v>
      </c>
      <c r="N66" s="11">
        <f ca="1">IF(AND(TRIM($A66)="Finalized",$K66&lt;&gt;""),"",IF($C66="","",$C66+540-TODAY()))</f>
        <v>456</v>
      </c>
      <c r="O66" s="9">
        <f>IF(AND(TRIM($A66)="Finalized",$K66&lt;&gt;""),"",DATE(2026,6,16))</f>
        <v>46189</v>
      </c>
      <c r="P66" s="8" t="s">
        <v>86</v>
      </c>
      <c r="Q66" s="8" t="s">
        <v>99</v>
      </c>
      <c r="R66" s="8" t="s">
        <v>86</v>
      </c>
      <c r="S66" s="8" t="s">
        <v>88</v>
      </c>
      <c r="T66" s="8" t="s">
        <v>100</v>
      </c>
      <c r="U66" s="8" t="s">
        <v>74</v>
      </c>
      <c r="V66" s="8" t="s">
        <v>256</v>
      </c>
      <c r="W66" s="8" t="s">
        <v>129</v>
      </c>
      <c r="X66" s="8"/>
      <c r="Y66" s="8"/>
      <c r="Z66" s="8"/>
      <c r="AA66" s="8" t="s">
        <v>77</v>
      </c>
      <c r="AB66" s="10">
        <v>3822.49</v>
      </c>
      <c r="AC66" s="10">
        <v>0</v>
      </c>
      <c r="AD66" s="10">
        <v>0</v>
      </c>
      <c r="AE66" s="9">
        <v>46220</v>
      </c>
      <c r="AF66" s="10">
        <v>3822.49</v>
      </c>
      <c r="AG66" s="7">
        <v>143</v>
      </c>
      <c r="AH66" s="8" t="s">
        <v>318</v>
      </c>
      <c r="AI66" s="8" t="s">
        <v>319</v>
      </c>
      <c r="AJ66" s="8" t="s">
        <v>320</v>
      </c>
      <c r="AK66" s="8" t="s">
        <v>175</v>
      </c>
      <c r="AL66" s="7"/>
      <c r="AM66" s="8" t="s">
        <v>321</v>
      </c>
      <c r="AN66" s="8" t="s">
        <v>132</v>
      </c>
      <c r="AO66" s="9">
        <v>46125</v>
      </c>
    </row>
    <row r="67" spans="1:41" x14ac:dyDescent="0.25">
      <c r="A67" s="5" t="str">
        <f>IFERROR(IF(INDEX([3]BH!$A$2:$A$32,MATCH($D67,[3]BH!$D$2:$D$32,0))="","",INDEX([3]BH!$A$2:$A$32,MATCH($D67,[3]BH!$D$2:$D$32,0))),"")</f>
        <v>PAID</v>
      </c>
      <c r="B67" s="5" t="str">
        <f>IFERROR(IF(INDEX([3]BH!$B$2:$B$32,MATCH($D67,[3]BH!$D$2:$D$32,0))="","",INDEX([3]BH!$B$2:$B$32,MATCH($D67,[3]BH!$D$2:$D$32,0))),"")</f>
        <v>Duplicate payment - checks VP3502669763 and 5533489. VP3502669763 not found in NGO or Optum. Posting team notified to review - possible OP</v>
      </c>
      <c r="C67" s="6">
        <f>IFERROR(IF(INDEX([3]BH!$C$2:$C$32,MATCH($D67,[3]BH!$D$2:$D$32,0))="","",INDEX([3]BH!$C$2:$C$32,MATCH($D67,[3]BH!$D$2:$D$32,0))),"")</f>
        <v>46185</v>
      </c>
      <c r="D67" s="7">
        <v>553362911</v>
      </c>
      <c r="E67" s="8" t="s">
        <v>322</v>
      </c>
      <c r="F67" s="9">
        <v>46101</v>
      </c>
      <c r="G67" s="8" t="s">
        <v>134</v>
      </c>
      <c r="H67" s="8" t="s">
        <v>134</v>
      </c>
      <c r="I67" s="8" t="s">
        <v>69</v>
      </c>
      <c r="J67" s="8" t="s">
        <v>195</v>
      </c>
      <c r="K67" s="6">
        <f>IFERROR(IF(INDEX([3]BH!$K$2:$K$32,MATCH($D67,[3]BH!$D$2:$D$32,0))="","",INDEX([3]BH!$K$2:$K$32,MATCH($D67,[3]BH!$D$2:$D$32,0))),"")</f>
        <v>46266</v>
      </c>
      <c r="L67" s="11">
        <f ca="1">IF($O67="","",$O67-TODAY())</f>
        <v>-113</v>
      </c>
      <c r="M67" s="11">
        <f ca="1">IF(AND(TRIM($A67)="Finalized",$K67&lt;&gt;""),"",IF($C67="","",$C67+365-TODAY()))</f>
        <v>246</v>
      </c>
      <c r="N67" s="11">
        <f ca="1">IF(AND(TRIM($A67)="Finalized",$K67&lt;&gt;""),"",IF($C67="","",$C67+365-TODAY()))</f>
        <v>246</v>
      </c>
      <c r="O67" s="9">
        <f>IF(AND(TRIM($A67)="Finalized",$K67&lt;&gt;""),"",DATE(2026,6,18))</f>
        <v>46191</v>
      </c>
      <c r="P67" s="8" t="s">
        <v>86</v>
      </c>
      <c r="Q67" s="8" t="s">
        <v>136</v>
      </c>
      <c r="R67" s="8" t="s">
        <v>73</v>
      </c>
      <c r="S67" s="8" t="s">
        <v>74</v>
      </c>
      <c r="T67" s="8" t="s">
        <v>73</v>
      </c>
      <c r="U67" s="8" t="s">
        <v>74</v>
      </c>
      <c r="V67" s="8" t="s">
        <v>256</v>
      </c>
      <c r="W67" s="8" t="s">
        <v>118</v>
      </c>
      <c r="X67" s="8"/>
      <c r="Y67" s="8"/>
      <c r="Z67" s="8"/>
      <c r="AA67" s="8" t="s">
        <v>77</v>
      </c>
      <c r="AB67" s="10">
        <v>1426.25</v>
      </c>
      <c r="AC67" s="10">
        <v>1245.54</v>
      </c>
      <c r="AD67" s="10">
        <v>361.42</v>
      </c>
      <c r="AE67" s="9">
        <v>46185</v>
      </c>
      <c r="AF67" s="10">
        <v>-180.71</v>
      </c>
      <c r="AG67" s="7">
        <v>141</v>
      </c>
      <c r="AH67" s="8" t="s">
        <v>119</v>
      </c>
      <c r="AI67" s="8"/>
      <c r="AJ67" s="8"/>
      <c r="AK67" s="8"/>
      <c r="AL67" s="7"/>
      <c r="AM67" s="8" t="s">
        <v>120</v>
      </c>
      <c r="AN67" s="8" t="s">
        <v>132</v>
      </c>
      <c r="AO67" s="9">
        <v>46119</v>
      </c>
    </row>
    <row r="68" spans="1:41" x14ac:dyDescent="0.25">
      <c r="A68" s="5" t="str">
        <f>IFERROR(IF(INDEX([3]BH!$A$2:$A$32,MATCH($D68,[3]BH!$D$2:$D$32,0))="","",INDEX([3]BH!$A$2:$A$32,MATCH($D68,[3]BH!$D$2:$D$32,0))),"")</f>
        <v>Under Review</v>
      </c>
      <c r="B68" s="5" t="str">
        <f>IFERROR(IF(INDEX([3]BH!$B$2:$B$32,MATCH($D68,[3]BH!$D$2:$D$32,0))="","",INDEX([3]BH!$B$2:$B$32,MATCH($D68,[3]BH!$D$2:$D$32,0))),"")</f>
        <v>Sent email to AZ Blue for insights - active coverage on DOS - DND Expenses incurred after coverage terminated</v>
      </c>
      <c r="C68" s="6">
        <f>IFERROR(IF(INDEX([3]BH!$C$2:$C$32,MATCH($D68,[3]BH!$D$2:$D$32,0))="","",INDEX([3]BH!$C$2:$C$32,MATCH($D68,[3]BH!$D$2:$D$32,0))),"")</f>
        <v>46124</v>
      </c>
      <c r="D68" s="7">
        <v>553498942</v>
      </c>
      <c r="E68" s="8" t="s">
        <v>323</v>
      </c>
      <c r="F68" s="9">
        <v>46101</v>
      </c>
      <c r="G68" s="8" t="s">
        <v>123</v>
      </c>
      <c r="H68" s="8" t="s">
        <v>123</v>
      </c>
      <c r="I68" s="8" t="s">
        <v>69</v>
      </c>
      <c r="J68" s="8" t="s">
        <v>124</v>
      </c>
      <c r="K68" s="6">
        <f>IFERROR(IF(INDEX([3]BH!$K$2:$K$32,MATCH($D68,[3]BH!$D$2:$D$32,0))="","",INDEX([3]BH!$K$2:$K$32,MATCH($D68,[3]BH!$D$2:$D$32,0))),"")</f>
        <v>46268</v>
      </c>
      <c r="L68" s="11">
        <f ca="1">IF($O68="","",$O68-TODAY())</f>
        <v>-113</v>
      </c>
      <c r="M68" s="11">
        <f ca="1">IF(AND(TRIM($A68)="Finalized",$K68&lt;&gt;""),"",IF($F68="","",$F68+90-TODAY()))</f>
        <v>-113</v>
      </c>
      <c r="N68" s="11">
        <f ca="1">IF(AND(TRIM($A68)="Finalized",$K68&lt;&gt;""),"",IF($C68="","",$C68+365-TODAY()))</f>
        <v>185</v>
      </c>
      <c r="O68" s="9">
        <f>IF(AND(TRIM($A68)="Finalized",$K68&lt;&gt;""),"",DATE(2026,6,18))</f>
        <v>46191</v>
      </c>
      <c r="P68" s="8" t="s">
        <v>86</v>
      </c>
      <c r="Q68" s="8" t="s">
        <v>125</v>
      </c>
      <c r="R68" s="8" t="s">
        <v>86</v>
      </c>
      <c r="S68" s="8" t="s">
        <v>88</v>
      </c>
      <c r="T68" s="8" t="s">
        <v>73</v>
      </c>
      <c r="U68" s="8" t="s">
        <v>74</v>
      </c>
      <c r="V68" s="8" t="s">
        <v>256</v>
      </c>
      <c r="W68" s="8" t="s">
        <v>118</v>
      </c>
      <c r="X68" s="8"/>
      <c r="Y68" s="8"/>
      <c r="Z68" s="8"/>
      <c r="AA68" s="8" t="s">
        <v>77</v>
      </c>
      <c r="AB68" s="10">
        <v>1426.25</v>
      </c>
      <c r="AC68" s="10">
        <v>0</v>
      </c>
      <c r="AD68" s="10">
        <v>0</v>
      </c>
      <c r="AE68" s="9">
        <v>46124</v>
      </c>
      <c r="AF68" s="10">
        <v>1426.25</v>
      </c>
      <c r="AG68" s="7">
        <v>141</v>
      </c>
      <c r="AH68" s="8" t="s">
        <v>119</v>
      </c>
      <c r="AI68" s="8"/>
      <c r="AJ68" s="8"/>
      <c r="AK68" s="8"/>
      <c r="AL68" s="7"/>
      <c r="AM68" s="8" t="s">
        <v>278</v>
      </c>
      <c r="AN68" s="8" t="s">
        <v>132</v>
      </c>
      <c r="AO68" s="9">
        <v>46119</v>
      </c>
    </row>
    <row r="69" spans="1:41" x14ac:dyDescent="0.25">
      <c r="A69" s="5" t="str">
        <f>IFERROR(IF(INDEX([3]US!$A$2:$A$15,MATCH($D69,[3]US!$D$2:$D$15,0))="","",INDEX([3]US!$A$2:$A$15,MATCH($D69,[3]US!$D$2:$D$15,0))),"")</f>
        <v>Denied</v>
      </c>
      <c r="B69" s="5" t="str">
        <f>IFERROR(IF(INDEX([3]US!$B$2:$B$15,MATCH($D69,[3]US!$D$2:$D$15,0))="","",INDEX([3]US!$B$2:$B$15,MATCH($D69,[3]US!$D$2:$D$15,0))),"")</f>
        <v>Resubmitted to the same payer - Active coverage on DOS - DND Expenses incurred after coverage terminated</v>
      </c>
      <c r="C69" s="6">
        <f>IFERROR(IF(INDEX([3]US!$C$2:$C$15,MATCH($D69,[3]US!$D$2:$D$15,0))="","",INDEX([3]US!$C$2:$C$15,MATCH($D69,[3]US!$D$2:$D$15,0))),"")</f>
        <v>46126</v>
      </c>
      <c r="D69" s="7">
        <v>571608266</v>
      </c>
      <c r="E69" s="8" t="s">
        <v>328</v>
      </c>
      <c r="F69" s="9">
        <v>46105</v>
      </c>
      <c r="G69" s="8" t="s">
        <v>134</v>
      </c>
      <c r="H69" s="8" t="s">
        <v>134</v>
      </c>
      <c r="I69" s="8" t="s">
        <v>69</v>
      </c>
      <c r="J69" s="8" t="s">
        <v>135</v>
      </c>
      <c r="K69" s="6">
        <f>IFERROR(IF(INDEX([3]US!$K$2:$K$15,MATCH($D69,[3]US!$D$2:$D$15,0))="","",INDEX([3]US!$K$2:$K$15,MATCH($D69,[3]US!$D$2:$D$15,0))),"")</f>
        <v>46278</v>
      </c>
      <c r="L69" s="11">
        <f ca="1">IF($O69="","",$O69-TODAY())</f>
        <v>-109</v>
      </c>
      <c r="M69" s="11">
        <f ca="1">IF(AND(TRIM($A69)="Finalized",$K69&lt;&gt;""),"",IF($C69="","",$C69+365-TODAY()))</f>
        <v>187</v>
      </c>
      <c r="N69" s="11">
        <f ca="1">IF(AND(TRIM($A69)="Finalized",$K69&lt;&gt;""),"",IF($C69="","",$C69+365-TODAY()))</f>
        <v>187</v>
      </c>
      <c r="O69" s="9">
        <f>IF(AND(TRIM($A69)="Finalized",$K69&lt;&gt;""),"",DATE(2026,6,22))</f>
        <v>46195</v>
      </c>
      <c r="P69" s="8" t="s">
        <v>86</v>
      </c>
      <c r="Q69" s="8" t="s">
        <v>136</v>
      </c>
      <c r="R69" s="8" t="s">
        <v>73</v>
      </c>
      <c r="S69" s="8" t="s">
        <v>74</v>
      </c>
      <c r="T69" s="8" t="s">
        <v>73</v>
      </c>
      <c r="U69" s="8" t="s">
        <v>74</v>
      </c>
      <c r="V69" s="8" t="s">
        <v>256</v>
      </c>
      <c r="W69" s="8" t="s">
        <v>129</v>
      </c>
      <c r="X69" s="8"/>
      <c r="Y69" s="8"/>
      <c r="Z69" s="8"/>
      <c r="AA69" s="8" t="s">
        <v>77</v>
      </c>
      <c r="AB69" s="10">
        <v>1294.23</v>
      </c>
      <c r="AC69" s="10">
        <v>0</v>
      </c>
      <c r="AD69" s="10">
        <v>0</v>
      </c>
      <c r="AE69" s="9">
        <v>46126</v>
      </c>
      <c r="AF69" s="10">
        <v>1294.23</v>
      </c>
      <c r="AG69" s="7">
        <v>137</v>
      </c>
      <c r="AH69" s="8" t="s">
        <v>329</v>
      </c>
      <c r="AI69" s="8" t="s">
        <v>92</v>
      </c>
      <c r="AJ69" s="8" t="s">
        <v>330</v>
      </c>
      <c r="AK69" s="8"/>
      <c r="AL69" s="7"/>
      <c r="AM69" s="8" t="s">
        <v>157</v>
      </c>
      <c r="AN69" s="8" t="s">
        <v>158</v>
      </c>
      <c r="AO69" s="9">
        <v>46121</v>
      </c>
    </row>
    <row r="70" spans="1:41" x14ac:dyDescent="0.25">
      <c r="A70" s="5" t="str">
        <f>IFERROR(IF(INDEX([3]DME!$A$2:$A$11,MATCH($D70,[3]DME!$D$2:$D$11,0))="","",INDEX([3]DME!$A$2:$A$11,MATCH($D70,[3]DME!$D$2:$D$11,0))),"")</f>
        <v>Denied</v>
      </c>
      <c r="B70" s="5" t="str">
        <f>IFERROR(IF(INDEX([3]DME!$B$2:$B$11,MATCH($D70,[3]DME!$D$2:$D$11,0))="","",INDEX([3]DME!$B$2:$B$11,MATCH($D70,[3]DME!$D$2:$D$11,0))),"")</f>
        <v>Uploaded MR - PIQ-92059096</v>
      </c>
      <c r="C70" s="6">
        <f>IFERROR(IF(INDEX([3]DME!$C$2:$C$11,MATCH($D70,[3]DME!$D$2:$D$11,0))="","",INDEX([3]DME!$C$2:$C$11,MATCH($D70,[3]DME!$D$2:$D$11,0))),"")</f>
        <v>46216</v>
      </c>
      <c r="D70" s="7">
        <v>554940052</v>
      </c>
      <c r="E70" s="8" t="s">
        <v>334</v>
      </c>
      <c r="F70" s="9">
        <v>46107</v>
      </c>
      <c r="G70" s="8" t="s">
        <v>335</v>
      </c>
      <c r="H70" s="8" t="s">
        <v>114</v>
      </c>
      <c r="I70" s="8" t="s">
        <v>335</v>
      </c>
      <c r="J70" s="8" t="s">
        <v>289</v>
      </c>
      <c r="K70" s="6">
        <f>IFERROR(IF(INDEX([3]DME!$K$2:$K$11,MATCH($D70,[3]DME!$D$2:$D$11,0))="","",INDEX([3]DME!$K$2:$K$11,MATCH($D70,[3]DME!$D$2:$D$11,0))),"")</f>
        <v>46300</v>
      </c>
      <c r="L70" s="11">
        <f ca="1">IF($O70="","",$O70-TODAY())</f>
        <v>-107</v>
      </c>
      <c r="M70" s="11">
        <f ca="1">IF(AND(TRIM($A70)="Finalized",$K70&lt;&gt;""),"",IF($C70="","",$C70+180-TODAY()))</f>
        <v>92</v>
      </c>
      <c r="N70" s="11">
        <f ca="1">IF(AND(TRIM($A70)="Finalized",$K70&lt;&gt;""),"",IF($C70="","",$C70+365-TODAY()))</f>
        <v>277</v>
      </c>
      <c r="O70" s="9">
        <f>IF(AND(TRIM($A70)="Finalized",$K70&lt;&gt;""),"",DATE(2026,6,24))</f>
        <v>46197</v>
      </c>
      <c r="P70" s="8" t="s">
        <v>86</v>
      </c>
      <c r="Q70" s="8" t="s">
        <v>116</v>
      </c>
      <c r="R70" s="8" t="s">
        <v>117</v>
      </c>
      <c r="S70" s="8" t="s">
        <v>74</v>
      </c>
      <c r="T70" s="8" t="s">
        <v>73</v>
      </c>
      <c r="U70" s="8" t="s">
        <v>74</v>
      </c>
      <c r="V70" s="8" t="s">
        <v>256</v>
      </c>
      <c r="W70" s="8" t="s">
        <v>89</v>
      </c>
      <c r="X70" s="8" t="s">
        <v>290</v>
      </c>
      <c r="Y70" s="8"/>
      <c r="Z70" s="8"/>
      <c r="AA70" s="8" t="s">
        <v>77</v>
      </c>
      <c r="AB70" s="10">
        <v>6392.96</v>
      </c>
      <c r="AC70" s="10">
        <v>5793.21</v>
      </c>
      <c r="AD70" s="10">
        <v>0</v>
      </c>
      <c r="AE70" s="9">
        <v>46216</v>
      </c>
      <c r="AF70" s="10">
        <v>599.75</v>
      </c>
      <c r="AG70" s="7">
        <v>135</v>
      </c>
      <c r="AH70" s="8" t="s">
        <v>79</v>
      </c>
      <c r="AI70" s="8" t="s">
        <v>291</v>
      </c>
      <c r="AJ70" s="8" t="s">
        <v>336</v>
      </c>
      <c r="AK70" s="8"/>
      <c r="AL70" s="7">
        <v>561872992</v>
      </c>
      <c r="AM70" s="8" t="s">
        <v>321</v>
      </c>
      <c r="AN70" s="8" t="s">
        <v>132</v>
      </c>
      <c r="AO70" s="9">
        <v>46118</v>
      </c>
    </row>
    <row r="71" spans="1:41" x14ac:dyDescent="0.25">
      <c r="A71" s="5" t="str">
        <f>IFERROR(IF(INDEX([3]BH!$A$2:$A$32,MATCH($D71,[3]BH!$D$2:$D$32,0))="","",INDEX([3]BH!$A$2:$A$32,MATCH($D71,[3]BH!$D$2:$D$32,0))),"")</f>
        <v>Denied</v>
      </c>
      <c r="B71" s="5" t="str">
        <f>IFERROR(IF(INDEX([3]BH!$B$2:$B$32,MATCH($D71,[3]BH!$D$2:$D$32,0))="","",INDEX([3]BH!$B$2:$B$32,MATCH($D71,[3]BH!$D$2:$D$32,0))),"")</f>
        <v>Bundling with Claim ID 26F500108500 Line ID 1 on date of service 03/24/2026 CPT 64640</v>
      </c>
      <c r="C71" s="6">
        <f>IFERROR(IF(INDEX([3]BH!$C$2:$C$32,MATCH($D71,[3]BH!$D$2:$D$32,0))="","",INDEX([3]BH!$C$2:$C$32,MATCH($D71,[3]BH!$D$2:$D$32,0))),"")</f>
        <v>46197</v>
      </c>
      <c r="D71" s="7">
        <v>563362114</v>
      </c>
      <c r="E71" s="8" t="s">
        <v>337</v>
      </c>
      <c r="F71" s="9">
        <v>46108</v>
      </c>
      <c r="G71" s="8" t="s">
        <v>148</v>
      </c>
      <c r="H71" s="8" t="s">
        <v>148</v>
      </c>
      <c r="I71" s="8" t="s">
        <v>69</v>
      </c>
      <c r="J71" s="8" t="s">
        <v>338</v>
      </c>
      <c r="K71" s="6">
        <f>IFERROR(IF(INDEX([3]BH!$K$2:$K$32,MATCH($D71,[3]BH!$D$2:$D$32,0))="","",INDEX([3]BH!$K$2:$K$32,MATCH($D71,[3]BH!$D$2:$D$32,0))),"")</f>
        <v>46148</v>
      </c>
      <c r="L71" s="11">
        <f ca="1">IF($O71="","",$O71-TODAY())</f>
        <v>-106</v>
      </c>
      <c r="M71" s="11">
        <f ca="1">IF(AND(TRIM($A71)="Finalized",$K71&lt;&gt;""),"",IF($C71="","",$C71+180-TODAY()))</f>
        <v>73</v>
      </c>
      <c r="N71" s="11">
        <f ca="1">IF(AND(TRIM($A71)="Finalized",$K71&lt;&gt;""),"",IF($C71="","",$C71+365-TODAY()))</f>
        <v>258</v>
      </c>
      <c r="O71" s="9">
        <f>IF(AND(TRIM($A71)="Finalized",$K71&lt;&gt;""),"",DATE(2026,6,25))</f>
        <v>46198</v>
      </c>
      <c r="P71" s="8" t="s">
        <v>86</v>
      </c>
      <c r="Q71" s="8" t="s">
        <v>152</v>
      </c>
      <c r="R71" s="8" t="s">
        <v>117</v>
      </c>
      <c r="S71" s="8" t="s">
        <v>74</v>
      </c>
      <c r="T71" s="8" t="s">
        <v>73</v>
      </c>
      <c r="U71" s="8" t="s">
        <v>74</v>
      </c>
      <c r="V71" s="8" t="s">
        <v>256</v>
      </c>
      <c r="W71" s="8" t="s">
        <v>118</v>
      </c>
      <c r="X71" s="8" t="s">
        <v>301</v>
      </c>
      <c r="Y71" s="8"/>
      <c r="Z71" s="8"/>
      <c r="AA71" s="8" t="s">
        <v>77</v>
      </c>
      <c r="AB71" s="10">
        <v>1426.25</v>
      </c>
      <c r="AC71" s="10">
        <v>0</v>
      </c>
      <c r="AD71" s="10">
        <v>0</v>
      </c>
      <c r="AE71" s="9">
        <v>46197</v>
      </c>
      <c r="AF71" s="10">
        <v>1426.25</v>
      </c>
      <c r="AG71" s="7">
        <v>134</v>
      </c>
      <c r="AH71" s="8" t="s">
        <v>161</v>
      </c>
      <c r="AI71" s="8"/>
      <c r="AJ71" s="8"/>
      <c r="AK71" s="8"/>
      <c r="AL71" s="7"/>
      <c r="AM71" s="8" t="s">
        <v>157</v>
      </c>
      <c r="AN71" s="8" t="s">
        <v>158</v>
      </c>
      <c r="AO71" s="9">
        <v>46119</v>
      </c>
    </row>
    <row r="72" spans="1:41" x14ac:dyDescent="0.25">
      <c r="A72" s="5" t="str">
        <f>IFERROR(IF(INDEX([3]BH!$A$2:$A$32,MATCH($D72,[3]BH!$D$2:$D$32,0))="","",INDEX([3]BH!$A$2:$A$32,MATCH($D72,[3]BH!$D$2:$D$32,0))),"")</f>
        <v>Denied</v>
      </c>
      <c r="B72" s="5" t="str">
        <f>IFERROR(IF(INDEX([3]BH!$B$2:$B$32,MATCH($D72,[3]BH!$D$2:$D$32,0))="","",INDEX([3]BH!$B$2:$B$32,MATCH($D72,[3]BH!$D$2:$D$32,0))),"")</f>
        <v>Reprocess when claim 570543000 is paid</v>
      </c>
      <c r="C72" s="6">
        <f>IFERROR(IF(INDEX([3]BH!$C$2:$C$32,MATCH($D72,[3]BH!$D$2:$D$32,0))="","",INDEX([3]BH!$C$2:$C$32,MATCH($D72,[3]BH!$D$2:$D$32,0))),"")</f>
        <v>46141</v>
      </c>
      <c r="D72" s="7">
        <v>554088972</v>
      </c>
      <c r="E72" s="8" t="s">
        <v>247</v>
      </c>
      <c r="F72" s="9">
        <v>46108</v>
      </c>
      <c r="G72" s="8" t="s">
        <v>134</v>
      </c>
      <c r="H72" s="8" t="s">
        <v>134</v>
      </c>
      <c r="I72" s="8" t="s">
        <v>69</v>
      </c>
      <c r="J72" s="8" t="s">
        <v>203</v>
      </c>
      <c r="K72" s="6">
        <f>IFERROR(IF(INDEX([3]BH!$K$2:$K$32,MATCH($D72,[3]BH!$D$2:$D$32,0))="","",INDEX([3]BH!$K$2:$K$32,MATCH($D72,[3]BH!$D$2:$D$32,0))),"")</f>
        <v>46266</v>
      </c>
      <c r="L72" s="11">
        <f ca="1">IF($O72="","",$O72-TODAY())</f>
        <v>-106</v>
      </c>
      <c r="M72" s="11">
        <f ca="1">IF(AND(TRIM($A72)="Finalized",$K72&lt;&gt;""),"",IF($C72="","",$C72+365-TODAY()))</f>
        <v>202</v>
      </c>
      <c r="N72" s="11">
        <f ca="1">IF(AND(TRIM($A72)="Finalized",$K72&lt;&gt;""),"",IF($C72="","",$C72+365-TODAY()))</f>
        <v>202</v>
      </c>
      <c r="O72" s="9">
        <f>IF(AND(TRIM($A72)="Finalized",$K72&lt;&gt;""),"",DATE(2026,6,25))</f>
        <v>46198</v>
      </c>
      <c r="P72" s="8" t="s">
        <v>86</v>
      </c>
      <c r="Q72" s="8" t="s">
        <v>136</v>
      </c>
      <c r="R72" s="8" t="s">
        <v>73</v>
      </c>
      <c r="S72" s="8" t="s">
        <v>74</v>
      </c>
      <c r="T72" s="8" t="s">
        <v>73</v>
      </c>
      <c r="U72" s="8" t="s">
        <v>74</v>
      </c>
      <c r="V72" s="8" t="s">
        <v>256</v>
      </c>
      <c r="W72" s="8" t="s">
        <v>118</v>
      </c>
      <c r="X72" s="8"/>
      <c r="Y72" s="8"/>
      <c r="Z72" s="8"/>
      <c r="AA72" s="8" t="s">
        <v>77</v>
      </c>
      <c r="AB72" s="10">
        <v>1372.91</v>
      </c>
      <c r="AC72" s="10">
        <v>0</v>
      </c>
      <c r="AD72" s="10">
        <v>0</v>
      </c>
      <c r="AE72" s="9">
        <v>46141</v>
      </c>
      <c r="AF72" s="10">
        <v>1372.91</v>
      </c>
      <c r="AG72" s="7">
        <v>134</v>
      </c>
      <c r="AH72" s="8" t="s">
        <v>161</v>
      </c>
      <c r="AI72" s="8"/>
      <c r="AJ72" s="8"/>
      <c r="AK72" s="8"/>
      <c r="AL72" s="7"/>
      <c r="AM72" s="8" t="s">
        <v>157</v>
      </c>
      <c r="AN72" s="8" t="s">
        <v>158</v>
      </c>
      <c r="AO72" s="9">
        <v>46119</v>
      </c>
    </row>
    <row r="73" spans="1:41" x14ac:dyDescent="0.25">
      <c r="A73" s="5" t="str">
        <f>IFERROR(IF(INDEX([4]BH!$A$2:$A$12,MATCH($D73,[4]BH!$D$2:$D$12,0))="","",INDEX([4]BH!$A$2:$A$12,MATCH($D73,[4]BH!$D$2:$D$12,0))),"")</f>
        <v>Denied</v>
      </c>
      <c r="B73" s="5" t="str">
        <f>IFERROR(IF(INDEX([4]BH!$B$2:$B$12,MATCH($D73,[4]BH!$D$2:$D$12,0))="","",INDEX([4]BH!$B$2:$B$12,MATCH($D73,[4]BH!$D$2:$D$12,0))),"")</f>
        <v>Jess resubmitted claim</v>
      </c>
      <c r="C73" s="6">
        <f>IFERROR(IF(INDEX([4]BH!$C$2:$C$12,MATCH($D73,[4]BH!$D$2:$D$12,0))="","",INDEX([4]BH!$C$2:$C$12,MATCH($D73,[4]BH!$D$2:$D$12,0))),"")</f>
        <v>46162</v>
      </c>
      <c r="D73" s="7">
        <v>566720408</v>
      </c>
      <c r="E73" s="8" t="s">
        <v>170</v>
      </c>
      <c r="F73" s="9">
        <v>46113</v>
      </c>
      <c r="G73" s="8" t="s">
        <v>123</v>
      </c>
      <c r="H73" s="8" t="s">
        <v>123</v>
      </c>
      <c r="I73" s="8" t="s">
        <v>171</v>
      </c>
      <c r="J73" s="8" t="s">
        <v>203</v>
      </c>
      <c r="K73" s="6">
        <f>IFERROR(IF(INDEX([4]BH!$K$2:$K$12,MATCH($D73,[4]BH!$D$2:$D$12,0))="","",INDEX([4]BH!$K$2:$K$12,MATCH($D73,[4]BH!$D$2:$D$12,0))),"")</f>
        <v>46231</v>
      </c>
      <c r="L73" s="11">
        <f ca="1">IF($O73="","",$O73-TODAY())</f>
        <v>-101</v>
      </c>
      <c r="M73" s="11">
        <f ca="1">IF(AND(TRIM($A73)="Finalized",$K73&lt;&gt;""),"",IF($F73="","",$F73+90-TODAY()))</f>
        <v>-101</v>
      </c>
      <c r="N73" s="11">
        <f ca="1">IF(AND(TRIM($A73)="Finalized",$K73&lt;&gt;""),"",IF($C73="","",$C73+365-TODAY()))</f>
        <v>223</v>
      </c>
      <c r="O73" s="9">
        <f>IF(AND(TRIM($A73)="Finalized",$K73&lt;&gt;""),"",DATE(2026,6,30))</f>
        <v>46203</v>
      </c>
      <c r="P73" s="8" t="s">
        <v>86</v>
      </c>
      <c r="Q73" s="8" t="s">
        <v>125</v>
      </c>
      <c r="R73" s="8" t="s">
        <v>86</v>
      </c>
      <c r="S73" s="8" t="s">
        <v>88</v>
      </c>
      <c r="T73" s="8" t="s">
        <v>73</v>
      </c>
      <c r="U73" s="8" t="s">
        <v>74</v>
      </c>
      <c r="V73" s="8" t="s">
        <v>339</v>
      </c>
      <c r="W73" s="8" t="s">
        <v>118</v>
      </c>
      <c r="X73" s="8"/>
      <c r="Y73" s="8"/>
      <c r="Z73" s="8"/>
      <c r="AA73" s="8" t="s">
        <v>77</v>
      </c>
      <c r="AB73" s="10">
        <v>1372.91</v>
      </c>
      <c r="AC73" s="10">
        <v>0</v>
      </c>
      <c r="AD73" s="10">
        <v>0</v>
      </c>
      <c r="AE73" s="9">
        <v>46162</v>
      </c>
      <c r="AF73" s="10">
        <v>1372.91</v>
      </c>
      <c r="AG73" s="7">
        <v>129</v>
      </c>
      <c r="AH73" s="8" t="s">
        <v>172</v>
      </c>
      <c r="AI73" s="8"/>
      <c r="AJ73" s="8"/>
      <c r="AK73" s="8"/>
      <c r="AL73" s="7"/>
      <c r="AM73" s="8" t="s">
        <v>267</v>
      </c>
      <c r="AN73" s="8" t="s">
        <v>158</v>
      </c>
      <c r="AO73" s="9">
        <v>46153</v>
      </c>
    </row>
    <row r="74" spans="1:41" x14ac:dyDescent="0.25">
      <c r="A74" s="5" t="str">
        <f>IFERROR(IF(INDEX([4]ORTHO!$A$2:$A$21,MATCH($D74,[4]ORTHO!$D$2:$D$21,0))="","",INDEX([4]ORTHO!$A$2:$A$21,MATCH($D74,[4]ORTHO!$D$2:$D$21,0))),"")</f>
        <v>Denied</v>
      </c>
      <c r="B74" s="5" t="str">
        <f>IFERROR(IF(INDEX([4]ORTHO!$B$2:$B$21,MATCH($D74,[4]ORTHO!$D$2:$D$21,0))="","",INDEX([4]ORTHO!$B$2:$B$21,MATCH($D74,[4]ORTHO!$D$2:$D$21,0))),"")</f>
        <v>Uploaded MR - PIQ-90772964</v>
      </c>
      <c r="C74" s="6">
        <f>IFERROR(IF(INDEX([4]ORTHO!$C$2:$C$21,MATCH($D74,[4]ORTHO!$D$2:$D$21,0))="","",INDEX([4]ORTHO!$C$2:$C$21,MATCH($D74,[4]ORTHO!$D$2:$D$21,0))),"")</f>
        <v>46218</v>
      </c>
      <c r="D74" s="7">
        <v>556734047</v>
      </c>
      <c r="E74" s="8" t="s">
        <v>343</v>
      </c>
      <c r="F74" s="9">
        <v>46113</v>
      </c>
      <c r="G74" s="8" t="s">
        <v>148</v>
      </c>
      <c r="H74" s="8" t="s">
        <v>148</v>
      </c>
      <c r="I74" s="8" t="s">
        <v>69</v>
      </c>
      <c r="J74" s="8" t="s">
        <v>344</v>
      </c>
      <c r="K74" s="6">
        <f>IFERROR(IF(INDEX([4]ORTHO!$K$2:$K$21,MATCH($D74,[4]ORTHO!$D$2:$D$21,0))="","",INDEX([4]ORTHO!$K$2:$K$21,MATCH($D74,[4]ORTHO!$D$2:$D$21,0))),"")</f>
        <v>46278</v>
      </c>
      <c r="L74" s="11">
        <f ca="1">IF($O74="","",$O74-TODAY())</f>
        <v>-101</v>
      </c>
      <c r="M74" s="11">
        <f ca="1">IF(AND(TRIM($A74)="Finalized",$K74&lt;&gt;""),"",IF($C74="","",$C74+180-TODAY()))</f>
        <v>94</v>
      </c>
      <c r="N74" s="11">
        <f ca="1">IF(AND(TRIM($A74)="Finalized",$K74&lt;&gt;""),"",IF($C74="","",$C74+365-TODAY()))</f>
        <v>279</v>
      </c>
      <c r="O74" s="9">
        <f>IF(AND(TRIM($A74)="Finalized",$K74&lt;&gt;""),"",DATE(2026,6,30))</f>
        <v>46203</v>
      </c>
      <c r="P74" s="8" t="s">
        <v>86</v>
      </c>
      <c r="Q74" s="8" t="s">
        <v>152</v>
      </c>
      <c r="R74" s="8" t="s">
        <v>117</v>
      </c>
      <c r="S74" s="8" t="s">
        <v>74</v>
      </c>
      <c r="T74" s="8" t="s">
        <v>73</v>
      </c>
      <c r="U74" s="8" t="s">
        <v>74</v>
      </c>
      <c r="V74" s="8" t="s">
        <v>339</v>
      </c>
      <c r="W74" s="8" t="s">
        <v>76</v>
      </c>
      <c r="X74" s="8"/>
      <c r="Y74" s="8"/>
      <c r="Z74" s="8"/>
      <c r="AA74" s="8" t="s">
        <v>77</v>
      </c>
      <c r="AB74" s="10">
        <v>9056.39</v>
      </c>
      <c r="AC74" s="10">
        <v>0</v>
      </c>
      <c r="AD74" s="10">
        <v>0</v>
      </c>
      <c r="AE74" s="9">
        <v>46218</v>
      </c>
      <c r="AF74" s="10">
        <v>9056.39</v>
      </c>
      <c r="AG74" s="7">
        <v>129</v>
      </c>
      <c r="AH74" s="8" t="s">
        <v>345</v>
      </c>
      <c r="AI74" s="8" t="s">
        <v>346</v>
      </c>
      <c r="AJ74" s="8" t="s">
        <v>241</v>
      </c>
      <c r="AK74" s="8"/>
      <c r="AL74" s="7"/>
      <c r="AM74" s="8" t="s">
        <v>272</v>
      </c>
      <c r="AN74" s="8" t="s">
        <v>109</v>
      </c>
      <c r="AO74" s="9">
        <v>46146</v>
      </c>
    </row>
    <row r="75" spans="1:41" x14ac:dyDescent="0.25">
      <c r="A75" s="5" t="str">
        <f>IFERROR(IF(INDEX([4]US!$A$2:$A$23,MATCH($D75,[4]US!$D$2:$D$23,0))="","",INDEX([4]US!$A$2:$A$23,MATCH($D75,[4]US!$D$2:$D$23,0))),"")</f>
        <v>Denied</v>
      </c>
      <c r="B75" s="5" t="str">
        <f>IFERROR(IF(INDEX([4]US!$B$2:$B$23,MATCH($D75,[4]US!$D$2:$D$23,0))="","",INDEX([4]US!$B$2:$B$23,MATCH($D75,[4]US!$D$2:$D$23,0))),"")</f>
        <v xml:space="preserve">Uploaded MR - PIQ-91107053 as per insurance request </v>
      </c>
      <c r="C75" s="6">
        <f>IFERROR(IF(INDEX([4]US!$C$2:$C$23,MATCH($D75,[4]US!$D$2:$D$23,0))="","",INDEX([4]US!$C$2:$C$23,MATCH($D75,[4]US!$D$2:$D$23,0))),"")</f>
        <v>46216</v>
      </c>
      <c r="D75" s="7">
        <v>558304247</v>
      </c>
      <c r="E75" s="8" t="s">
        <v>347</v>
      </c>
      <c r="F75" s="9">
        <v>46114</v>
      </c>
      <c r="G75" s="8" t="s">
        <v>148</v>
      </c>
      <c r="H75" s="8" t="s">
        <v>148</v>
      </c>
      <c r="I75" s="8" t="s">
        <v>185</v>
      </c>
      <c r="J75" s="8" t="s">
        <v>348</v>
      </c>
      <c r="K75" s="6">
        <f>IFERROR(IF(INDEX([4]US!$K$2:$K$23,MATCH($D75,[4]US!$D$2:$D$23,0))="","",INDEX([4]US!$K$2:$K$23,MATCH($D75,[4]US!$D$2:$D$23,0))),"")</f>
        <v>46282</v>
      </c>
      <c r="L75" s="11">
        <f ca="1">IF($O75="","",$O75-TODAY())</f>
        <v>-100</v>
      </c>
      <c r="M75" s="11">
        <f ca="1">IF(AND(TRIM($A75)="Finalized",$K75&lt;&gt;""),"",IF($C75="","",$C75+180-TODAY()))</f>
        <v>92</v>
      </c>
      <c r="N75" s="11">
        <f ca="1">IF(AND(TRIM($A75)="Finalized",$K75&lt;&gt;""),"",IF($C75="","",$C75+365-TODAY()))</f>
        <v>277</v>
      </c>
      <c r="O75" s="9">
        <f>IF(AND(TRIM($A75)="Finalized",$K75&lt;&gt;""),"",DATE(2026,7,1))</f>
        <v>46204</v>
      </c>
      <c r="P75" s="8" t="s">
        <v>86</v>
      </c>
      <c r="Q75" s="8" t="s">
        <v>152</v>
      </c>
      <c r="R75" s="8" t="s">
        <v>117</v>
      </c>
      <c r="S75" s="8" t="s">
        <v>74</v>
      </c>
      <c r="T75" s="8" t="s">
        <v>73</v>
      </c>
      <c r="U75" s="8" t="s">
        <v>74</v>
      </c>
      <c r="V75" s="8" t="s">
        <v>339</v>
      </c>
      <c r="W75" s="8" t="s">
        <v>129</v>
      </c>
      <c r="X75" s="8"/>
      <c r="Y75" s="8"/>
      <c r="Z75" s="8"/>
      <c r="AA75" s="8" t="s">
        <v>77</v>
      </c>
      <c r="AB75" s="10">
        <v>2173.29</v>
      </c>
      <c r="AC75" s="10">
        <v>0</v>
      </c>
      <c r="AD75" s="10">
        <v>0</v>
      </c>
      <c r="AE75" s="9">
        <v>46218</v>
      </c>
      <c r="AF75" s="10">
        <v>2173.29</v>
      </c>
      <c r="AG75" s="7">
        <v>128</v>
      </c>
      <c r="AH75" s="8" t="s">
        <v>349</v>
      </c>
      <c r="AI75" s="8" t="s">
        <v>330</v>
      </c>
      <c r="AJ75" s="8" t="s">
        <v>264</v>
      </c>
      <c r="AK75" s="8"/>
      <c r="AL75" s="7"/>
      <c r="AM75" s="8" t="s">
        <v>131</v>
      </c>
      <c r="AN75" s="8" t="s">
        <v>350</v>
      </c>
      <c r="AO75" s="9">
        <v>46148</v>
      </c>
    </row>
    <row r="76" spans="1:41" x14ac:dyDescent="0.25">
      <c r="A76" s="5" t="str">
        <f>IFERROR(IF(INDEX([3]US!$A$2:$A$15,MATCH($D76,[3]US!$D$2:$D$15,0))="","",INDEX([3]US!$A$2:$A$15,MATCH($D76,[3]US!$D$2:$D$15,0))),"")</f>
        <v>Denied</v>
      </c>
      <c r="B76" s="5" t="str">
        <f>IFERROR(IF(INDEX([3]US!$B$2:$B$15,MATCH($D76,[3]US!$D$2:$D$15,0))="","",INDEX([3]US!$B$2:$B$15,MATCH($D76,[3]US!$D$2:$D$15,0))),"")</f>
        <v>Edited dx codes, and resubmitted - DND due to invalid dx</v>
      </c>
      <c r="C76" s="6">
        <f>IFERROR(IF(INDEX([3]US!$C$2:$C$15,MATCH($D76,[3]US!$D$2:$D$15,0))="","",INDEX([3]US!$C$2:$C$15,MATCH($D76,[3]US!$D$2:$D$15,0))),"")</f>
        <v>46113</v>
      </c>
      <c r="D76" s="7">
        <v>553787632</v>
      </c>
      <c r="E76" s="8" t="s">
        <v>351</v>
      </c>
      <c r="F76" s="9">
        <v>46085</v>
      </c>
      <c r="G76" s="8" t="s">
        <v>206</v>
      </c>
      <c r="H76" s="8" t="s">
        <v>206</v>
      </c>
      <c r="I76" s="8" t="s">
        <v>69</v>
      </c>
      <c r="J76" s="8" t="s">
        <v>352</v>
      </c>
      <c r="K76" s="6">
        <f>IFERROR(IF(INDEX([3]US!$K$2:$K$15,MATCH($D76,[3]US!$D$2:$D$15,0))="","",INDEX([3]US!$K$2:$K$15,MATCH($D76,[3]US!$D$2:$D$15,0))),"")</f>
        <v>46282</v>
      </c>
      <c r="L76" s="11">
        <f ca="1">IF($O76="","",$O76-TODAY())</f>
        <v>-99</v>
      </c>
      <c r="M76" s="11">
        <f ca="1">IF(AND(TRIM($A76)="Finalized",$K76&lt;&gt;""),"",IF($C76="","",$C76+180-TODAY()))</f>
        <v>-11</v>
      </c>
      <c r="N76" s="11">
        <f ca="1">IF(AND(TRIM($A76)="Finalized",$K76&lt;&gt;""),"",IF($C76="","",$C76+180-TODAY()))</f>
        <v>-11</v>
      </c>
      <c r="O76" s="9">
        <f>IF(AND(TRIM($A76)="Finalized",$K76&lt;&gt;""),"",DATE(2026,7,2))</f>
        <v>46205</v>
      </c>
      <c r="P76" s="8" t="s">
        <v>208</v>
      </c>
      <c r="Q76" s="8" t="s">
        <v>209</v>
      </c>
      <c r="R76" s="8" t="s">
        <v>117</v>
      </c>
      <c r="S76" s="8" t="s">
        <v>74</v>
      </c>
      <c r="T76" s="8" t="s">
        <v>117</v>
      </c>
      <c r="U76" s="8" t="s">
        <v>74</v>
      </c>
      <c r="V76" s="8" t="s">
        <v>256</v>
      </c>
      <c r="W76" s="8" t="s">
        <v>129</v>
      </c>
      <c r="X76" s="8"/>
      <c r="Y76" s="8"/>
      <c r="Z76" s="8"/>
      <c r="AA76" s="8" t="s">
        <v>77</v>
      </c>
      <c r="AB76" s="10">
        <v>2943.43</v>
      </c>
      <c r="AC76" s="10">
        <v>0</v>
      </c>
      <c r="AD76" s="10">
        <v>0</v>
      </c>
      <c r="AE76" s="9">
        <v>46113</v>
      </c>
      <c r="AF76" s="10">
        <v>2943.43</v>
      </c>
      <c r="AG76" s="7">
        <v>157</v>
      </c>
      <c r="AH76" s="8" t="s">
        <v>316</v>
      </c>
      <c r="AI76" s="8" t="s">
        <v>130</v>
      </c>
      <c r="AJ76" s="8"/>
      <c r="AK76" s="8"/>
      <c r="AL76" s="7"/>
      <c r="AM76" s="8" t="s">
        <v>165</v>
      </c>
      <c r="AN76" s="8" t="s">
        <v>95</v>
      </c>
      <c r="AO76" s="9">
        <v>46106</v>
      </c>
    </row>
    <row r="77" spans="1:41" x14ac:dyDescent="0.25">
      <c r="A77" s="5" t="str">
        <f>IFERROR(IF(INDEX([4]DME!$A$2:$A$34,MATCH($D77,[4]DME!$D$2:$D$34,0))="","",INDEX([4]DME!$A$2:$A$34,MATCH($D77,[4]DME!$D$2:$D$34,0))),"")</f>
        <v>Denied</v>
      </c>
      <c r="B77" s="5" t="str">
        <f>IFERROR(IF(INDEX([4]DME!$B$2:$B$34,MATCH($D77,[4]DME!$D$2:$D$34,0))="","",INDEX([4]DME!$B$2:$B$34,MATCH($D77,[4]DME!$D$2:$D$34,0))),"")</f>
        <v>Appeal form completed with MR and forwarded to April for fax submission to payer - Fax # 855-699-8985</v>
      </c>
      <c r="C77" s="6">
        <f>IFERROR(IF(INDEX([4]DME!$C$2:$C$34,MATCH($D77,[4]DME!$D$2:$D$34,0))="","",INDEX([4]DME!$C$2:$C$34,MATCH($D77,[4]DME!$D$2:$D$34,0))),"")</f>
        <v>46197</v>
      </c>
      <c r="D77" s="7">
        <v>555586629</v>
      </c>
      <c r="E77" s="8" t="s">
        <v>355</v>
      </c>
      <c r="F77" s="9">
        <v>46118</v>
      </c>
      <c r="G77" s="8" t="s">
        <v>174</v>
      </c>
      <c r="H77" s="8" t="s">
        <v>174</v>
      </c>
      <c r="I77" s="8" t="s">
        <v>69</v>
      </c>
      <c r="J77" s="8" t="s">
        <v>231</v>
      </c>
      <c r="K77" s="6">
        <f>IFERROR(IF(INDEX([4]DME!$K$2:$K$34,MATCH($D77,[4]DME!$D$2:$D$34,0))="","",INDEX([4]DME!$K$2:$K$34,MATCH($D77,[4]DME!$D$2:$D$34,0))),"")</f>
        <v>46300</v>
      </c>
      <c r="L77" s="11">
        <f ca="1">IF($O77="","",$O77-TODAY())</f>
        <v>-96</v>
      </c>
      <c r="M77" s="11">
        <f ca="1">IF(AND(TRIM($A77)="Finalized",$K77&lt;&gt;""),"",IF($F77="","",$F77+90-TODAY()))</f>
        <v>-96</v>
      </c>
      <c r="N77" s="11">
        <f ca="1">IF(AND(TRIM($A77)="Finalized",$K77&lt;&gt;""),"",IF($C77="","",$C77+180-TODAY()))</f>
        <v>73</v>
      </c>
      <c r="O77" s="9">
        <f>IF(AND(TRIM($A77)="Finalized",$K77&lt;&gt;""),"",DATE(2026,7,5))</f>
        <v>46208</v>
      </c>
      <c r="P77" s="8" t="s">
        <v>86</v>
      </c>
      <c r="Q77" s="8" t="s">
        <v>144</v>
      </c>
      <c r="R77" s="8" t="s">
        <v>86</v>
      </c>
      <c r="S77" s="8" t="s">
        <v>88</v>
      </c>
      <c r="T77" s="8" t="s">
        <v>117</v>
      </c>
      <c r="U77" s="8" t="s">
        <v>74</v>
      </c>
      <c r="V77" s="8" t="s">
        <v>339</v>
      </c>
      <c r="W77" s="8" t="s">
        <v>89</v>
      </c>
      <c r="X77" s="8" t="s">
        <v>232</v>
      </c>
      <c r="Y77" s="8"/>
      <c r="Z77" s="8"/>
      <c r="AA77" s="8" t="s">
        <v>77</v>
      </c>
      <c r="AB77" s="10">
        <v>5492.55</v>
      </c>
      <c r="AC77" s="10">
        <v>0</v>
      </c>
      <c r="AD77" s="10">
        <v>0</v>
      </c>
      <c r="AE77" s="9">
        <v>46197</v>
      </c>
      <c r="AF77" s="10">
        <v>5492.55</v>
      </c>
      <c r="AG77" s="7">
        <v>124</v>
      </c>
      <c r="AH77" s="8" t="s">
        <v>356</v>
      </c>
      <c r="AI77" s="8"/>
      <c r="AJ77" s="8"/>
      <c r="AK77" s="8"/>
      <c r="AL77" s="7"/>
      <c r="AM77" s="8" t="s">
        <v>80</v>
      </c>
      <c r="AN77" s="8" t="s">
        <v>191</v>
      </c>
      <c r="AO77" s="9">
        <v>46134</v>
      </c>
    </row>
    <row r="78" spans="1:41" x14ac:dyDescent="0.25">
      <c r="A78" s="5" t="str">
        <f>IFERROR(IF(INDEX([4]GAE!$A$2:$A$8,MATCH($D78,[4]GAE!$D$2:$D$8,0))="","",INDEX([4]GAE!$A$2:$A$8,MATCH($D78,[4]GAE!$D$2:$D$8,0))),"")</f>
        <v>Under Review</v>
      </c>
      <c r="B78" s="5" t="str">
        <f>IFERROR(IF(INDEX([4]GAE!$B$2:$B$8,MATCH($D78,[4]GAE!$D$2:$D$8,0))="","",INDEX([4]GAE!$B$2:$B$8,MATCH($D78,[4]GAE!$D$2:$D$8,0))),"")</f>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
      <c r="C78" s="6">
        <f>IFERROR(IF(INDEX([4]GAE!$C$2:$C$8,MATCH($D78,[4]GAE!$D$2:$D$8,0))="","",INDEX([4]GAE!$C$2:$C$8,MATCH($D78,[4]GAE!$D$2:$D$8,0))),"")</f>
        <v>46165</v>
      </c>
      <c r="D78" s="7">
        <v>558554119</v>
      </c>
      <c r="E78" s="8" t="s">
        <v>357</v>
      </c>
      <c r="F78" s="9">
        <v>46118</v>
      </c>
      <c r="G78" s="8" t="s">
        <v>97</v>
      </c>
      <c r="H78" s="8" t="s">
        <v>97</v>
      </c>
      <c r="I78" s="8" t="s">
        <v>69</v>
      </c>
      <c r="J78" s="8" t="s">
        <v>358</v>
      </c>
      <c r="K78" s="6" t="str">
        <f>IFERROR(IF(INDEX([4]GAE!$K$2:$K$8,MATCH($D78,[4]GAE!$D$2:$D$8,0))="","",INDEX([4]GAE!$K$2:$K$8,MATCH($D78,[4]GAE!$D$2:$D$8,0))),"")</f>
        <v/>
      </c>
      <c r="L78" s="11">
        <f ca="1">IF($O78="","",$O78-TODAY())</f>
        <v>-96</v>
      </c>
      <c r="M78" s="11">
        <f ca="1">IF(AND(TRIM($A78)="Finalized",$K78&lt;&gt;""),"",IF($F78="","",$F78+90-TODAY()))</f>
        <v>-96</v>
      </c>
      <c r="N78" s="11">
        <f ca="1">IF(AND(TRIM($A78)="Finalized",$K78&lt;&gt;""),"",IF($C78="","",$C78+540-TODAY()))</f>
        <v>401</v>
      </c>
      <c r="O78" s="9">
        <f>IF(AND(TRIM($A78)="Finalized",$K78&lt;&gt;""),"",DATE(2026,7,5))</f>
        <v>46208</v>
      </c>
      <c r="P78" s="8" t="s">
        <v>86</v>
      </c>
      <c r="Q78" s="8" t="s">
        <v>99</v>
      </c>
      <c r="R78" s="8" t="s">
        <v>86</v>
      </c>
      <c r="S78" s="8" t="s">
        <v>88</v>
      </c>
      <c r="T78" s="8" t="s">
        <v>100</v>
      </c>
      <c r="U78" s="8" t="s">
        <v>74</v>
      </c>
      <c r="V78" s="8" t="s">
        <v>339</v>
      </c>
      <c r="W78" s="8" t="s">
        <v>101</v>
      </c>
      <c r="X78" s="8" t="s">
        <v>359</v>
      </c>
      <c r="Y78" s="8" t="s">
        <v>360</v>
      </c>
      <c r="Z78" s="8" t="s">
        <v>153</v>
      </c>
      <c r="AA78" s="8" t="s">
        <v>77</v>
      </c>
      <c r="AB78" s="10">
        <v>7585.97</v>
      </c>
      <c r="AC78" s="10">
        <v>0</v>
      </c>
      <c r="AD78" s="10">
        <v>0</v>
      </c>
      <c r="AE78" s="9">
        <v>46165</v>
      </c>
      <c r="AF78" s="10">
        <v>7585.97</v>
      </c>
      <c r="AG78" s="7">
        <v>124</v>
      </c>
      <c r="AH78" s="8" t="s">
        <v>329</v>
      </c>
      <c r="AI78" s="8" t="s">
        <v>106</v>
      </c>
      <c r="AJ78" s="8" t="s">
        <v>361</v>
      </c>
      <c r="AK78" s="8"/>
      <c r="AL78" s="7"/>
      <c r="AM78" s="8" t="s">
        <v>108</v>
      </c>
      <c r="AN78" s="8" t="s">
        <v>81</v>
      </c>
      <c r="AO78" s="9">
        <v>46149</v>
      </c>
    </row>
    <row r="79" spans="1:41" x14ac:dyDescent="0.25">
      <c r="A79" s="5" t="str">
        <f>IFERROR(IF(INDEX([5]ORTHO!$A$2:$A$24,MATCH($D79,[5]ORTHO!$D$2:$D$24,0))="","",INDEX([5]ORTHO!$A$2:$A$24,MATCH($D79,[5]ORTHO!$D$2:$D$24,0))),"")</f>
        <v>Under Review</v>
      </c>
      <c r="B79" s="5" t="str">
        <f>IFERROR(IF(INDEX([5]ORTHO!$B$2:$B$24,MATCH($D79,[5]ORTHO!$D$2:$D$24,0))="","",INDEX([5]ORTHO!$B$2:$B$24,MATCH($D79,[5]ORTHO!$D$2:$D$24,0))),"")</f>
        <v xml:space="preserve">Call ins - Bundled - but we have an auth for this one </v>
      </c>
      <c r="C79" s="6">
        <f>IFERROR(IF(INDEX([5]ORTHO!$C$2:$C$24,MATCH($D79,[5]ORTHO!$D$2:$D$24,0))="","",INDEX([5]ORTHO!$C$2:$C$24,MATCH($D79,[5]ORTHO!$D$2:$D$24,0))),"")</f>
        <v>46162</v>
      </c>
      <c r="D79" s="7">
        <v>559115526</v>
      </c>
      <c r="E79" s="8" t="s">
        <v>362</v>
      </c>
      <c r="F79" s="9">
        <v>46148</v>
      </c>
      <c r="G79" s="8" t="s">
        <v>363</v>
      </c>
      <c r="H79" s="8" t="s">
        <v>363</v>
      </c>
      <c r="I79" s="8" t="s">
        <v>69</v>
      </c>
      <c r="J79" s="8" t="s">
        <v>143</v>
      </c>
      <c r="K79" s="6" t="str">
        <f>IFERROR(IF(INDEX([5]ORTHO!$K$2:$K$24,MATCH($D79,[5]ORTHO!$D$2:$D$24,0))="","",INDEX([5]ORTHO!$K$2:$K$24,MATCH($D79,[5]ORTHO!$D$2:$D$24,0))),"")</f>
        <v/>
      </c>
      <c r="L79" s="11">
        <f ca="1">IF($O79="","",$O79-TODAY())</f>
        <v>-96</v>
      </c>
      <c r="M79" s="11">
        <f ca="1">IF(AND(TRIM($A79)="Finalized",$K79&lt;&gt;""),"",IF($C79="","",$C79+365-TODAY()))</f>
        <v>223</v>
      </c>
      <c r="N79" s="11">
        <f ca="1">IF(AND(TRIM($A79)="Finalized",$K79&lt;&gt;""),"",IF($C79="","",$C79+90-TODAY()))</f>
        <v>-52</v>
      </c>
      <c r="O79" s="9">
        <f>IF(AND(TRIM($A79)="Finalized",$K79&lt;&gt;""),"",DATE(2026,7,5))</f>
        <v>46208</v>
      </c>
      <c r="P79" s="8" t="s">
        <v>71</v>
      </c>
      <c r="Q79" s="8" t="s">
        <v>364</v>
      </c>
      <c r="R79" s="8" t="s">
        <v>73</v>
      </c>
      <c r="S79" s="8" t="s">
        <v>74</v>
      </c>
      <c r="T79" s="8" t="s">
        <v>86</v>
      </c>
      <c r="U79" s="8" t="s">
        <v>74</v>
      </c>
      <c r="V79" s="8" t="s">
        <v>365</v>
      </c>
      <c r="W79" s="8" t="s">
        <v>76</v>
      </c>
      <c r="X79" s="8"/>
      <c r="Y79" s="8"/>
      <c r="Z79" s="8"/>
      <c r="AA79" s="8" t="s">
        <v>77</v>
      </c>
      <c r="AB79" s="10">
        <v>7623.07</v>
      </c>
      <c r="AC79" s="10">
        <v>0</v>
      </c>
      <c r="AD79" s="10">
        <v>0</v>
      </c>
      <c r="AE79" s="9">
        <v>46162</v>
      </c>
      <c r="AF79" s="10">
        <v>7623.07</v>
      </c>
      <c r="AG79" s="7">
        <v>94</v>
      </c>
      <c r="AH79" s="8" t="s">
        <v>145</v>
      </c>
      <c r="AI79" s="8" t="s">
        <v>79</v>
      </c>
      <c r="AJ79" s="8"/>
      <c r="AK79" s="8"/>
      <c r="AL79" s="7"/>
      <c r="AM79" s="8" t="s">
        <v>168</v>
      </c>
      <c r="AN79" s="8" t="s">
        <v>109</v>
      </c>
      <c r="AO79" s="9">
        <v>46155</v>
      </c>
    </row>
    <row r="80" spans="1:41" x14ac:dyDescent="0.25">
      <c r="A80" s="5" t="str">
        <f>IFERROR(IF(INDEX([4]US!$A$2:$A$23,MATCH($D80,[4]US!$D$2:$D$23,0))="","",INDEX([4]US!$A$2:$A$23,MATCH($D80,[4]US!$D$2:$D$23,0))),"")</f>
        <v>Denied</v>
      </c>
      <c r="B80" s="5" t="str">
        <f>IFERROR(IF(INDEX([4]US!$B$2:$B$23,MATCH($D80,[4]US!$D$2:$D$23,0))="","",INDEX([4]US!$B$2:$B$23,MATCH($D80,[4]US!$D$2:$D$23,0))),"")</f>
        <v>Added mod XS to 93970, and resubmitted - Anthem Commercial Reimbursement Policy Number: C-23003 - secondary subject to MPPR rules</v>
      </c>
      <c r="C80" s="6">
        <f>IFERROR(IF(INDEX([4]US!$C$2:$C$23,MATCH($D80,[4]US!$D$2:$D$23,0))="","",INDEX([4]US!$C$2:$C$23,MATCH($D80,[4]US!$D$2:$D$23,0))),"")</f>
        <v>46164</v>
      </c>
      <c r="D80" s="7">
        <v>558637485</v>
      </c>
      <c r="E80" s="8" t="s">
        <v>366</v>
      </c>
      <c r="F80" s="9">
        <v>46119</v>
      </c>
      <c r="G80" s="8" t="s">
        <v>123</v>
      </c>
      <c r="H80" s="8" t="s">
        <v>123</v>
      </c>
      <c r="I80" s="8" t="s">
        <v>69</v>
      </c>
      <c r="J80" s="8" t="s">
        <v>348</v>
      </c>
      <c r="K80" s="6">
        <f>IFERROR(IF(INDEX([4]US!$K$2:$K$23,MATCH($D80,[4]US!$D$2:$D$23,0))="","",INDEX([4]US!$K$2:$K$23,MATCH($D80,[4]US!$D$2:$D$23,0))),"")</f>
        <v>46283</v>
      </c>
      <c r="L80" s="11">
        <f ca="1">IF($O80="","",$O80-TODAY())</f>
        <v>-95</v>
      </c>
      <c r="M80" s="11">
        <f ca="1">IF(AND(TRIM($A80)="Finalized",$K80&lt;&gt;""),"",IF($F80="","",$F80+90-TODAY()))</f>
        <v>-95</v>
      </c>
      <c r="N80" s="11">
        <f ca="1">IF(AND(TRIM($A80)="Finalized",$K80&lt;&gt;""),"",IF($C80="","",$C80+365-TODAY()))</f>
        <v>225</v>
      </c>
      <c r="O80" s="9">
        <f>IF(AND(TRIM($A80)="Finalized",$K80&lt;&gt;""),"",DATE(2026,7,6))</f>
        <v>46209</v>
      </c>
      <c r="P80" s="8" t="s">
        <v>86</v>
      </c>
      <c r="Q80" s="8" t="s">
        <v>125</v>
      </c>
      <c r="R80" s="8" t="s">
        <v>86</v>
      </c>
      <c r="S80" s="8" t="s">
        <v>88</v>
      </c>
      <c r="T80" s="8" t="s">
        <v>73</v>
      </c>
      <c r="U80" s="8" t="s">
        <v>74</v>
      </c>
      <c r="V80" s="8" t="s">
        <v>339</v>
      </c>
      <c r="W80" s="8" t="s">
        <v>129</v>
      </c>
      <c r="X80" s="8"/>
      <c r="Y80" s="8"/>
      <c r="Z80" s="8"/>
      <c r="AA80" s="8" t="s">
        <v>77</v>
      </c>
      <c r="AB80" s="10">
        <v>2173.29</v>
      </c>
      <c r="AC80" s="10">
        <v>0</v>
      </c>
      <c r="AD80" s="10">
        <v>0</v>
      </c>
      <c r="AE80" s="9"/>
      <c r="AF80" s="10">
        <v>2173.29</v>
      </c>
      <c r="AG80" s="7">
        <v>123</v>
      </c>
      <c r="AH80" s="8" t="s">
        <v>367</v>
      </c>
      <c r="AI80" s="8" t="s">
        <v>175</v>
      </c>
      <c r="AJ80" s="8"/>
      <c r="AK80" s="8"/>
      <c r="AL80" s="7"/>
      <c r="AM80" s="8" t="s">
        <v>157</v>
      </c>
      <c r="AN80" s="8" t="s">
        <v>158</v>
      </c>
      <c r="AO80" s="9">
        <v>46140</v>
      </c>
    </row>
    <row r="81" spans="1:41" x14ac:dyDescent="0.25">
      <c r="A81" s="5" t="str">
        <f>IFERROR(IF(INDEX([4]US!$A$2:$A$23,MATCH($D81,[4]US!$D$2:$D$23,0))="","",INDEX([4]US!$A$2:$A$23,MATCH($D81,[4]US!$D$2:$D$23,0))),"")</f>
        <v>Denied</v>
      </c>
      <c r="B81" s="5" t="str">
        <f>IFERROR(IF(INDEX([4]US!$B$2:$B$23,MATCH($D81,[4]US!$D$2:$D$23,0))="","",INDEX([4]US!$B$2:$B$23,MATCH($D81,[4]US!$D$2:$D$23,0))),"")</f>
        <v>Changed 93970 to 93971, and resubmitted</v>
      </c>
      <c r="C81" s="6">
        <f>IFERROR(IF(INDEX([4]US!$C$2:$C$23,MATCH($D81,[4]US!$D$2:$D$23,0))="","",INDEX([4]US!$C$2:$C$23,MATCH($D81,[4]US!$D$2:$D$23,0))),"")</f>
        <v>46184</v>
      </c>
      <c r="D81" s="7">
        <v>558308311</v>
      </c>
      <c r="E81" s="8" t="s">
        <v>140</v>
      </c>
      <c r="F81" s="9">
        <v>46121</v>
      </c>
      <c r="G81" s="8" t="s">
        <v>114</v>
      </c>
      <c r="H81" s="8" t="s">
        <v>114</v>
      </c>
      <c r="I81" s="8" t="s">
        <v>69</v>
      </c>
      <c r="J81" s="8" t="s">
        <v>135</v>
      </c>
      <c r="K81" s="6">
        <f>IFERROR(IF(INDEX([4]US!$K$2:$K$23,MATCH($D81,[4]US!$D$2:$D$23,0))="","",INDEX([4]US!$K$2:$K$23,MATCH($D81,[4]US!$D$2:$D$23,0))),"")</f>
        <v>46278</v>
      </c>
      <c r="L81" s="11">
        <f ca="1">IF($O81="","",$O81-TODAY())</f>
        <v>-93</v>
      </c>
      <c r="M81" s="11">
        <f ca="1">IF(AND(TRIM($A81)="Finalized",$K81&lt;&gt;""),"",IF($C81="","",$C81+180-TODAY()))</f>
        <v>60</v>
      </c>
      <c r="N81" s="11">
        <f ca="1">IF(AND(TRIM($A81)="Finalized",$K81&lt;&gt;""),"",IF($C81="","",$C81+365-TODAY()))</f>
        <v>245</v>
      </c>
      <c r="O81" s="9">
        <f>IF(AND(TRIM($A81)="Finalized",$K81&lt;&gt;""),"",DATE(2026,7,8))</f>
        <v>46211</v>
      </c>
      <c r="P81" s="8" t="s">
        <v>86</v>
      </c>
      <c r="Q81" s="8" t="s">
        <v>116</v>
      </c>
      <c r="R81" s="8" t="s">
        <v>117</v>
      </c>
      <c r="S81" s="8" t="s">
        <v>74</v>
      </c>
      <c r="T81" s="8" t="s">
        <v>73</v>
      </c>
      <c r="U81" s="8" t="s">
        <v>74</v>
      </c>
      <c r="V81" s="8" t="s">
        <v>339</v>
      </c>
      <c r="W81" s="8" t="s">
        <v>129</v>
      </c>
      <c r="X81" s="8"/>
      <c r="Y81" s="8"/>
      <c r="Z81" s="8"/>
      <c r="AA81" s="8" t="s">
        <v>77</v>
      </c>
      <c r="AB81" s="10">
        <v>1294.23</v>
      </c>
      <c r="AC81" s="10">
        <v>0</v>
      </c>
      <c r="AD81" s="10">
        <v>0</v>
      </c>
      <c r="AE81" s="9">
        <v>46184</v>
      </c>
      <c r="AF81" s="10">
        <v>1294.23</v>
      </c>
      <c r="AG81" s="7">
        <v>121</v>
      </c>
      <c r="AH81" s="8" t="s">
        <v>138</v>
      </c>
      <c r="AI81" s="8" t="s">
        <v>368</v>
      </c>
      <c r="AJ81" s="8"/>
      <c r="AK81" s="8"/>
      <c r="AL81" s="7"/>
      <c r="AM81" s="8" t="s">
        <v>131</v>
      </c>
      <c r="AN81" s="8" t="s">
        <v>350</v>
      </c>
      <c r="AO81" s="9">
        <v>46148</v>
      </c>
    </row>
    <row r="82" spans="1:41" x14ac:dyDescent="0.25">
      <c r="A82" s="5" t="str">
        <f>IFERROR(IF(INDEX([4]US!$A$2:$A$23,MATCH($D82,[4]US!$D$2:$D$23,0))="","",INDEX([4]US!$A$2:$A$23,MATCH($D82,[4]US!$D$2:$D$23,0))),"")</f>
        <v>Denied</v>
      </c>
      <c r="B82" s="5" t="str">
        <f>IFERROR(IF(INDEX([4]US!$B$2:$B$23,MATCH($D82,[4]US!$D$2:$D$23,0))="","",INDEX([4]US!$B$2:$B$23,MATCH($D82,[4]US!$D$2:$D$23,0))),"")</f>
        <v>Uploaded MR - PIQ-90770826</v>
      </c>
      <c r="C82" s="6">
        <f>IFERROR(IF(INDEX([4]US!$C$2:$C$23,MATCH($D82,[4]US!$D$2:$D$23,0))="","",INDEX([4]US!$C$2:$C$23,MATCH($D82,[4]US!$D$2:$D$23,0))),"")</f>
        <v>46224</v>
      </c>
      <c r="D82" s="7">
        <v>558638750</v>
      </c>
      <c r="E82" s="8" t="s">
        <v>369</v>
      </c>
      <c r="F82" s="9">
        <v>46121</v>
      </c>
      <c r="G82" s="8" t="s">
        <v>148</v>
      </c>
      <c r="H82" s="8" t="s">
        <v>148</v>
      </c>
      <c r="I82" s="8" t="s">
        <v>370</v>
      </c>
      <c r="J82" s="8" t="s">
        <v>371</v>
      </c>
      <c r="K82" s="6">
        <f>IFERROR(IF(INDEX([4]US!$K$2:$K$23,MATCH($D82,[4]US!$D$2:$D$23,0))="","",INDEX([4]US!$K$2:$K$23,MATCH($D82,[4]US!$D$2:$D$23,0))),"")</f>
        <v>46278</v>
      </c>
      <c r="L82" s="11">
        <f ca="1">IF($O82="","",$O82-TODAY())</f>
        <v>-93</v>
      </c>
      <c r="M82" s="11">
        <f ca="1">IF(AND(TRIM($A82)="Finalized",$K82&lt;&gt;""),"",IF($C82="","",$C82+180-TODAY()))</f>
        <v>100</v>
      </c>
      <c r="N82" s="11">
        <f ca="1">IF(AND(TRIM($A82)="Finalized",$K82&lt;&gt;""),"",IF($C82="","",$C82+365-TODAY()))</f>
        <v>285</v>
      </c>
      <c r="O82" s="9">
        <f>IF(AND(TRIM($A82)="Finalized",$K82&lt;&gt;""),"",DATE(2026,7,8))</f>
        <v>46211</v>
      </c>
      <c r="P82" s="8" t="s">
        <v>86</v>
      </c>
      <c r="Q82" s="8" t="s">
        <v>152</v>
      </c>
      <c r="R82" s="8" t="s">
        <v>117</v>
      </c>
      <c r="S82" s="8" t="s">
        <v>74</v>
      </c>
      <c r="T82" s="8" t="s">
        <v>73</v>
      </c>
      <c r="U82" s="8" t="s">
        <v>74</v>
      </c>
      <c r="V82" s="8" t="s">
        <v>339</v>
      </c>
      <c r="W82" s="8" t="s">
        <v>129</v>
      </c>
      <c r="X82" s="8"/>
      <c r="Y82" s="8"/>
      <c r="Z82" s="8"/>
      <c r="AA82" s="8" t="s">
        <v>77</v>
      </c>
      <c r="AB82" s="10">
        <v>3822.49</v>
      </c>
      <c r="AC82" s="10">
        <v>0</v>
      </c>
      <c r="AD82" s="10">
        <v>0</v>
      </c>
      <c r="AE82" s="9">
        <v>46224</v>
      </c>
      <c r="AF82" s="10">
        <v>3822.49</v>
      </c>
      <c r="AG82" s="7">
        <v>121</v>
      </c>
      <c r="AH82" s="8" t="s">
        <v>316</v>
      </c>
      <c r="AI82" s="8"/>
      <c r="AJ82" s="8"/>
      <c r="AK82" s="8"/>
      <c r="AL82" s="7"/>
      <c r="AM82" s="8" t="s">
        <v>131</v>
      </c>
      <c r="AN82" s="8" t="s">
        <v>350</v>
      </c>
      <c r="AO82" s="9">
        <v>46150</v>
      </c>
    </row>
    <row r="83" spans="1:41" x14ac:dyDescent="0.25">
      <c r="A83" s="5" t="str">
        <f>IFERROR(IF(INDEX([4]DME!$A$2:$A$34,MATCH($D83,[4]DME!$D$2:$D$34,0))="","",INDEX([4]DME!$A$2:$A$34,MATCH($D83,[4]DME!$D$2:$D$34,0))),"")</f>
        <v>Under Review</v>
      </c>
      <c r="B83" s="5" t="str">
        <f>IFERROR(IF(INDEX([4]DME!$B$2:$B$34,MATCH($D83,[4]DME!$D$2:$D$34,0))="","",INDEX([4]DME!$B$2:$B$34,MATCH($D83,[4]DME!$D$2:$D$34,0))),"")</f>
        <v>Call 800-636-2123 - DND A6010 Preferred Homecare is responsible for these services. Please submit the claim to Preferred Homecare for consideration</v>
      </c>
      <c r="C83" s="6">
        <f>IFERROR(IF(INDEX([4]DME!$C$2:$C$34,MATCH($D83,[4]DME!$D$2:$D$34,0))="","",INDEX([4]DME!$C$2:$C$34,MATCH($D83,[4]DME!$D$2:$D$34,0))),"")</f>
        <v>46141</v>
      </c>
      <c r="D83" s="7">
        <v>556770603</v>
      </c>
      <c r="E83" s="8" t="s">
        <v>372</v>
      </c>
      <c r="F83" s="9">
        <v>46121</v>
      </c>
      <c r="G83" s="8" t="s">
        <v>148</v>
      </c>
      <c r="H83" s="8" t="s">
        <v>148</v>
      </c>
      <c r="I83" s="8" t="s">
        <v>69</v>
      </c>
      <c r="J83" s="8" t="s">
        <v>373</v>
      </c>
      <c r="K83" s="6" t="str">
        <f>IFERROR(IF(INDEX([4]DME!$K$2:$K$34,MATCH($D83,[4]DME!$D$2:$D$34,0))="","",INDEX([4]DME!$K$2:$K$34,MATCH($D83,[4]DME!$D$2:$D$34,0))),"")</f>
        <v/>
      </c>
      <c r="L83" s="11">
        <f ca="1">IF($O83="","",$O83-TODAY())</f>
        <v>-93</v>
      </c>
      <c r="M83" s="11">
        <f ca="1">IF(AND(TRIM($A83)="Finalized",$K83&lt;&gt;""),"",IF($C83="","",$C83+180-TODAY()))</f>
        <v>17</v>
      </c>
      <c r="N83" s="11">
        <f ca="1">IF(AND(TRIM($A83)="Finalized",$K83&lt;&gt;""),"",IF($C83="","",$C83+365-TODAY()))</f>
        <v>202</v>
      </c>
      <c r="O83" s="9">
        <f>IF(AND(TRIM($A83)="Finalized",$K83&lt;&gt;""),"",DATE(2026,7,8))</f>
        <v>46211</v>
      </c>
      <c r="P83" s="8" t="s">
        <v>86</v>
      </c>
      <c r="Q83" s="8" t="s">
        <v>152</v>
      </c>
      <c r="R83" s="8" t="s">
        <v>117</v>
      </c>
      <c r="S83" s="8" t="s">
        <v>74</v>
      </c>
      <c r="T83" s="8" t="s">
        <v>73</v>
      </c>
      <c r="U83" s="8" t="s">
        <v>74</v>
      </c>
      <c r="V83" s="8" t="s">
        <v>339</v>
      </c>
      <c r="W83" s="8" t="s">
        <v>89</v>
      </c>
      <c r="X83" s="8" t="s">
        <v>244</v>
      </c>
      <c r="Y83" s="8"/>
      <c r="Z83" s="8"/>
      <c r="AA83" s="8" t="s">
        <v>190</v>
      </c>
      <c r="AB83" s="10">
        <v>2958.2</v>
      </c>
      <c r="AC83" s="10">
        <v>0</v>
      </c>
      <c r="AD83" s="10">
        <v>0</v>
      </c>
      <c r="AE83" s="9">
        <v>46141</v>
      </c>
      <c r="AF83" s="10">
        <v>2958.2</v>
      </c>
      <c r="AG83" s="7">
        <v>121</v>
      </c>
      <c r="AH83" s="8" t="s">
        <v>92</v>
      </c>
      <c r="AI83" s="8" t="s">
        <v>374</v>
      </c>
      <c r="AJ83" s="8"/>
      <c r="AK83" s="8"/>
      <c r="AL83" s="7"/>
      <c r="AM83" s="8" t="s">
        <v>375</v>
      </c>
      <c r="AN83" s="8" t="s">
        <v>132</v>
      </c>
      <c r="AO83" s="9">
        <v>46133</v>
      </c>
    </row>
    <row r="84" spans="1:41" x14ac:dyDescent="0.25">
      <c r="A84" s="5" t="str">
        <f>IFERROR(IF(INDEX([4]DME!$A$2:$A$34,MATCH($D84,[4]DME!$D$2:$D$34,0))="","",INDEX([4]DME!$A$2:$A$34,MATCH($D84,[4]DME!$D$2:$D$34,0))),"")</f>
        <v>Under Review</v>
      </c>
      <c r="B84" s="5" t="str">
        <f>IFERROR(IF(INDEX([4]DME!$B$2:$B$34,MATCH($D84,[4]DME!$D$2:$D$34,0))="","",INDEX([4]DME!$B$2:$B$34,MATCH($D84,[4]DME!$D$2:$D$34,0))),"")</f>
        <v>Call 800-636-2123 - DND A6010 Preferred Homecare is responsible for these services. Please submit the claim to Preferred Homecare for consideration</v>
      </c>
      <c r="C84" s="6">
        <f>IFERROR(IF(INDEX([4]DME!$C$2:$C$34,MATCH($D84,[4]DME!$D$2:$D$34,0))="","",INDEX([4]DME!$C$2:$C$34,MATCH($D84,[4]DME!$D$2:$D$34,0))),"")</f>
        <v>46141</v>
      </c>
      <c r="D84" s="7">
        <v>556772233</v>
      </c>
      <c r="E84" s="8" t="s">
        <v>380</v>
      </c>
      <c r="F84" s="9">
        <v>46122</v>
      </c>
      <c r="G84" s="8" t="s">
        <v>148</v>
      </c>
      <c r="H84" s="8" t="s">
        <v>148</v>
      </c>
      <c r="I84" s="8" t="s">
        <v>185</v>
      </c>
      <c r="J84" s="8" t="s">
        <v>381</v>
      </c>
      <c r="K84" s="6" t="str">
        <f>IFERROR(IF(INDEX([4]DME!$K$2:$K$34,MATCH($D84,[4]DME!$D$2:$D$34,0))="","",INDEX([4]DME!$K$2:$K$34,MATCH($D84,[4]DME!$D$2:$D$34,0))),"")</f>
        <v/>
      </c>
      <c r="L84" s="11">
        <f ca="1">IF($O84="","",$O84-TODAY())</f>
        <v>-92</v>
      </c>
      <c r="M84" s="11">
        <f ca="1">IF(AND(TRIM($A84)="Finalized",$K84&lt;&gt;""),"",IF($C84="","",$C84+180-TODAY()))</f>
        <v>17</v>
      </c>
      <c r="N84" s="11">
        <f ca="1">IF(AND(TRIM($A84)="Finalized",$K84&lt;&gt;""),"",IF($C84="","",$C84+365-TODAY()))</f>
        <v>202</v>
      </c>
      <c r="O84" s="9">
        <f>IF(AND(TRIM($A84)="Finalized",$K84&lt;&gt;""),"",DATE(2026,7,9))</f>
        <v>46212</v>
      </c>
      <c r="P84" s="8" t="s">
        <v>86</v>
      </c>
      <c r="Q84" s="8" t="s">
        <v>152</v>
      </c>
      <c r="R84" s="8" t="s">
        <v>117</v>
      </c>
      <c r="S84" s="8" t="s">
        <v>74</v>
      </c>
      <c r="T84" s="8" t="s">
        <v>73</v>
      </c>
      <c r="U84" s="8" t="s">
        <v>74</v>
      </c>
      <c r="V84" s="8" t="s">
        <v>339</v>
      </c>
      <c r="W84" s="8" t="s">
        <v>89</v>
      </c>
      <c r="X84" s="8" t="s">
        <v>90</v>
      </c>
      <c r="Y84" s="8"/>
      <c r="Z84" s="8"/>
      <c r="AA84" s="8" t="s">
        <v>91</v>
      </c>
      <c r="AB84" s="10">
        <v>5916.4</v>
      </c>
      <c r="AC84" s="10">
        <v>0</v>
      </c>
      <c r="AD84" s="10">
        <v>0</v>
      </c>
      <c r="AE84" s="9">
        <v>46141</v>
      </c>
      <c r="AF84" s="10">
        <v>5916.4</v>
      </c>
      <c r="AG84" s="7">
        <v>120</v>
      </c>
      <c r="AH84" s="8" t="s">
        <v>92</v>
      </c>
      <c r="AI84" s="8"/>
      <c r="AJ84" s="8"/>
      <c r="AK84" s="8"/>
      <c r="AL84" s="7"/>
      <c r="AM84" s="8" t="s">
        <v>321</v>
      </c>
      <c r="AN84" s="8" t="s">
        <v>132</v>
      </c>
      <c r="AO84" s="9">
        <v>46133</v>
      </c>
    </row>
    <row r="85" spans="1:41" x14ac:dyDescent="0.25">
      <c r="A85" s="5" t="str">
        <f>IFERROR(IF(INDEX([5]DME!$A$2:$A$35,MATCH($D85,[5]DME!$D$2:$D$35,0))="","",INDEX([5]DME!$A$2:$A$35,MATCH($D85,[5]DME!$D$2:$D$35,0))),"")</f>
        <v>Denied</v>
      </c>
      <c r="B85" s="5" t="str">
        <f>IFERROR(IF(INDEX([5]DME!$B$2:$B$35,MATCH($D85,[5]DME!$D$2:$D$35,0))="","",INDEX([5]DME!$B$2:$B$35,MATCH($D85,[5]DME!$D$2:$D$35,0))),"")</f>
        <v>Shift to PT - ABN signed - Bundled remark - Rep Mark confirmed that Integra is the delegated DME vendor for this PT -  Provider OON with Devoted - Ref # CALLX8R53SRA</v>
      </c>
      <c r="C85" s="6">
        <f>IFERROR(IF(INDEX([5]DME!$C$2:$C$35,MATCH($D85,[5]DME!$D$2:$D$35,0))="","",INDEX([5]DME!$C$2:$C$35,MATCH($D85,[5]DME!$D$2:$D$35,0))),"")</f>
        <v>46162</v>
      </c>
      <c r="D85" s="7">
        <v>559115746</v>
      </c>
      <c r="E85" s="8" t="s">
        <v>362</v>
      </c>
      <c r="F85" s="9">
        <v>46153</v>
      </c>
      <c r="G85" s="8" t="s">
        <v>363</v>
      </c>
      <c r="H85" s="8" t="s">
        <v>363</v>
      </c>
      <c r="I85" s="8" t="s">
        <v>69</v>
      </c>
      <c r="J85" s="8" t="s">
        <v>382</v>
      </c>
      <c r="K85" s="6">
        <f>IFERROR(IF(INDEX([5]DME!$K$2:$K$35,MATCH($D85,[5]DME!$D$2:$D$35,0))="","",INDEX([5]DME!$K$2:$K$35,MATCH($D85,[5]DME!$D$2:$D$35,0))),"")</f>
        <v>46255</v>
      </c>
      <c r="L85" s="11">
        <f ca="1">IF($O85="","",$O85-TODAY())</f>
        <v>-91</v>
      </c>
      <c r="M85" s="11">
        <f ca="1">IF(AND(TRIM($A85)="Finalized",$K85&lt;&gt;""),"",IF($C85="","",$C85+365-TODAY()))</f>
        <v>223</v>
      </c>
      <c r="N85" s="11">
        <f ca="1">IF(AND(TRIM($A85)="Finalized",$K85&lt;&gt;""),"",IF($C85="","",$C85+90-TODAY()))</f>
        <v>-52</v>
      </c>
      <c r="O85" s="9">
        <f>IF(AND(TRIM($A85)="Finalized",$K85&lt;&gt;""),"",DATE(2026,7,10))</f>
        <v>46213</v>
      </c>
      <c r="P85" s="8" t="s">
        <v>71</v>
      </c>
      <c r="Q85" s="8" t="s">
        <v>364</v>
      </c>
      <c r="R85" s="8" t="s">
        <v>73</v>
      </c>
      <c r="S85" s="8" t="s">
        <v>74</v>
      </c>
      <c r="T85" s="8" t="s">
        <v>86</v>
      </c>
      <c r="U85" s="8" t="s">
        <v>74</v>
      </c>
      <c r="V85" s="8" t="s">
        <v>365</v>
      </c>
      <c r="W85" s="8" t="s">
        <v>89</v>
      </c>
      <c r="X85" s="8" t="s">
        <v>244</v>
      </c>
      <c r="Y85" s="8"/>
      <c r="Z85" s="8"/>
      <c r="AA85" s="8" t="s">
        <v>91</v>
      </c>
      <c r="AB85" s="10">
        <v>36353.800000000003</v>
      </c>
      <c r="AC85" s="10">
        <v>0</v>
      </c>
      <c r="AD85" s="10">
        <v>0</v>
      </c>
      <c r="AE85" s="9">
        <v>46162</v>
      </c>
      <c r="AF85" s="10">
        <v>36353.800000000003</v>
      </c>
      <c r="AG85" s="7">
        <v>89</v>
      </c>
      <c r="AH85" s="8" t="s">
        <v>92</v>
      </c>
      <c r="AI85" s="8"/>
      <c r="AJ85" s="8"/>
      <c r="AK85" s="8"/>
      <c r="AL85" s="7"/>
      <c r="AM85" s="8" t="s">
        <v>383</v>
      </c>
      <c r="AN85" s="8" t="s">
        <v>384</v>
      </c>
      <c r="AO85" s="9">
        <v>46155</v>
      </c>
    </row>
    <row r="86" spans="1:41" x14ac:dyDescent="0.25">
      <c r="A86" s="5" t="str">
        <f>IFERROR(IF(INDEX([4]DME!$A$2:$A$34,MATCH($D86,[4]DME!$D$2:$D$34,0))="","",INDEX([4]DME!$A$2:$A$34,MATCH($D86,[4]DME!$D$2:$D$34,0))),"")</f>
        <v>Under Review</v>
      </c>
      <c r="B86" s="5" t="str">
        <f>IFERROR(IF(INDEX([4]DME!$B$2:$B$34,MATCH($D86,[4]DME!$D$2:$D$34,0))="","",INDEX([4]DME!$B$2:$B$34,MATCH($D86,[4]DME!$D$2:$D$34,0))),"")</f>
        <v>Checking with Bri - Dr. Awnik Sarkar OON with member's Independence Blue Cross PPO - Devereux Benefit Plan</v>
      </c>
      <c r="C86" s="6">
        <f>IFERROR(IF(INDEX([4]DME!$C$2:$C$34,MATCH($D86,[4]DME!$D$2:$D$34,0))="","",INDEX([4]DME!$C$2:$C$34,MATCH($D86,[4]DME!$D$2:$D$34,0))),"")</f>
        <v>46141</v>
      </c>
      <c r="D86" s="7">
        <v>556801807</v>
      </c>
      <c r="E86" s="8" t="s">
        <v>234</v>
      </c>
      <c r="F86" s="9">
        <v>46125</v>
      </c>
      <c r="G86" s="8" t="s">
        <v>123</v>
      </c>
      <c r="H86" s="8" t="s">
        <v>123</v>
      </c>
      <c r="I86" s="8" t="s">
        <v>69</v>
      </c>
      <c r="J86" s="8" t="s">
        <v>373</v>
      </c>
      <c r="K86" s="6" t="str">
        <f>IFERROR(IF(INDEX([4]DME!$K$2:$K$34,MATCH($D86,[4]DME!$D$2:$D$34,0))="","",INDEX([4]DME!$K$2:$K$34,MATCH($D86,[4]DME!$D$2:$D$34,0))),"")</f>
        <v/>
      </c>
      <c r="L86" s="11">
        <f ca="1">IF($O86="","",$O86-TODAY())</f>
        <v>-89</v>
      </c>
      <c r="M86" s="11">
        <f ca="1">IF(AND(TRIM($A86)="Finalized",$K86&lt;&gt;""),"",IF($F86="","",$F86+90-TODAY()))</f>
        <v>-89</v>
      </c>
      <c r="N86" s="11">
        <f ca="1">IF(AND(TRIM($A86)="Finalized",$K86&lt;&gt;""),"",IF($C86="","",$C86+365-TODAY()))</f>
        <v>202</v>
      </c>
      <c r="O86" s="9">
        <f>IF(AND(TRIM($A86)="Finalized",$K86&lt;&gt;""),"",DATE(2026,7,12))</f>
        <v>46215</v>
      </c>
      <c r="P86" s="8" t="s">
        <v>86</v>
      </c>
      <c r="Q86" s="8" t="s">
        <v>125</v>
      </c>
      <c r="R86" s="8" t="s">
        <v>86</v>
      </c>
      <c r="S86" s="8" t="s">
        <v>88</v>
      </c>
      <c r="T86" s="8" t="s">
        <v>73</v>
      </c>
      <c r="U86" s="8" t="s">
        <v>74</v>
      </c>
      <c r="V86" s="8" t="s">
        <v>339</v>
      </c>
      <c r="W86" s="8" t="s">
        <v>89</v>
      </c>
      <c r="X86" s="8" t="s">
        <v>244</v>
      </c>
      <c r="Y86" s="8"/>
      <c r="Z86" s="8"/>
      <c r="AA86" s="8" t="s">
        <v>190</v>
      </c>
      <c r="AB86" s="10">
        <v>2958.2</v>
      </c>
      <c r="AC86" s="10">
        <v>0</v>
      </c>
      <c r="AD86" s="10">
        <v>0</v>
      </c>
      <c r="AE86" s="9">
        <v>46141</v>
      </c>
      <c r="AF86" s="10">
        <v>2958.2</v>
      </c>
      <c r="AG86" s="7">
        <v>117</v>
      </c>
      <c r="AH86" s="8" t="s">
        <v>92</v>
      </c>
      <c r="AI86" s="8" t="s">
        <v>389</v>
      </c>
      <c r="AJ86" s="8"/>
      <c r="AK86" s="8"/>
      <c r="AL86" s="7"/>
      <c r="AM86" s="8" t="s">
        <v>126</v>
      </c>
      <c r="AN86" s="8" t="s">
        <v>95</v>
      </c>
      <c r="AO86" s="9">
        <v>46134</v>
      </c>
    </row>
    <row r="87" spans="1:41" x14ac:dyDescent="0.25">
      <c r="A87" s="5" t="str">
        <f>IFERROR(IF(INDEX([4]GAE!$A$2:$A$8,MATCH($D87,[4]GAE!$D$2:$D$8,0))="","",INDEX([4]GAE!$A$2:$A$8,MATCH($D87,[4]GAE!$D$2:$D$8,0))),"")</f>
        <v>Under Review</v>
      </c>
      <c r="B87" s="5" t="str">
        <f>IFERROR(IF(INDEX([4]GAE!$B$2:$B$8,MATCH($D87,[4]GAE!$D$2:$D$8,0))="","",INDEX([4]GAE!$B$2:$B$8,MATCH($D87,[4]GAE!$D$2:$D$8,0))),"")</f>
        <v xml:space="preserve">DND 36248 due to exceeded MUE - DND 36245, 36246, and 75710 due to invalid dx </v>
      </c>
      <c r="C87" s="6">
        <f>IFERROR(IF(INDEX([4]GAE!$C$2:$C$8,MATCH($D87,[4]GAE!$D$2:$D$8,0))="","",INDEX([4]GAE!$C$2:$C$8,MATCH($D87,[4]GAE!$D$2:$D$8,0))),"")</f>
        <v>46162</v>
      </c>
      <c r="D87" s="7">
        <v>558686340</v>
      </c>
      <c r="E87" s="8" t="s">
        <v>390</v>
      </c>
      <c r="F87" s="9">
        <v>46125</v>
      </c>
      <c r="G87" s="8" t="s">
        <v>174</v>
      </c>
      <c r="H87" s="8" t="s">
        <v>174</v>
      </c>
      <c r="I87" s="8" t="s">
        <v>69</v>
      </c>
      <c r="J87" s="8" t="s">
        <v>391</v>
      </c>
      <c r="K87" s="6" t="str">
        <f>IFERROR(IF(INDEX([4]GAE!$K$2:$K$8,MATCH($D87,[4]GAE!$D$2:$D$8,0))="","",INDEX([4]GAE!$K$2:$K$8,MATCH($D87,[4]GAE!$D$2:$D$8,0))),"")</f>
        <v/>
      </c>
      <c r="L87" s="11">
        <f ca="1">IF($O87="","",$O87-TODAY())</f>
        <v>-89</v>
      </c>
      <c r="M87" s="11">
        <f ca="1">IF(AND(TRIM($A87)="Finalized",$K87&lt;&gt;""),"",IF($F87="","",$F87+90-TODAY()))</f>
        <v>-89</v>
      </c>
      <c r="N87" s="11">
        <f ca="1">IF(AND(TRIM($A87)="Finalized",$K87&lt;&gt;""),"",IF($C87="","",$C87+180-TODAY()))</f>
        <v>38</v>
      </c>
      <c r="O87" s="9">
        <f>IF(AND(TRIM($A87)="Finalized",$K87&lt;&gt;""),"",DATE(2026,7,12))</f>
        <v>46215</v>
      </c>
      <c r="P87" s="8" t="s">
        <v>86</v>
      </c>
      <c r="Q87" s="8" t="s">
        <v>144</v>
      </c>
      <c r="R87" s="8" t="s">
        <v>86</v>
      </c>
      <c r="S87" s="8" t="s">
        <v>88</v>
      </c>
      <c r="T87" s="8" t="s">
        <v>117</v>
      </c>
      <c r="U87" s="8" t="s">
        <v>74</v>
      </c>
      <c r="V87" s="8" t="s">
        <v>339</v>
      </c>
      <c r="W87" s="8" t="s">
        <v>101</v>
      </c>
      <c r="X87" s="8" t="s">
        <v>392</v>
      </c>
      <c r="Y87" s="8" t="s">
        <v>153</v>
      </c>
      <c r="Z87" s="8"/>
      <c r="AA87" s="8" t="s">
        <v>104</v>
      </c>
      <c r="AB87" s="10">
        <v>17767.189999999999</v>
      </c>
      <c r="AC87" s="10">
        <v>0</v>
      </c>
      <c r="AD87" s="10">
        <v>0</v>
      </c>
      <c r="AE87" s="9">
        <v>46162</v>
      </c>
      <c r="AF87" s="10">
        <v>17767.189999999999</v>
      </c>
      <c r="AG87" s="7">
        <v>117</v>
      </c>
      <c r="AH87" s="8" t="s">
        <v>329</v>
      </c>
      <c r="AI87" s="8" t="s">
        <v>106</v>
      </c>
      <c r="AJ87" s="8" t="s">
        <v>361</v>
      </c>
      <c r="AK87" s="8"/>
      <c r="AL87" s="7"/>
      <c r="AM87" s="8" t="s">
        <v>108</v>
      </c>
      <c r="AN87" s="8" t="s">
        <v>132</v>
      </c>
      <c r="AO87" s="9">
        <v>46152</v>
      </c>
    </row>
    <row r="88" spans="1:41" x14ac:dyDescent="0.25">
      <c r="A88" s="5" t="str">
        <f>IFERROR(IF(INDEX([4]BH!$A$2:$A$12,MATCH($D88,[4]BH!$D$2:$D$12,0))="","",INDEX([4]BH!$A$2:$A$12,MATCH($D88,[4]BH!$D$2:$D$12,0))),"")</f>
        <v>Denied</v>
      </c>
      <c r="B88" s="5" t="str">
        <f>IFERROR(IF(INDEX([4]BH!$B$2:$B$12,MATCH($D88,[4]BH!$D$2:$D$12,0))="","",INDEX([4]BH!$B$2:$B$12,MATCH($D88,[4]BH!$D$2:$D$12,0))),"")</f>
        <v>Waiting to post and adjust balance - DND The time limit for filing has expired - Added Date of Current Illness, claim note, and resubmitted</v>
      </c>
      <c r="C88" s="6">
        <f>IFERROR(IF(INDEX([4]BH!$C$2:$C$12,MATCH($D88,[4]BH!$D$2:$D$12,0))="","",INDEX([4]BH!$C$2:$C$12,MATCH($D88,[4]BH!$D$2:$D$12,0))),"")</f>
        <v>46262</v>
      </c>
      <c r="D88" s="7">
        <v>556413148</v>
      </c>
      <c r="E88" s="8" t="s">
        <v>287</v>
      </c>
      <c r="F88" s="9">
        <v>46127</v>
      </c>
      <c r="G88" s="8" t="s">
        <v>134</v>
      </c>
      <c r="H88" s="8" t="s">
        <v>134</v>
      </c>
      <c r="I88" s="8" t="s">
        <v>69</v>
      </c>
      <c r="J88" s="8" t="s">
        <v>223</v>
      </c>
      <c r="K88" s="6">
        <f>IFERROR(IF(INDEX([4]BH!$K$2:$K$12,MATCH($D88,[4]BH!$D$2:$D$12,0))="","",INDEX([4]BH!$K$2:$K$12,MATCH($D88,[4]BH!$D$2:$D$12,0))),"")</f>
        <v>46257</v>
      </c>
      <c r="L88" s="11">
        <f ca="1">IF($O88="","",$O88-TODAY())</f>
        <v>-87</v>
      </c>
      <c r="M88" s="11">
        <f ca="1">IF(AND(TRIM($A88)="Finalized",$K88&lt;&gt;""),"",IF($C88="","",$C88+365-TODAY()))</f>
        <v>323</v>
      </c>
      <c r="N88" s="11">
        <f ca="1">IF(AND(TRIM($A88)="Finalized",$K88&lt;&gt;""),"",IF($C88="","",$C88+365-TODAY()))</f>
        <v>323</v>
      </c>
      <c r="O88" s="9">
        <f>IF(AND(TRIM($A88)="Finalized",$K88&lt;&gt;""),"",DATE(2026,7,14))</f>
        <v>46217</v>
      </c>
      <c r="P88" s="8" t="s">
        <v>86</v>
      </c>
      <c r="Q88" s="8" t="s">
        <v>136</v>
      </c>
      <c r="R88" s="8" t="s">
        <v>73</v>
      </c>
      <c r="S88" s="8" t="s">
        <v>74</v>
      </c>
      <c r="T88" s="8" t="s">
        <v>73</v>
      </c>
      <c r="U88" s="8" t="s">
        <v>74</v>
      </c>
      <c r="V88" s="8" t="s">
        <v>339</v>
      </c>
      <c r="W88" s="8" t="s">
        <v>118</v>
      </c>
      <c r="X88" s="8"/>
      <c r="Y88" s="8"/>
      <c r="Z88" s="8"/>
      <c r="AA88" s="8" t="s">
        <v>112</v>
      </c>
      <c r="AB88" s="10">
        <v>1769.18</v>
      </c>
      <c r="AC88" s="10">
        <v>0</v>
      </c>
      <c r="AD88" s="10">
        <v>0</v>
      </c>
      <c r="AE88" s="9"/>
      <c r="AF88" s="10">
        <v>1769.18</v>
      </c>
      <c r="AG88" s="7">
        <v>115</v>
      </c>
      <c r="AH88" s="8" t="s">
        <v>161</v>
      </c>
      <c r="AI88" s="8"/>
      <c r="AJ88" s="8"/>
      <c r="AK88" s="8"/>
      <c r="AL88" s="7"/>
      <c r="AM88" s="8" t="s">
        <v>146</v>
      </c>
      <c r="AN88" s="8" t="s">
        <v>132</v>
      </c>
      <c r="AO88" s="9">
        <v>46153</v>
      </c>
    </row>
    <row r="89" spans="1:41" x14ac:dyDescent="0.25">
      <c r="A89" s="5" t="str">
        <f>IFERROR(IF(INDEX([4]ORTHO!$A$2:$A$21,MATCH($D89,[4]ORTHO!$D$2:$D$21,0))="","",INDEX([4]ORTHO!$A$2:$A$21,MATCH($D89,[4]ORTHO!$D$2:$D$21,0))),"")</f>
        <v>Denied</v>
      </c>
      <c r="B89" s="5" t="str">
        <f>IFERROR(IF(INDEX([4]ORTHO!$B$2:$B$21,MATCH($D89,[4]ORTHO!$D$2:$D$21,0))="","",INDEX([4]ORTHO!$B$2:$B$21,MATCH($D89,[4]ORTHO!$D$2:$D$21,0))),"")</f>
        <v>Uploaded MR - PIQ-90772754 - Delete 20936, and resubmitted</v>
      </c>
      <c r="C89" s="6">
        <f>IFERROR(IF(INDEX([4]ORTHO!$C$2:$C$21,MATCH($D89,[4]ORTHO!$D$2:$D$21,0))="","",INDEX([4]ORTHO!$C$2:$C$21,MATCH($D89,[4]ORTHO!$D$2:$D$21,0))),"")</f>
        <v>46252</v>
      </c>
      <c r="D89" s="7">
        <v>556717576</v>
      </c>
      <c r="E89" s="8" t="s">
        <v>393</v>
      </c>
      <c r="F89" s="9">
        <v>46127</v>
      </c>
      <c r="G89" s="8" t="s">
        <v>237</v>
      </c>
      <c r="H89" s="8" t="s">
        <v>237</v>
      </c>
      <c r="I89" s="8" t="s">
        <v>69</v>
      </c>
      <c r="J89" s="8" t="s">
        <v>394</v>
      </c>
      <c r="K89" s="6">
        <f>IFERROR(IF(INDEX([4]ORTHO!$K$2:$K$21,MATCH($D89,[4]ORTHO!$D$2:$D$21,0))="","",INDEX([4]ORTHO!$K$2:$K$21,MATCH($D89,[4]ORTHO!$D$2:$D$21,0))),"")</f>
        <v>46278</v>
      </c>
      <c r="L89" s="11">
        <f ca="1">IF($O89="","",$O89-TODAY())</f>
        <v>-87</v>
      </c>
      <c r="M89" s="11">
        <f ca="1">IF(AND(TRIM($A89)="Finalized",$K89&lt;&gt;""),"",IF($C89="","",$C89+180-TODAY()))</f>
        <v>128</v>
      </c>
      <c r="N89" s="11">
        <f ca="1">IF(AND(TRIM($A89)="Finalized",$K89&lt;&gt;""),"",IF($C89="","",$C89+365-TODAY()))</f>
        <v>313</v>
      </c>
      <c r="O89" s="9">
        <f>IF(AND(TRIM($A89)="Finalized",$K89&lt;&gt;""),"",DATE(2026,7,14))</f>
        <v>46217</v>
      </c>
      <c r="P89" s="8" t="s">
        <v>86</v>
      </c>
      <c r="Q89" s="8" t="s">
        <v>239</v>
      </c>
      <c r="R89" s="8" t="s">
        <v>117</v>
      </c>
      <c r="S89" s="8" t="s">
        <v>74</v>
      </c>
      <c r="T89" s="8" t="s">
        <v>73</v>
      </c>
      <c r="U89" s="8" t="s">
        <v>74</v>
      </c>
      <c r="V89" s="8" t="s">
        <v>339</v>
      </c>
      <c r="W89" s="8" t="s">
        <v>76</v>
      </c>
      <c r="X89" s="8" t="s">
        <v>102</v>
      </c>
      <c r="Y89" s="8"/>
      <c r="Z89" s="8"/>
      <c r="AA89" s="8" t="s">
        <v>77</v>
      </c>
      <c r="AB89" s="10">
        <v>20158.46</v>
      </c>
      <c r="AC89" s="10">
        <v>0</v>
      </c>
      <c r="AD89" s="10">
        <v>0</v>
      </c>
      <c r="AE89" s="9"/>
      <c r="AF89" s="10">
        <v>20158.46</v>
      </c>
      <c r="AG89" s="7">
        <v>115</v>
      </c>
      <c r="AH89" s="8" t="s">
        <v>285</v>
      </c>
      <c r="AI89" s="8" t="s">
        <v>308</v>
      </c>
      <c r="AJ89" s="8" t="s">
        <v>395</v>
      </c>
      <c r="AK89" s="8"/>
      <c r="AL89" s="7"/>
      <c r="AM89" s="8" t="s">
        <v>272</v>
      </c>
      <c r="AN89" s="8" t="s">
        <v>109</v>
      </c>
      <c r="AO89" s="9">
        <v>46197</v>
      </c>
    </row>
    <row r="90" spans="1:41" x14ac:dyDescent="0.25">
      <c r="A90" s="5" t="str">
        <f>IFERROR(IF(INDEX([4]DME!$A$2:$A$34,MATCH($D90,[4]DME!$D$2:$D$34,0))="","",INDEX([4]DME!$A$2:$A$34,MATCH($D90,[4]DME!$D$2:$D$34,0))),"")</f>
        <v>Denied</v>
      </c>
      <c r="B90" s="5" t="str">
        <f>IFERROR(IF(INDEX([4]DME!$B$2:$B$34,MATCH($D90,[4]DME!$D$2:$D$34,0))="","",INDEX([4]DME!$B$2:$B$34,MATCH($D90,[4]DME!$D$2:$D$34,0))),"")</f>
        <v xml:space="preserve">Uploaded missing MR to PIQ-85007180 - Jess uploaded POD </v>
      </c>
      <c r="C90" s="6">
        <f>IFERROR(IF(INDEX([4]DME!$C$2:$C$34,MATCH($D90,[4]DME!$D$2:$D$34,0))="","",INDEX([4]DME!$C$2:$C$34,MATCH($D90,[4]DME!$D$2:$D$34,0))),"")</f>
        <v>46156</v>
      </c>
      <c r="D90" s="7">
        <v>561043971</v>
      </c>
      <c r="E90" s="8" t="s">
        <v>398</v>
      </c>
      <c r="F90" s="9">
        <v>46128</v>
      </c>
      <c r="G90" s="8" t="s">
        <v>148</v>
      </c>
      <c r="H90" s="8" t="s">
        <v>148</v>
      </c>
      <c r="I90" s="8" t="s">
        <v>69</v>
      </c>
      <c r="J90" s="8" t="s">
        <v>289</v>
      </c>
      <c r="K90" s="6">
        <f>IFERROR(IF(INDEX([4]DME!$K$2:$K$34,MATCH($D90,[4]DME!$D$2:$D$34,0))="","",INDEX([4]DME!$K$2:$K$34,MATCH($D90,[4]DME!$D$2:$D$34,0))),"")</f>
        <v>46285</v>
      </c>
      <c r="L90" s="11">
        <f ca="1">IF($O90="","",$O90-TODAY())</f>
        <v>-86</v>
      </c>
      <c r="M90" s="11">
        <f ca="1">IF(AND(TRIM($A90)="Finalized",$K90&lt;&gt;""),"",IF($C90="","",$C90+180-TODAY()))</f>
        <v>32</v>
      </c>
      <c r="N90" s="11">
        <f ca="1">IF(AND(TRIM($A90)="Finalized",$K90&lt;&gt;""),"",IF($C90="","",$C90+365-TODAY()))</f>
        <v>217</v>
      </c>
      <c r="O90" s="9">
        <f>IF(AND(TRIM($A90)="Finalized",$K90&lt;&gt;""),"",DATE(2026,7,15))</f>
        <v>46218</v>
      </c>
      <c r="P90" s="8" t="s">
        <v>86</v>
      </c>
      <c r="Q90" s="8" t="s">
        <v>152</v>
      </c>
      <c r="R90" s="8" t="s">
        <v>117</v>
      </c>
      <c r="S90" s="8" t="s">
        <v>74</v>
      </c>
      <c r="T90" s="8" t="s">
        <v>73</v>
      </c>
      <c r="U90" s="8" t="s">
        <v>74</v>
      </c>
      <c r="V90" s="8" t="s">
        <v>339</v>
      </c>
      <c r="W90" s="8" t="s">
        <v>89</v>
      </c>
      <c r="X90" s="8" t="s">
        <v>290</v>
      </c>
      <c r="Y90" s="8"/>
      <c r="Z90" s="8"/>
      <c r="AA90" s="8" t="s">
        <v>77</v>
      </c>
      <c r="AB90" s="10">
        <v>6392.96</v>
      </c>
      <c r="AC90" s="10">
        <v>0</v>
      </c>
      <c r="AD90" s="10">
        <v>0</v>
      </c>
      <c r="AE90" s="9">
        <v>46156</v>
      </c>
      <c r="AF90" s="10">
        <v>6392.96</v>
      </c>
      <c r="AG90" s="7">
        <v>114</v>
      </c>
      <c r="AH90" s="8" t="s">
        <v>79</v>
      </c>
      <c r="AI90" s="8"/>
      <c r="AJ90" s="8"/>
      <c r="AK90" s="8"/>
      <c r="AL90" s="7"/>
      <c r="AM90" s="8" t="s">
        <v>217</v>
      </c>
      <c r="AN90" s="8" t="s">
        <v>132</v>
      </c>
      <c r="AO90" s="9">
        <v>46143</v>
      </c>
    </row>
    <row r="91" spans="1:41" x14ac:dyDescent="0.25">
      <c r="A91" s="5" t="str">
        <f>IFERROR(IF(INDEX([4]DME!$A$2:$A$34,MATCH($D91,[4]DME!$D$2:$D$34,0))="","",INDEX([4]DME!$A$2:$A$34,MATCH($D91,[4]DME!$D$2:$D$34,0))),"")</f>
        <v>Under Review</v>
      </c>
      <c r="B91" s="5" t="str">
        <f>IFERROR(IF(INDEX([4]DME!$B$2:$B$34,MATCH($D91,[4]DME!$D$2:$D$34,0))="","",INDEX([4]DME!$B$2:$B$34,MATCH($D91,[4]DME!$D$2:$D$34,0))),"")</f>
        <v>Call 800-636-2123 - DND A6010 Preferred Homecare is responsible for these services. Please submit the claim to Preferred Homecare for consideration</v>
      </c>
      <c r="C91" s="6">
        <f>IFERROR(IF(INDEX([4]DME!$C$2:$C$34,MATCH($D91,[4]DME!$D$2:$D$34,0))="","",INDEX([4]DME!$C$2:$C$34,MATCH($D91,[4]DME!$D$2:$D$34,0))),"")</f>
        <v>46143</v>
      </c>
      <c r="D91" s="7">
        <v>565388312</v>
      </c>
      <c r="E91" s="8" t="s">
        <v>353</v>
      </c>
      <c r="F91" s="9">
        <v>46128</v>
      </c>
      <c r="G91" s="8" t="s">
        <v>148</v>
      </c>
      <c r="H91" s="8" t="s">
        <v>148</v>
      </c>
      <c r="I91" s="8" t="s">
        <v>69</v>
      </c>
      <c r="J91" s="8" t="s">
        <v>243</v>
      </c>
      <c r="K91" s="6" t="str">
        <f>IFERROR(IF(INDEX([4]DME!$K$2:$K$34,MATCH($D91,[4]DME!$D$2:$D$34,0))="","",INDEX([4]DME!$K$2:$K$34,MATCH($D91,[4]DME!$D$2:$D$34,0))),"")</f>
        <v/>
      </c>
      <c r="L91" s="11">
        <f ca="1">IF($O91="","",$O91-TODAY())</f>
        <v>-86</v>
      </c>
      <c r="M91" s="11">
        <f ca="1">IF(AND(TRIM($A91)="Finalized",$K91&lt;&gt;""),"",IF($C91="","",$C91+180-TODAY()))</f>
        <v>19</v>
      </c>
      <c r="N91" s="11">
        <f ca="1">IF(AND(TRIM($A91)="Finalized",$K91&lt;&gt;""),"",IF($C91="","",$C91+365-TODAY()))</f>
        <v>204</v>
      </c>
      <c r="O91" s="9">
        <f>IF(AND(TRIM($A91)="Finalized",$K91&lt;&gt;""),"",DATE(2026,7,15))</f>
        <v>46218</v>
      </c>
      <c r="P91" s="8" t="s">
        <v>86</v>
      </c>
      <c r="Q91" s="8" t="s">
        <v>152</v>
      </c>
      <c r="R91" s="8" t="s">
        <v>117</v>
      </c>
      <c r="S91" s="8" t="s">
        <v>74</v>
      </c>
      <c r="T91" s="8" t="s">
        <v>73</v>
      </c>
      <c r="U91" s="8" t="s">
        <v>74</v>
      </c>
      <c r="V91" s="8" t="s">
        <v>339</v>
      </c>
      <c r="W91" s="8" t="s">
        <v>89</v>
      </c>
      <c r="X91" s="8" t="s">
        <v>244</v>
      </c>
      <c r="Y91" s="8"/>
      <c r="Z91" s="8"/>
      <c r="AA91" s="8" t="s">
        <v>91</v>
      </c>
      <c r="AB91" s="10">
        <v>5916.4</v>
      </c>
      <c r="AC91" s="10">
        <v>0</v>
      </c>
      <c r="AD91" s="10">
        <v>0</v>
      </c>
      <c r="AE91" s="9">
        <v>46143</v>
      </c>
      <c r="AF91" s="10">
        <v>5916.4</v>
      </c>
      <c r="AG91" s="7">
        <v>114</v>
      </c>
      <c r="AH91" s="8" t="s">
        <v>92</v>
      </c>
      <c r="AI91" s="8" t="s">
        <v>79</v>
      </c>
      <c r="AJ91" s="8"/>
      <c r="AK91" s="8"/>
      <c r="AL91" s="7"/>
      <c r="AM91" s="8" t="s">
        <v>399</v>
      </c>
      <c r="AN91" s="8" t="s">
        <v>132</v>
      </c>
      <c r="AO91" s="9">
        <v>46134</v>
      </c>
    </row>
    <row r="92" spans="1:41" x14ac:dyDescent="0.25">
      <c r="A92" s="5" t="str">
        <f>IFERROR(IF(INDEX([3]BH!$A$2:$A$32,MATCH($D92,[3]BH!$D$2:$D$32,0))="","",INDEX([3]BH!$A$2:$A$32,MATCH($D92,[3]BH!$D$2:$D$32,0))),"")</f>
        <v>Pending</v>
      </c>
      <c r="B92" s="5" t="str">
        <f>IFERROR(IF(INDEX([3]BH!$B$2:$B$32,MATCH($D92,[3]BH!$D$2:$D$32,0))="","",INDEX([3]BH!$B$2:$B$32,MATCH($D92,[3]BH!$D$2:$D$32,0))),"")</f>
        <v>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
      <c r="C92" s="6">
        <f>IFERROR(IF(INDEX([3]BH!$C$2:$C$32,MATCH($D92,[3]BH!$D$2:$D$32,0))="","",INDEX([3]BH!$C$2:$C$32,MATCH($D92,[3]BH!$D$2:$D$32,0))),"")</f>
        <v>46184</v>
      </c>
      <c r="D92" s="7">
        <v>553283455</v>
      </c>
      <c r="E92" s="8" t="s">
        <v>401</v>
      </c>
      <c r="F92" s="9">
        <v>46100</v>
      </c>
      <c r="G92" s="8" t="s">
        <v>402</v>
      </c>
      <c r="H92" s="8" t="s">
        <v>402</v>
      </c>
      <c r="I92" s="8" t="s">
        <v>69</v>
      </c>
      <c r="J92" s="8" t="s">
        <v>195</v>
      </c>
      <c r="K92" s="6">
        <f>IFERROR(IF(INDEX([3]BH!$K$2:$K$32,MATCH($D92,[3]BH!$D$2:$D$32,0))="","",INDEX([3]BH!$K$2:$K$32,MATCH($D92,[3]BH!$D$2:$D$32,0))),"")</f>
        <v>46300</v>
      </c>
      <c r="L92" s="11">
        <f ca="1">IF($O92="","",$O92-TODAY())</f>
        <v>-84</v>
      </c>
      <c r="M92" s="11">
        <f ca="1">IF(AND(TRIM($A92)="Finalized",$K92&lt;&gt;""),"",IF($C92="","",$C92+180-TODAY()))</f>
        <v>60</v>
      </c>
      <c r="N92" s="11">
        <f ca="1">IF(AND(TRIM($A92)="Finalized",$K92&lt;&gt;""),"",IF($C92="","",$C92+180-TODAY()))</f>
        <v>60</v>
      </c>
      <c r="O92" s="9">
        <f>IF(AND(TRIM($A92)="Finalized",$K92&lt;&gt;""),"",DATE(2026,7,17))</f>
        <v>46220</v>
      </c>
      <c r="P92" s="8" t="s">
        <v>208</v>
      </c>
      <c r="Q92" s="8" t="s">
        <v>379</v>
      </c>
      <c r="R92" s="8" t="s">
        <v>117</v>
      </c>
      <c r="S92" s="8" t="s">
        <v>74</v>
      </c>
      <c r="T92" s="8" t="s">
        <v>117</v>
      </c>
      <c r="U92" s="8" t="s">
        <v>74</v>
      </c>
      <c r="V92" s="8" t="s">
        <v>256</v>
      </c>
      <c r="W92" s="8" t="s">
        <v>118</v>
      </c>
      <c r="X92" s="8"/>
      <c r="Y92" s="8"/>
      <c r="Z92" s="8"/>
      <c r="AA92" s="8" t="s">
        <v>77</v>
      </c>
      <c r="AB92" s="10">
        <v>1426.25</v>
      </c>
      <c r="AC92" s="10">
        <v>0</v>
      </c>
      <c r="AD92" s="10">
        <v>0</v>
      </c>
      <c r="AE92" s="9">
        <v>46184</v>
      </c>
      <c r="AF92" s="10">
        <v>1426.25</v>
      </c>
      <c r="AG92" s="7">
        <v>142</v>
      </c>
      <c r="AH92" s="8" t="s">
        <v>201</v>
      </c>
      <c r="AI92" s="8"/>
      <c r="AJ92" s="8"/>
      <c r="AK92" s="8"/>
      <c r="AL92" s="7"/>
      <c r="AM92" s="8" t="s">
        <v>146</v>
      </c>
      <c r="AN92" s="8" t="s">
        <v>132</v>
      </c>
      <c r="AO92" s="9">
        <v>46119</v>
      </c>
    </row>
    <row r="93" spans="1:41" x14ac:dyDescent="0.25">
      <c r="A93" s="5" t="str">
        <f>IFERROR(IF(INDEX([5]BH!$A$2:$A$33,MATCH($D93,[5]BH!$D$2:$D$33,0))="","",INDEX([5]BH!$A$2:$A$33,MATCH($D93,[5]BH!$D$2:$D$33,0))),"")</f>
        <v>Pending</v>
      </c>
      <c r="B93" s="5" t="str">
        <f>IFERROR(IF(INDEX([5]BH!$B$2:$B$33,MATCH($D93,[5]BH!$D$2:$D$33,0))="","",INDEX([5]BH!$B$2:$B$33,MATCH($D93,[5]BH!$D$2:$D$33,0))),"")</f>
        <v>Requested Linda W. fax medical records to 480-499-8744 - TAT I have to send MR 08/18/2026</v>
      </c>
      <c r="C93" s="6">
        <f>IFERROR(IF(INDEX([5]BH!$C$2:$C$33,MATCH($D93,[5]BH!$D$2:$D$33,0))="","",INDEX([5]BH!$C$2:$C$33,MATCH($D93,[5]BH!$D$2:$D$33,0))),"")</f>
        <v>46217</v>
      </c>
      <c r="D93" s="7">
        <v>559861642</v>
      </c>
      <c r="E93" s="8" t="s">
        <v>403</v>
      </c>
      <c r="F93" s="9">
        <v>46161</v>
      </c>
      <c r="G93" s="8" t="s">
        <v>68</v>
      </c>
      <c r="H93" s="8" t="s">
        <v>68</v>
      </c>
      <c r="I93" s="8" t="s">
        <v>69</v>
      </c>
      <c r="J93" s="8" t="s">
        <v>124</v>
      </c>
      <c r="K93" s="6">
        <f>IFERROR(IF(INDEX([5]BH!$K$2:$K$33,MATCH($D93,[5]BH!$D$2:$D$33,0))="","",INDEX([5]BH!$K$2:$K$33,MATCH($D93,[5]BH!$D$2:$D$33,0))),"")</f>
        <v>46247</v>
      </c>
      <c r="L93" s="11">
        <f ca="1">IF($O93="","",$O93-TODAY())</f>
        <v>-83</v>
      </c>
      <c r="M93" s="11">
        <f ca="1">IF(AND(TRIM($A93)="Finalized",$K93&lt;&gt;""),"",IF($C93="","",$C93+365-TODAY()))</f>
        <v>278</v>
      </c>
      <c r="N93" s="11">
        <f ca="1">IF(AND(TRIM($A93)="Finalized",$K93&lt;&gt;""),"",IF($C93="","",$C93+365-TODAY()))</f>
        <v>278</v>
      </c>
      <c r="O93" s="9">
        <f>IF(AND(TRIM($A93)="Finalized",$K93&lt;&gt;""),"",DATE(2026,7,18))</f>
        <v>46221</v>
      </c>
      <c r="P93" s="8" t="s">
        <v>71</v>
      </c>
      <c r="Q93" s="8" t="s">
        <v>72</v>
      </c>
      <c r="R93" s="8" t="s">
        <v>73</v>
      </c>
      <c r="S93" s="8" t="s">
        <v>74</v>
      </c>
      <c r="T93" s="8" t="s">
        <v>73</v>
      </c>
      <c r="U93" s="8" t="s">
        <v>74</v>
      </c>
      <c r="V93" s="8" t="s">
        <v>365</v>
      </c>
      <c r="W93" s="8" t="s">
        <v>118</v>
      </c>
      <c r="X93" s="8"/>
      <c r="Y93" s="8"/>
      <c r="Z93" s="8"/>
      <c r="AA93" s="8" t="s">
        <v>77</v>
      </c>
      <c r="AB93" s="10">
        <v>1426.25</v>
      </c>
      <c r="AC93" s="10">
        <v>0</v>
      </c>
      <c r="AD93" s="10">
        <v>0</v>
      </c>
      <c r="AE93" s="9">
        <v>46217</v>
      </c>
      <c r="AF93" s="10">
        <v>1426.25</v>
      </c>
      <c r="AG93" s="7">
        <v>81</v>
      </c>
      <c r="AH93" s="8" t="s">
        <v>119</v>
      </c>
      <c r="AI93" s="8"/>
      <c r="AJ93" s="8"/>
      <c r="AK93" s="8"/>
      <c r="AL93" s="7"/>
      <c r="AM93" s="8" t="s">
        <v>126</v>
      </c>
      <c r="AN93" s="8" t="s">
        <v>121</v>
      </c>
      <c r="AO93" s="9">
        <v>46181</v>
      </c>
    </row>
    <row r="94" spans="1:41" x14ac:dyDescent="0.25">
      <c r="A94" s="5" t="str">
        <f>IFERROR(IF(INDEX([3]ORTHO!$A$2:$A$16,MATCH($D94,[3]ORTHO!$D$2:$D$16,0))="","",INDEX([3]ORTHO!$A$2:$A$16,MATCH($D94,[3]ORTHO!$D$2:$D$16,0))),"")</f>
        <v>Pending</v>
      </c>
      <c r="B94" s="5" t="str">
        <f>IFERROR(IF(INDEX([3]ORTHO!$B$2:$B$16,MATCH($D94,[3]ORTHO!$D$2:$D$16,0))="","",INDEX([3]ORTHO!$B$2:$B$16,MATCH($D94,[3]ORTHO!$D$2:$D$16,0))),"")</f>
        <v>secondary - Primary paid</v>
      </c>
      <c r="C94" s="6">
        <f>IFERROR(IF(INDEX([3]ORTHO!$C$2:$C$16,MATCH($D94,[3]ORTHO!$D$2:$D$16,0))="","",INDEX([3]ORTHO!$C$2:$C$16,MATCH($D94,[3]ORTHO!$D$2:$D$16,0))),"")</f>
        <v>46163</v>
      </c>
      <c r="D94" s="7">
        <v>553378154</v>
      </c>
      <c r="E94" s="8" t="s">
        <v>404</v>
      </c>
      <c r="F94" s="9">
        <v>46101</v>
      </c>
      <c r="G94" s="8" t="s">
        <v>405</v>
      </c>
      <c r="H94" s="8" t="s">
        <v>405</v>
      </c>
      <c r="I94" s="8" t="s">
        <v>69</v>
      </c>
      <c r="J94" s="8" t="s">
        <v>143</v>
      </c>
      <c r="K94" s="6">
        <f>IFERROR(IF(INDEX([3]ORTHO!$K$2:$K$16,MATCH($D94,[3]ORTHO!$D$2:$D$16,0))="","",INDEX([3]ORTHO!$K$2:$K$16,MATCH($D94,[3]ORTHO!$D$2:$D$16,0))),"")</f>
        <v>46268</v>
      </c>
      <c r="L94" s="11">
        <f ca="1">IF($O94="","",$O94-TODAY())</f>
        <v>-83</v>
      </c>
      <c r="M94" s="11">
        <f ca="1">IF(AND(TRIM($A94)="Finalized",$K94&lt;&gt;""),"",IF($C94="","",$C94+180-TODAY()))</f>
        <v>39</v>
      </c>
      <c r="N94" s="11">
        <f ca="1">IF(AND(TRIM($A94)="Finalized",$K94&lt;&gt;""),"",IF($C94="","",$C94+180-TODAY()))</f>
        <v>39</v>
      </c>
      <c r="O94" s="9">
        <f>IF(AND(TRIM($A94)="Finalized",$K94&lt;&gt;""),"",DATE(2026,7,18))</f>
        <v>46221</v>
      </c>
      <c r="P94" s="8" t="s">
        <v>208</v>
      </c>
      <c r="Q94" s="8" t="s">
        <v>209</v>
      </c>
      <c r="R94" s="8" t="s">
        <v>117</v>
      </c>
      <c r="S94" s="8" t="s">
        <v>74</v>
      </c>
      <c r="T94" s="8" t="s">
        <v>117</v>
      </c>
      <c r="U94" s="8" t="s">
        <v>74</v>
      </c>
      <c r="V94" s="8" t="s">
        <v>256</v>
      </c>
      <c r="W94" s="8" t="s">
        <v>76</v>
      </c>
      <c r="X94" s="8"/>
      <c r="Y94" s="8"/>
      <c r="Z94" s="8"/>
      <c r="AA94" s="8" t="s">
        <v>77</v>
      </c>
      <c r="AB94" s="10">
        <v>7623.07</v>
      </c>
      <c r="AC94" s="10">
        <v>0</v>
      </c>
      <c r="AD94" s="10">
        <v>0</v>
      </c>
      <c r="AE94" s="9">
        <v>46163</v>
      </c>
      <c r="AF94" s="10">
        <v>7623.07</v>
      </c>
      <c r="AG94" s="7">
        <v>141</v>
      </c>
      <c r="AH94" s="8" t="s">
        <v>145</v>
      </c>
      <c r="AI94" s="8"/>
      <c r="AJ94" s="8"/>
      <c r="AK94" s="8"/>
      <c r="AL94" s="7"/>
      <c r="AM94" s="8" t="s">
        <v>157</v>
      </c>
      <c r="AN94" s="8" t="s">
        <v>81</v>
      </c>
      <c r="AO94" s="9">
        <v>46105</v>
      </c>
    </row>
    <row r="95" spans="1:41" x14ac:dyDescent="0.25">
      <c r="A95" s="5" t="str">
        <f>IFERROR(IF(INDEX([4]BH!$A$2:$A$12,MATCH($D95,[4]BH!$D$2:$D$12,0))="","",INDEX([4]BH!$A$2:$A$12,MATCH($D95,[4]BH!$D$2:$D$12,0))),"")</f>
        <v>Denied</v>
      </c>
      <c r="B95" s="5" t="str">
        <f>IFERROR(IF(INDEX([4]BH!$B$2:$B$12,MATCH($D95,[4]BH!$D$2:$D$12,0))="","",INDEX([4]BH!$B$2:$B$12,MATCH($D95,[4]BH!$D$2:$D$12,0))),"")</f>
        <v xml:space="preserve">Checking with our credentialing team - OON Provider Dr. Sarkar - DND  No coverage </v>
      </c>
      <c r="C95" s="6">
        <f>IFERROR(IF(INDEX([4]BH!$C$2:$C$12,MATCH($D95,[4]BH!$D$2:$D$12,0))="","",INDEX([4]BH!$C$2:$C$12,MATCH($D95,[4]BH!$D$2:$D$12,0))),"")</f>
        <v>46157</v>
      </c>
      <c r="D95" s="7">
        <v>556564886</v>
      </c>
      <c r="E95" s="8" t="s">
        <v>234</v>
      </c>
      <c r="F95" s="9">
        <v>46132</v>
      </c>
      <c r="G95" s="8" t="s">
        <v>123</v>
      </c>
      <c r="H95" s="8" t="s">
        <v>123</v>
      </c>
      <c r="I95" s="8" t="s">
        <v>69</v>
      </c>
      <c r="J95" s="8" t="s">
        <v>203</v>
      </c>
      <c r="K95" s="6">
        <f>IFERROR(IF(INDEX([4]BH!$K$2:$K$12,MATCH($D95,[4]BH!$D$2:$D$12,0))="","",INDEX([4]BH!$K$2:$K$12,MATCH($D95,[4]BH!$D$2:$D$12,0))),"")</f>
        <v>46276</v>
      </c>
      <c r="L95" s="11">
        <f ca="1">IF($O95="","",$O95-TODAY())</f>
        <v>-82</v>
      </c>
      <c r="M95" s="11">
        <f ca="1">IF(AND(TRIM($A95)="Finalized",$K95&lt;&gt;""),"",IF($F95="","",$F95+90-TODAY()))</f>
        <v>-82</v>
      </c>
      <c r="N95" s="11">
        <f ca="1">IF(AND(TRIM($A95)="Finalized",$K95&lt;&gt;""),"",IF($C95="","",$C95+365-TODAY()))</f>
        <v>218</v>
      </c>
      <c r="O95" s="9">
        <f>IF(AND(TRIM($A95)="Finalized",$K95&lt;&gt;""),"",DATE(2026,7,19))</f>
        <v>46222</v>
      </c>
      <c r="P95" s="8" t="s">
        <v>86</v>
      </c>
      <c r="Q95" s="8" t="s">
        <v>125</v>
      </c>
      <c r="R95" s="8" t="s">
        <v>86</v>
      </c>
      <c r="S95" s="8" t="s">
        <v>88</v>
      </c>
      <c r="T95" s="8" t="s">
        <v>73</v>
      </c>
      <c r="U95" s="8" t="s">
        <v>74</v>
      </c>
      <c r="V95" s="8" t="s">
        <v>339</v>
      </c>
      <c r="W95" s="8" t="s">
        <v>118</v>
      </c>
      <c r="X95" s="8"/>
      <c r="Y95" s="8"/>
      <c r="Z95" s="8"/>
      <c r="AA95" s="8" t="s">
        <v>77</v>
      </c>
      <c r="AB95" s="10">
        <v>1372.91</v>
      </c>
      <c r="AC95" s="10">
        <v>0</v>
      </c>
      <c r="AD95" s="10">
        <v>0</v>
      </c>
      <c r="AE95" s="9">
        <v>46157</v>
      </c>
      <c r="AF95" s="10">
        <v>1372.91</v>
      </c>
      <c r="AG95" s="7">
        <v>110</v>
      </c>
      <c r="AH95" s="8" t="s">
        <v>201</v>
      </c>
      <c r="AI95" s="8"/>
      <c r="AJ95" s="8"/>
      <c r="AK95" s="8"/>
      <c r="AL95" s="7"/>
      <c r="AM95" s="8" t="s">
        <v>126</v>
      </c>
      <c r="AN95" s="8" t="s">
        <v>121</v>
      </c>
      <c r="AO95" s="9">
        <v>46153</v>
      </c>
    </row>
    <row r="96" spans="1:41" x14ac:dyDescent="0.25">
      <c r="A96" s="5" t="str">
        <f>IFERROR(IF(INDEX([4]GAE!$A$2:$A$8,MATCH($D96,[4]GAE!$D$2:$D$8,0))="","",INDEX([4]GAE!$A$2:$A$8,MATCH($D96,[4]GAE!$D$2:$D$8,0))),"")</f>
        <v>Denied</v>
      </c>
      <c r="B96" s="5" t="str">
        <f>IFERROR(IF(INDEX([4]GAE!$B$2:$B$8,MATCH($D96,[4]GAE!$D$2:$D$8,0))="","",INDEX([4]GAE!$B$2:$B$8,MATCH($D96,[4]GAE!$D$2:$D$8,0))),"")</f>
        <v xml:space="preserve">secondary - Added COB info, and resubmitted - Primary paid </v>
      </c>
      <c r="C96" s="6">
        <f>IFERROR(IF(INDEX([4]GAE!$C$2:$C$8,MATCH($D96,[4]GAE!$D$2:$D$8,0))="","",INDEX([4]GAE!$C$2:$C$8,MATCH($D96,[4]GAE!$D$2:$D$8,0))),"")</f>
        <v>46162</v>
      </c>
      <c r="D96" s="7">
        <v>558686710</v>
      </c>
      <c r="E96" s="8" t="s">
        <v>406</v>
      </c>
      <c r="F96" s="9">
        <v>46132</v>
      </c>
      <c r="G96" s="8" t="s">
        <v>123</v>
      </c>
      <c r="H96" s="8" t="s">
        <v>123</v>
      </c>
      <c r="I96" s="8" t="s">
        <v>123</v>
      </c>
      <c r="J96" s="8" t="s">
        <v>407</v>
      </c>
      <c r="K96" s="6">
        <f>IFERROR(IF(INDEX([4]GAE!$K$2:$K$8,MATCH($D96,[4]GAE!$D$2:$D$8,0))="","",INDEX([4]GAE!$K$2:$K$8,MATCH($D96,[4]GAE!$D$2:$D$8,0))),"")</f>
        <v>46278</v>
      </c>
      <c r="L96" s="11">
        <f ca="1">IF($O96="","",$O96-TODAY())</f>
        <v>-82</v>
      </c>
      <c r="M96" s="11">
        <f ca="1">IF(AND(TRIM($A96)="Finalized",$K96&lt;&gt;""),"",IF($F96="","",$F96+90-TODAY()))</f>
        <v>-82</v>
      </c>
      <c r="N96" s="11">
        <f ca="1">IF(AND(TRIM($A96)="Finalized",$K96&lt;&gt;""),"",IF($C96="","",$C96+365-TODAY()))</f>
        <v>223</v>
      </c>
      <c r="O96" s="9">
        <f>IF(AND(TRIM($A96)="Finalized",$K96&lt;&gt;""),"",DATE(2026,7,19))</f>
        <v>46222</v>
      </c>
      <c r="P96" s="8" t="s">
        <v>86</v>
      </c>
      <c r="Q96" s="8" t="s">
        <v>125</v>
      </c>
      <c r="R96" s="8" t="s">
        <v>86</v>
      </c>
      <c r="S96" s="8" t="s">
        <v>88</v>
      </c>
      <c r="T96" s="8" t="s">
        <v>73</v>
      </c>
      <c r="U96" s="8" t="s">
        <v>74</v>
      </c>
      <c r="V96" s="8" t="s">
        <v>339</v>
      </c>
      <c r="W96" s="8" t="s">
        <v>101</v>
      </c>
      <c r="X96" s="8" t="s">
        <v>257</v>
      </c>
      <c r="Y96" s="8" t="s">
        <v>360</v>
      </c>
      <c r="Z96" s="8" t="s">
        <v>153</v>
      </c>
      <c r="AA96" s="8" t="s">
        <v>210</v>
      </c>
      <c r="AB96" s="10">
        <v>67599.91</v>
      </c>
      <c r="AC96" s="10">
        <v>66579.55</v>
      </c>
      <c r="AD96" s="10">
        <v>918.36</v>
      </c>
      <c r="AE96" s="9">
        <v>46162</v>
      </c>
      <c r="AF96" s="10">
        <v>102</v>
      </c>
      <c r="AG96" s="7">
        <v>110</v>
      </c>
      <c r="AH96" s="8" t="s">
        <v>329</v>
      </c>
      <c r="AI96" s="8" t="s">
        <v>106</v>
      </c>
      <c r="AJ96" s="8" t="s">
        <v>361</v>
      </c>
      <c r="AK96" s="8"/>
      <c r="AL96" s="7">
        <v>561534376</v>
      </c>
      <c r="AM96" s="8" t="s">
        <v>108</v>
      </c>
      <c r="AN96" s="8" t="s">
        <v>81</v>
      </c>
      <c r="AO96" s="9">
        <v>46152</v>
      </c>
    </row>
    <row r="97" spans="1:41" x14ac:dyDescent="0.25">
      <c r="A97" s="5" t="str">
        <f>IFERROR(IF(INDEX([4]DME!$A$2:$A$34,MATCH($D97,[4]DME!$D$2:$D$34,0))="","",INDEX([4]DME!$A$2:$A$34,MATCH($D97,[4]DME!$D$2:$D$34,0))),"")</f>
        <v>Under Review</v>
      </c>
      <c r="B97" s="5" t="str">
        <f>IFERROR(IF(INDEX([4]DME!$B$2:$B$34,MATCH($D97,[4]DME!$D$2:$D$34,0))="","",INDEX([4]DME!$B$2:$B$34,MATCH($D97,[4]DME!$D$2:$D$34,0))),"")</f>
        <v>Call 800-636-2123 - DND A6010 Preferred Homecare is responsible for these services. Please submit the claim to Preferred Homecare for consideration</v>
      </c>
      <c r="C97" s="6">
        <f>IFERROR(IF(INDEX([4]DME!$C$2:$C$34,MATCH($D97,[4]DME!$D$2:$D$34,0))="","",INDEX([4]DME!$C$2:$C$34,MATCH($D97,[4]DME!$D$2:$D$34,0))),"")</f>
        <v>46141</v>
      </c>
      <c r="D97" s="7">
        <v>556833981</v>
      </c>
      <c r="E97" s="8" t="s">
        <v>408</v>
      </c>
      <c r="F97" s="9">
        <v>46132</v>
      </c>
      <c r="G97" s="8" t="s">
        <v>148</v>
      </c>
      <c r="H97" s="8" t="s">
        <v>148</v>
      </c>
      <c r="I97" s="8" t="s">
        <v>69</v>
      </c>
      <c r="J97" s="8" t="s">
        <v>373</v>
      </c>
      <c r="K97" s="6" t="str">
        <f>IFERROR(IF(INDEX([4]DME!$K$2:$K$34,MATCH($D97,[4]DME!$D$2:$D$34,0))="","",INDEX([4]DME!$K$2:$K$34,MATCH($D97,[4]DME!$D$2:$D$34,0))),"")</f>
        <v/>
      </c>
      <c r="L97" s="11">
        <f ca="1">IF($O97="","",$O97-TODAY())</f>
        <v>-82</v>
      </c>
      <c r="M97" s="11">
        <f ca="1">IF(AND(TRIM($A97)="Finalized",$K97&lt;&gt;""),"",IF($C97="","",$C97+180-TODAY()))</f>
        <v>17</v>
      </c>
      <c r="N97" s="11">
        <f ca="1">IF(AND(TRIM($A97)="Finalized",$K97&lt;&gt;""),"",IF($C97="","",$C97+365-TODAY()))</f>
        <v>202</v>
      </c>
      <c r="O97" s="9">
        <f>IF(AND(TRIM($A97)="Finalized",$K97&lt;&gt;""),"",DATE(2026,7,19))</f>
        <v>46222</v>
      </c>
      <c r="P97" s="8" t="s">
        <v>86</v>
      </c>
      <c r="Q97" s="8" t="s">
        <v>152</v>
      </c>
      <c r="R97" s="8" t="s">
        <v>117</v>
      </c>
      <c r="S97" s="8" t="s">
        <v>74</v>
      </c>
      <c r="T97" s="8" t="s">
        <v>73</v>
      </c>
      <c r="U97" s="8" t="s">
        <v>74</v>
      </c>
      <c r="V97" s="8" t="s">
        <v>339</v>
      </c>
      <c r="W97" s="8" t="s">
        <v>89</v>
      </c>
      <c r="X97" s="8" t="s">
        <v>244</v>
      </c>
      <c r="Y97" s="8"/>
      <c r="Z97" s="8"/>
      <c r="AA97" s="8" t="s">
        <v>190</v>
      </c>
      <c r="AB97" s="10">
        <v>2958.2</v>
      </c>
      <c r="AC97" s="10">
        <v>0</v>
      </c>
      <c r="AD97" s="10">
        <v>0</v>
      </c>
      <c r="AE97" s="9">
        <v>46141</v>
      </c>
      <c r="AF97" s="10">
        <v>2958.2</v>
      </c>
      <c r="AG97" s="7">
        <v>110</v>
      </c>
      <c r="AH97" s="8" t="s">
        <v>92</v>
      </c>
      <c r="AI97" s="8" t="s">
        <v>182</v>
      </c>
      <c r="AJ97" s="8"/>
      <c r="AK97" s="8"/>
      <c r="AL97" s="7"/>
      <c r="AM97" s="8" t="s">
        <v>321</v>
      </c>
      <c r="AN97" s="8" t="s">
        <v>132</v>
      </c>
      <c r="AO97" s="9">
        <v>46134</v>
      </c>
    </row>
    <row r="98" spans="1:41" x14ac:dyDescent="0.25">
      <c r="A98" s="5" t="str">
        <f>IFERROR(IF(INDEX([4]BH!$A$2:$A$12,MATCH($D98,[4]BH!$D$2:$D$12,0))="","",INDEX([4]BH!$A$2:$A$12,MATCH($D98,[4]BH!$D$2:$D$12,0))),"")</f>
        <v>Denied</v>
      </c>
      <c r="B98" s="5" t="str">
        <f>IFERROR(IF(INDEX([4]BH!$B$2:$B$12,MATCH($D98,[4]BH!$D$2:$D$12,0))="","",INDEX([4]BH!$B$2:$B$12,MATCH($D98,[4]BH!$D$2:$D$12,0))),"")</f>
        <v>Added Date of Current Illness, claim note, and resubmitted - DND 99493 This non-payable code is for required reporting only.</v>
      </c>
      <c r="C98" s="6">
        <f>IFERROR(IF(INDEX([4]BH!$C$2:$C$12,MATCH($D98,[4]BH!$D$2:$D$12,0))="","",INDEX([4]BH!$C$2:$C$12,MATCH($D98,[4]BH!$D$2:$D$12,0))),"")</f>
        <v>46167</v>
      </c>
      <c r="D98" s="7">
        <v>556918462</v>
      </c>
      <c r="E98" s="8" t="s">
        <v>312</v>
      </c>
      <c r="F98" s="9">
        <v>46134</v>
      </c>
      <c r="G98" s="8" t="s">
        <v>134</v>
      </c>
      <c r="H98" s="8" t="s">
        <v>134</v>
      </c>
      <c r="I98" s="8" t="s">
        <v>69</v>
      </c>
      <c r="J98" s="8" t="s">
        <v>203</v>
      </c>
      <c r="K98" s="6">
        <f>IFERROR(IF(INDEX([4]BH!$K$2:$K$12,MATCH($D98,[4]BH!$D$2:$D$12,0))="","",INDEX([4]BH!$K$2:$K$12,MATCH($D98,[4]BH!$D$2:$D$12,0))),"")</f>
        <v>46265</v>
      </c>
      <c r="L98" s="11">
        <f ca="1">IF($O98="","",$O98-TODAY())</f>
        <v>-80</v>
      </c>
      <c r="M98" s="11">
        <f ca="1">IF(AND(TRIM($A98)="Finalized",$K98&lt;&gt;""),"",IF($C98="","",$C98+365-TODAY()))</f>
        <v>228</v>
      </c>
      <c r="N98" s="11">
        <f ca="1">IF(AND(TRIM($A98)="Finalized",$K98&lt;&gt;""),"",IF($C98="","",$C98+365-TODAY()))</f>
        <v>228</v>
      </c>
      <c r="O98" s="9">
        <f>IF(AND(TRIM($A98)="Finalized",$K98&lt;&gt;""),"",DATE(2026,7,21))</f>
        <v>46224</v>
      </c>
      <c r="P98" s="8" t="s">
        <v>86</v>
      </c>
      <c r="Q98" s="8" t="s">
        <v>136</v>
      </c>
      <c r="R98" s="8" t="s">
        <v>73</v>
      </c>
      <c r="S98" s="8" t="s">
        <v>74</v>
      </c>
      <c r="T98" s="8" t="s">
        <v>73</v>
      </c>
      <c r="U98" s="8" t="s">
        <v>74</v>
      </c>
      <c r="V98" s="8" t="s">
        <v>339</v>
      </c>
      <c r="W98" s="8" t="s">
        <v>118</v>
      </c>
      <c r="X98" s="8"/>
      <c r="Y98" s="8"/>
      <c r="Z98" s="8"/>
      <c r="AA98" s="8" t="s">
        <v>77</v>
      </c>
      <c r="AB98" s="10">
        <v>1372.91</v>
      </c>
      <c r="AC98" s="10">
        <v>0</v>
      </c>
      <c r="AD98" s="10">
        <v>0</v>
      </c>
      <c r="AE98" s="9">
        <v>46167</v>
      </c>
      <c r="AF98" s="10">
        <v>1372.91</v>
      </c>
      <c r="AG98" s="7">
        <v>108</v>
      </c>
      <c r="AH98" s="8" t="s">
        <v>225</v>
      </c>
      <c r="AI98" s="8" t="s">
        <v>179</v>
      </c>
      <c r="AJ98" s="8"/>
      <c r="AK98" s="8"/>
      <c r="AL98" s="7"/>
      <c r="AM98" s="8" t="s">
        <v>131</v>
      </c>
      <c r="AN98" s="8" t="s">
        <v>158</v>
      </c>
      <c r="AO98" s="9">
        <v>46153</v>
      </c>
    </row>
    <row r="99" spans="1:41" x14ac:dyDescent="0.25">
      <c r="A99" s="5" t="str">
        <f>IFERROR(IF(INDEX([4]ORTHO!$A$2:$A$21,MATCH($D99,[4]ORTHO!$D$2:$D$21,0))="","",INDEX([4]ORTHO!$A$2:$A$21,MATCH($D99,[4]ORTHO!$D$2:$D$21,0))),"")</f>
        <v>Denied</v>
      </c>
      <c r="B99" s="5" t="str">
        <f>IFERROR(IF(INDEX([4]ORTHO!$B$2:$B$21,MATCH($D99,[4]ORTHO!$D$2:$D$21,0))="","",INDEX([4]ORTHO!$B$2:$B$21,MATCH($D99,[4]ORTHO!$D$2:$D$21,0))),"")</f>
        <v>Uploaded MR - ID 35635409 as per request - All CPT codes denied as no covered</v>
      </c>
      <c r="C99" s="6">
        <f>IFERROR(IF(INDEX([4]ORTHO!$C$2:$C$21,MATCH($D99,[4]ORTHO!$D$2:$D$21,0))="","",INDEX([4]ORTHO!$C$2:$C$21,MATCH($D99,[4]ORTHO!$D$2:$D$21,0))),"")</f>
        <v>46202</v>
      </c>
      <c r="D99" s="7">
        <v>563133469</v>
      </c>
      <c r="E99" s="8" t="s">
        <v>409</v>
      </c>
      <c r="F99" s="9">
        <v>46135</v>
      </c>
      <c r="G99" s="8" t="s">
        <v>84</v>
      </c>
      <c r="H99" s="8" t="s">
        <v>84</v>
      </c>
      <c r="I99" s="8" t="s">
        <v>69</v>
      </c>
      <c r="J99" s="8" t="s">
        <v>410</v>
      </c>
      <c r="K99" s="6">
        <f>IFERROR(IF(INDEX([4]ORTHO!$K$2:$K$21,MATCH($D99,[4]ORTHO!$D$2:$D$21,0))="","",INDEX([4]ORTHO!$K$2:$K$21,MATCH($D99,[4]ORTHO!$D$2:$D$21,0))),"")</f>
        <v>46279</v>
      </c>
      <c r="L99" s="11">
        <f ca="1">IF($O99="","",$O99-TODAY())</f>
        <v>-79</v>
      </c>
      <c r="M99" s="11">
        <f ca="1">IF(AND(TRIM($A99)="Finalized",$K99&lt;&gt;""),"",IF($F99="","",$F99+90-TODAY()))</f>
        <v>-79</v>
      </c>
      <c r="N99" s="11">
        <f ca="1">IF(AND(TRIM($A99)="Finalized",$K99&lt;&gt;""),"",IF($C99="","",$C99+60-TODAY()))</f>
        <v>-42</v>
      </c>
      <c r="O99" s="9">
        <f>IF(AND(TRIM($A99)="Finalized",$K99&lt;&gt;""),"",DATE(2026,7,22))</f>
        <v>46225</v>
      </c>
      <c r="P99" s="8" t="s">
        <v>86</v>
      </c>
      <c r="Q99" s="8" t="s">
        <v>87</v>
      </c>
      <c r="R99" s="8" t="s">
        <v>86</v>
      </c>
      <c r="S99" s="8" t="s">
        <v>88</v>
      </c>
      <c r="T99" s="8" t="s">
        <v>71</v>
      </c>
      <c r="U99" s="8" t="s">
        <v>74</v>
      </c>
      <c r="V99" s="8" t="s">
        <v>339</v>
      </c>
      <c r="W99" s="8" t="s">
        <v>76</v>
      </c>
      <c r="X99" s="8" t="s">
        <v>102</v>
      </c>
      <c r="Y99" s="8"/>
      <c r="Z99" s="8"/>
      <c r="AA99" s="8" t="s">
        <v>77</v>
      </c>
      <c r="AB99" s="10">
        <v>20158.46</v>
      </c>
      <c r="AC99" s="10">
        <v>0</v>
      </c>
      <c r="AD99" s="10">
        <v>0</v>
      </c>
      <c r="AE99" s="9">
        <v>46202</v>
      </c>
      <c r="AF99" s="10">
        <v>20158.46</v>
      </c>
      <c r="AG99" s="7">
        <v>107</v>
      </c>
      <c r="AH99" s="8" t="s">
        <v>79</v>
      </c>
      <c r="AI99" s="8" t="s">
        <v>318</v>
      </c>
      <c r="AJ99" s="8"/>
      <c r="AK99" s="8"/>
      <c r="AL99" s="7"/>
      <c r="AM99" s="8" t="s">
        <v>168</v>
      </c>
      <c r="AN99" s="8" t="s">
        <v>250</v>
      </c>
      <c r="AO99" s="9">
        <v>46147</v>
      </c>
    </row>
    <row r="100" spans="1:41" x14ac:dyDescent="0.25">
      <c r="A100" s="5" t="str">
        <f>IFERROR(IF(INDEX([1]BH!$A$2:$A$17,MATCH($D100,[1]BH!$D$2:$D$17,0))="","",INDEX([1]BH!$A$2:$A$17,MATCH($D100,[1]BH!$D$2:$D$17,0))),"")</f>
        <v>Rejected</v>
      </c>
      <c r="B100" s="5" t="str">
        <f>IFERROR(IF(INDEX([1]BH!$B$2:$B$17,MATCH($D100,[1]BH!$D$2:$D$17,0))="","",INDEX([1]BH!$B$2:$B$17,MATCH($D100,[1]BH!$D$2:$D$17,0))),"")</f>
        <v xml:space="preserve">Tfierro working on PT eligibility on dos  </v>
      </c>
      <c r="C100" s="6">
        <f>IFERROR(IF(INDEX([1]BH!$C$2:$C$17,MATCH($D100,[1]BH!$D$2:$D$17,0))="","",INDEX([1]BH!$C$2:$C$17,MATCH($D100,[1]BH!$D$2:$D$17,0))),"")</f>
        <v>46070</v>
      </c>
      <c r="D100" s="7">
        <v>565238310</v>
      </c>
      <c r="E100" s="8" t="s">
        <v>413</v>
      </c>
      <c r="F100" s="9">
        <v>46045</v>
      </c>
      <c r="G100" s="8" t="s">
        <v>414</v>
      </c>
      <c r="H100" s="8" t="s">
        <v>414</v>
      </c>
      <c r="I100" s="8" t="s">
        <v>69</v>
      </c>
      <c r="J100" s="8" t="s">
        <v>195</v>
      </c>
      <c r="K100" s="6">
        <f>IFERROR(IF(INDEX([1]BH!$K$2:$K$17,MATCH($D100,[1]BH!$D$2:$D$17,0))="","",INDEX([1]BH!$K$2:$K$17,MATCH($D100,[1]BH!$D$2:$D$17,0))),"")</f>
        <v>46289</v>
      </c>
      <c r="L100" s="11">
        <f ca="1">IF($O100="","",$O100-TODAY())</f>
        <v>-79</v>
      </c>
      <c r="M100" s="11">
        <f ca="1">IF(AND(TRIM($A100)="Finalized",$K100&lt;&gt;""),"",IF($C100="","",$C100+365-TODAY()))</f>
        <v>131</v>
      </c>
      <c r="N100" s="11">
        <f ca="1">IF(AND(TRIM($A100)="Finalized",$K100&lt;&gt;""),"",IF($C100="","",$C100+365-TODAY()))</f>
        <v>131</v>
      </c>
      <c r="O100" s="9">
        <f>IF(AND(TRIM($A100)="Finalized",$K100&lt;&gt;""),"",DATE(2026,7,22))</f>
        <v>46225</v>
      </c>
      <c r="P100" s="8" t="s">
        <v>117</v>
      </c>
      <c r="Q100" s="8" t="s">
        <v>415</v>
      </c>
      <c r="R100" s="8" t="s">
        <v>73</v>
      </c>
      <c r="S100" s="8" t="s">
        <v>74</v>
      </c>
      <c r="T100" s="8" t="s">
        <v>73</v>
      </c>
      <c r="U100" s="8" t="s">
        <v>74</v>
      </c>
      <c r="V100" s="8" t="s">
        <v>75</v>
      </c>
      <c r="W100" s="8" t="s">
        <v>118</v>
      </c>
      <c r="X100" s="8"/>
      <c r="Y100" s="8"/>
      <c r="Z100" s="8"/>
      <c r="AA100" s="8" t="s">
        <v>77</v>
      </c>
      <c r="AB100" s="10">
        <v>1426.25</v>
      </c>
      <c r="AC100" s="10">
        <v>0</v>
      </c>
      <c r="AD100" s="10">
        <v>0</v>
      </c>
      <c r="AE100" s="9">
        <v>46070</v>
      </c>
      <c r="AF100" s="10">
        <v>1426.25</v>
      </c>
      <c r="AG100" s="7">
        <v>197</v>
      </c>
      <c r="AH100" s="8" t="s">
        <v>179</v>
      </c>
      <c r="AI100" s="8"/>
      <c r="AJ100" s="8"/>
      <c r="AK100" s="8"/>
      <c r="AL100" s="7"/>
      <c r="AM100" s="8" t="s">
        <v>120</v>
      </c>
      <c r="AN100" s="8" t="s">
        <v>158</v>
      </c>
      <c r="AO100" s="9">
        <v>46057</v>
      </c>
    </row>
    <row r="101" spans="1:41" x14ac:dyDescent="0.25">
      <c r="A101" s="5" t="str">
        <f>IFERROR(IF(INDEX([4]US!$A$2:$A$23,MATCH($D101,[4]US!$D$2:$D$23,0))="","",INDEX([4]US!$A$2:$A$23,MATCH($D101,[4]US!$D$2:$D$23,0))),"")</f>
        <v>Under Review</v>
      </c>
      <c r="B101" s="5" t="str">
        <f>IFERROR(IF(INDEX([4]US!$B$2:$B$23,MATCH($D101,[4]US!$D$2:$D$23,0))="","",INDEX([4]US!$B$2:$B$23,MATCH($D101,[4]US!$D$2:$D$23,0))),"")</f>
        <v>START A CHAT AND ASK FOR A PIQ REVIEW OR STATUS</v>
      </c>
      <c r="C101" s="6">
        <f>IFERROR(IF(INDEX([4]US!$C$2:$C$23,MATCH($D101,[4]US!$D$2:$D$23,0))="","",INDEX([4]US!$C$2:$C$23,MATCH($D101,[4]US!$D$2:$D$23,0))),"")</f>
        <v>46177</v>
      </c>
      <c r="D101" s="7">
        <v>565376983</v>
      </c>
      <c r="E101" s="8" t="s">
        <v>416</v>
      </c>
      <c r="F101" s="9">
        <v>46135</v>
      </c>
      <c r="G101" s="8" t="s">
        <v>114</v>
      </c>
      <c r="H101" s="8" t="s">
        <v>114</v>
      </c>
      <c r="I101" s="8" t="s">
        <v>69</v>
      </c>
      <c r="J101" s="8" t="s">
        <v>352</v>
      </c>
      <c r="K101" s="6" t="str">
        <f>IFERROR(IF(INDEX([4]US!$K$2:$K$23,MATCH($D101,[4]US!$D$2:$D$23,0))="","",INDEX([4]US!$K$2:$K$23,MATCH($D101,[4]US!$D$2:$D$23,0))),"")</f>
        <v/>
      </c>
      <c r="L101" s="11">
        <f ca="1">IF($O101="","",$O101-TODAY())</f>
        <v>-79</v>
      </c>
      <c r="M101" s="11">
        <f ca="1">IF(AND(TRIM($A101)="Finalized",$K101&lt;&gt;""),"",IF($C101="","",$C101+180-TODAY()))</f>
        <v>53</v>
      </c>
      <c r="N101" s="11">
        <f ca="1">IF(AND(TRIM($A101)="Finalized",$K101&lt;&gt;""),"",IF($C101="","",$C101+365-TODAY()))</f>
        <v>238</v>
      </c>
      <c r="O101" s="9">
        <f>IF(AND(TRIM($A101)="Finalized",$K101&lt;&gt;""),"",DATE(2026,7,22))</f>
        <v>46225</v>
      </c>
      <c r="P101" s="8" t="s">
        <v>86</v>
      </c>
      <c r="Q101" s="8" t="s">
        <v>116</v>
      </c>
      <c r="R101" s="8" t="s">
        <v>117</v>
      </c>
      <c r="S101" s="8" t="s">
        <v>74</v>
      </c>
      <c r="T101" s="8" t="s">
        <v>73</v>
      </c>
      <c r="U101" s="8" t="s">
        <v>74</v>
      </c>
      <c r="V101" s="8" t="s">
        <v>339</v>
      </c>
      <c r="W101" s="8" t="s">
        <v>129</v>
      </c>
      <c r="X101" s="8"/>
      <c r="Y101" s="8"/>
      <c r="Z101" s="8"/>
      <c r="AA101" s="8" t="s">
        <v>77</v>
      </c>
      <c r="AB101" s="10">
        <v>2943.43</v>
      </c>
      <c r="AC101" s="10">
        <v>0</v>
      </c>
      <c r="AD101" s="10">
        <v>0</v>
      </c>
      <c r="AE101" s="9">
        <v>46177</v>
      </c>
      <c r="AF101" s="10">
        <v>2943.43</v>
      </c>
      <c r="AG101" s="7">
        <v>107</v>
      </c>
      <c r="AH101" s="8" t="s">
        <v>316</v>
      </c>
      <c r="AI101" s="8"/>
      <c r="AJ101" s="8"/>
      <c r="AK101" s="8"/>
      <c r="AL101" s="7"/>
      <c r="AM101" s="8" t="s">
        <v>131</v>
      </c>
      <c r="AN101" s="8" t="s">
        <v>350</v>
      </c>
      <c r="AO101" s="9">
        <v>46148</v>
      </c>
    </row>
    <row r="102" spans="1:41" x14ac:dyDescent="0.25">
      <c r="A102" s="5" t="str">
        <f>IFERROR(IF(INDEX([4]BH!$A$2:$A$12,MATCH($D102,[4]BH!$D$2:$D$12,0))="","",INDEX([4]BH!$A$2:$A$12,MATCH($D102,[4]BH!$D$2:$D$12,0))),"")</f>
        <v>Denied</v>
      </c>
      <c r="B102" s="5" t="str">
        <f>IFERROR(IF(INDEX([4]BH!$B$2:$B$12,MATCH($D102,[4]BH!$D$2:$D$12,0))="","",INDEX([4]BH!$B$2:$B$12,MATCH($D102,[4]BH!$D$2:$D$12,0))),"")</f>
        <v>Added Date of Current Illness, claim note, and resubmitted</v>
      </c>
      <c r="C102" s="6">
        <f>IFERROR(IF(INDEX([4]BH!$C$2:$C$12,MATCH($D102,[4]BH!$D$2:$D$12,0))="","",INDEX([4]BH!$C$2:$C$12,MATCH($D102,[4]BH!$D$2:$D$12,0))),"")</f>
        <v>46167</v>
      </c>
      <c r="D102" s="7">
        <v>557132196</v>
      </c>
      <c r="E102" s="8" t="s">
        <v>246</v>
      </c>
      <c r="F102" s="9">
        <v>46136</v>
      </c>
      <c r="G102" s="8" t="s">
        <v>134</v>
      </c>
      <c r="H102" s="8" t="s">
        <v>134</v>
      </c>
      <c r="I102" s="8" t="s">
        <v>69</v>
      </c>
      <c r="J102" s="8" t="s">
        <v>203</v>
      </c>
      <c r="K102" s="6">
        <f>IFERROR(IF(INDEX([4]BH!$K$2:$K$12,MATCH($D102,[4]BH!$D$2:$D$12,0))="","",INDEX([4]BH!$K$2:$K$12,MATCH($D102,[4]BH!$D$2:$D$12,0))),"")</f>
        <v>46265</v>
      </c>
      <c r="L102" s="11">
        <f ca="1">IF($O102="","",$O102-TODAY())</f>
        <v>-78</v>
      </c>
      <c r="M102" s="11">
        <f ca="1">IF(AND(TRIM($A102)="Finalized",$K102&lt;&gt;""),"",IF($C102="","",$C102+365-TODAY()))</f>
        <v>228</v>
      </c>
      <c r="N102" s="11">
        <f ca="1">IF(AND(TRIM($A102)="Finalized",$K102&lt;&gt;""),"",IF($C102="","",$C102+365-TODAY()))</f>
        <v>228</v>
      </c>
      <c r="O102" s="9">
        <f>IF(AND(TRIM($A102)="Finalized",$K102&lt;&gt;""),"",DATE(2026,7,23))</f>
        <v>46226</v>
      </c>
      <c r="P102" s="8" t="s">
        <v>86</v>
      </c>
      <c r="Q102" s="8" t="s">
        <v>136</v>
      </c>
      <c r="R102" s="8" t="s">
        <v>73</v>
      </c>
      <c r="S102" s="8" t="s">
        <v>74</v>
      </c>
      <c r="T102" s="8" t="s">
        <v>73</v>
      </c>
      <c r="U102" s="8" t="s">
        <v>74</v>
      </c>
      <c r="V102" s="8" t="s">
        <v>339</v>
      </c>
      <c r="W102" s="8" t="s">
        <v>118</v>
      </c>
      <c r="X102" s="8"/>
      <c r="Y102" s="8"/>
      <c r="Z102" s="8"/>
      <c r="AA102" s="8" t="s">
        <v>77</v>
      </c>
      <c r="AB102" s="10">
        <v>1372.91</v>
      </c>
      <c r="AC102" s="10">
        <v>0</v>
      </c>
      <c r="AD102" s="10">
        <v>0</v>
      </c>
      <c r="AE102" s="9">
        <v>46167</v>
      </c>
      <c r="AF102" s="10">
        <v>1372.91</v>
      </c>
      <c r="AG102" s="7">
        <v>106</v>
      </c>
      <c r="AH102" s="8" t="s">
        <v>201</v>
      </c>
      <c r="AI102" s="8"/>
      <c r="AJ102" s="8"/>
      <c r="AK102" s="8"/>
      <c r="AL102" s="7"/>
      <c r="AM102" s="8" t="s">
        <v>157</v>
      </c>
      <c r="AN102" s="8" t="s">
        <v>158</v>
      </c>
      <c r="AO102" s="9">
        <v>46153</v>
      </c>
    </row>
    <row r="103" spans="1:41" x14ac:dyDescent="0.25">
      <c r="A103" s="5" t="str">
        <f>IFERROR(IF(INDEX([4]ORTHO!$A$2:$A$21,MATCH($D103,[4]ORTHO!$D$2:$D$21,0))="","",INDEX([4]ORTHO!$A$2:$A$21,MATCH($D103,[4]ORTHO!$D$2:$D$21,0))),"")</f>
        <v>Denied</v>
      </c>
      <c r="B103" s="5" t="str">
        <f>IFERROR(IF(INDEX([4]ORTHO!$B$2:$B$21,MATCH($D103,[4]ORTHO!$D$2:$D$21,0))="","",INDEX([4]ORTHO!$B$2:$B$21,MATCH($D103,[4]ORTHO!$D$2:$D$21,0))),"")</f>
        <v xml:space="preserve">Filed reconsideration - PIQ-90773073 - Decision ID #: D600552039 shows NAR </v>
      </c>
      <c r="C103" s="6">
        <f>IFERROR(IF(INDEX([4]ORTHO!$C$2:$C$21,MATCH($D103,[4]ORTHO!$D$2:$D$21,0))="","",INDEX([4]ORTHO!$C$2:$C$21,MATCH($D103,[4]ORTHO!$D$2:$D$21,0))),"")</f>
        <v>46156</v>
      </c>
      <c r="D103" s="7">
        <v>558377934</v>
      </c>
      <c r="E103" s="8" t="s">
        <v>417</v>
      </c>
      <c r="F103" s="9">
        <v>46139</v>
      </c>
      <c r="G103" s="8" t="s">
        <v>114</v>
      </c>
      <c r="H103" s="8" t="s">
        <v>114</v>
      </c>
      <c r="I103" s="8" t="s">
        <v>69</v>
      </c>
      <c r="J103" s="8" t="s">
        <v>418</v>
      </c>
      <c r="K103" s="6">
        <f>IFERROR(IF(INDEX([4]ORTHO!$K$2:$K$21,MATCH($D103,[4]ORTHO!$D$2:$D$21,0))="","",INDEX([4]ORTHO!$K$2:$K$21,MATCH($D103,[4]ORTHO!$D$2:$D$21,0))),"")</f>
        <v>46278</v>
      </c>
      <c r="L103" s="11">
        <f ca="1">IF($O103="","",$O103-TODAY())</f>
        <v>-75</v>
      </c>
      <c r="M103" s="11">
        <f ca="1">IF(AND(TRIM($A103)="Finalized",$K103&lt;&gt;""),"",IF($C103="","",$C103+180-TODAY()))</f>
        <v>32</v>
      </c>
      <c r="N103" s="11">
        <f ca="1">IF(AND(TRIM($A103)="Finalized",$K103&lt;&gt;""),"",IF($C103="","",$C103+365-TODAY()))</f>
        <v>217</v>
      </c>
      <c r="O103" s="9">
        <f>IF(AND(TRIM($A103)="Finalized",$K103&lt;&gt;""),"",DATE(2026,7,26))</f>
        <v>46229</v>
      </c>
      <c r="P103" s="8" t="s">
        <v>86</v>
      </c>
      <c r="Q103" s="8" t="s">
        <v>116</v>
      </c>
      <c r="R103" s="8" t="s">
        <v>117</v>
      </c>
      <c r="S103" s="8" t="s">
        <v>74</v>
      </c>
      <c r="T103" s="8" t="s">
        <v>73</v>
      </c>
      <c r="U103" s="8" t="s">
        <v>74</v>
      </c>
      <c r="V103" s="8" t="s">
        <v>339</v>
      </c>
      <c r="W103" s="8" t="s">
        <v>76</v>
      </c>
      <c r="X103" s="8"/>
      <c r="Y103" s="8"/>
      <c r="Z103" s="8"/>
      <c r="AA103" s="8" t="s">
        <v>77</v>
      </c>
      <c r="AB103" s="10">
        <v>14614.67</v>
      </c>
      <c r="AC103" s="10">
        <v>0</v>
      </c>
      <c r="AD103" s="10">
        <v>0</v>
      </c>
      <c r="AE103" s="9">
        <v>46156</v>
      </c>
      <c r="AF103" s="10">
        <v>14614.67</v>
      </c>
      <c r="AG103" s="7">
        <v>103</v>
      </c>
      <c r="AH103" s="8" t="s">
        <v>285</v>
      </c>
      <c r="AI103" s="8" t="s">
        <v>419</v>
      </c>
      <c r="AJ103" s="8" t="s">
        <v>420</v>
      </c>
      <c r="AK103" s="8"/>
      <c r="AL103" s="7"/>
      <c r="AM103" s="8" t="s">
        <v>217</v>
      </c>
      <c r="AN103" s="8" t="s">
        <v>109</v>
      </c>
      <c r="AO103" s="9">
        <v>46148</v>
      </c>
    </row>
    <row r="104" spans="1:41" x14ac:dyDescent="0.25">
      <c r="A104" s="5" t="str">
        <f>IFERROR(IF(INDEX([4]DME!$A$2:$A$34,MATCH($D104,[4]DME!$D$2:$D$34,0))="","",INDEX([4]DME!$A$2:$A$34,MATCH($D104,[4]DME!$D$2:$D$34,0))),"")</f>
        <v>Denied</v>
      </c>
      <c r="B104" s="5" t="str">
        <f>IFERROR(IF(INDEX([4]DME!$B$2:$B$34,MATCH($D104,[4]DME!$D$2:$D$34,0))="","",INDEX([4]DME!$B$2:$B$34,MATCH($D104,[4]DME!$D$2:$D$34,0))),"")</f>
        <v>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v>
      </c>
      <c r="C104" s="6">
        <f>IFERROR(IF(INDEX([4]DME!$C$2:$C$34,MATCH($D104,[4]DME!$D$2:$D$34,0))="","",INDEX([4]DME!$C$2:$C$34,MATCH($D104,[4]DME!$D$2:$D$34,0))),"")</f>
        <v>46215</v>
      </c>
      <c r="D104" s="7">
        <v>564913658</v>
      </c>
      <c r="E104" s="8" t="s">
        <v>423</v>
      </c>
      <c r="F104" s="9">
        <v>46140</v>
      </c>
      <c r="G104" s="8" t="s">
        <v>84</v>
      </c>
      <c r="H104" s="8" t="s">
        <v>84</v>
      </c>
      <c r="I104" s="8" t="s">
        <v>200</v>
      </c>
      <c r="J104" s="8" t="s">
        <v>424</v>
      </c>
      <c r="K104" s="6">
        <f>IFERROR(IF(INDEX([4]DME!$K$2:$K$34,MATCH($D104,[4]DME!$D$2:$D$34,0))="","",INDEX([4]DME!$K$2:$K$34,MATCH($D104,[4]DME!$D$2:$D$34,0))),"")</f>
        <v>46285</v>
      </c>
      <c r="L104" s="11">
        <f ca="1">IF($O104="","",$O104-TODAY())</f>
        <v>-74</v>
      </c>
      <c r="M104" s="11">
        <f ca="1">IF(AND(TRIM($A104)="Finalized",$K104&lt;&gt;""),"",IF($F104="","",$F104+90-TODAY()))</f>
        <v>-74</v>
      </c>
      <c r="N104" s="11">
        <f ca="1">IF(AND(TRIM($A104)="Finalized",$K104&lt;&gt;""),"",IF($C104="","",$C104+60-TODAY()))</f>
        <v>-29</v>
      </c>
      <c r="O104" s="9">
        <f>IF(AND(TRIM($A104)="Finalized",$K104&lt;&gt;""),"",DATE(2026,7,27))</f>
        <v>46230</v>
      </c>
      <c r="P104" s="8" t="s">
        <v>86</v>
      </c>
      <c r="Q104" s="8" t="s">
        <v>87</v>
      </c>
      <c r="R104" s="8" t="s">
        <v>86</v>
      </c>
      <c r="S104" s="8" t="s">
        <v>88</v>
      </c>
      <c r="T104" s="8" t="s">
        <v>71</v>
      </c>
      <c r="U104" s="8" t="s">
        <v>74</v>
      </c>
      <c r="V104" s="8" t="s">
        <v>339</v>
      </c>
      <c r="W104" s="8" t="s">
        <v>89</v>
      </c>
      <c r="X104" s="8" t="s">
        <v>290</v>
      </c>
      <c r="Y104" s="8" t="s">
        <v>103</v>
      </c>
      <c r="Z104" s="8"/>
      <c r="AA104" s="8" t="s">
        <v>77</v>
      </c>
      <c r="AB104" s="10">
        <v>4520.1099999999997</v>
      </c>
      <c r="AC104" s="10">
        <v>0</v>
      </c>
      <c r="AD104" s="10">
        <v>0</v>
      </c>
      <c r="AE104" s="9">
        <v>46215</v>
      </c>
      <c r="AF104" s="10">
        <v>4520.1099999999997</v>
      </c>
      <c r="AG104" s="7">
        <v>102</v>
      </c>
      <c r="AH104" s="8" t="s">
        <v>107</v>
      </c>
      <c r="AI104" s="8"/>
      <c r="AJ104" s="8"/>
      <c r="AK104" s="8"/>
      <c r="AL104" s="7"/>
      <c r="AM104" s="8" t="s">
        <v>154</v>
      </c>
      <c r="AN104" s="8" t="s">
        <v>132</v>
      </c>
      <c r="AO104" s="9">
        <v>46153</v>
      </c>
    </row>
    <row r="105" spans="1:41" x14ac:dyDescent="0.25">
      <c r="A105" s="5" t="str">
        <f>IFERROR(IF(INDEX([1]BH!$A$2:$A$17,MATCH($D105,[1]BH!$D$2:$D$17,0))="","",INDEX([1]BH!$A$2:$A$17,MATCH($D105,[1]BH!$D$2:$D$17,0))),"")</f>
        <v>Denied</v>
      </c>
      <c r="B105" s="5" t="str">
        <f>IFERROR(IF(INDEX([1]BH!$B$2:$B$17,MATCH($D105,[1]BH!$D$2:$D$17,0))="","",INDEX([1]BH!$B$2:$B$17,MATCH($D105,[1]BH!$D$2:$D$17,0))),"")</f>
        <v>Resubmitted with Riddle last name - Tricare active on DOS - VA doesn't cover BH</v>
      </c>
      <c r="C105" s="6">
        <f>IFERROR(IF(INDEX([1]BH!$C$2:$C$17,MATCH($D105,[1]BH!$D$2:$D$17,0))="","",INDEX([1]BH!$C$2:$C$17,MATCH($D105,[1]BH!$D$2:$D$17,0))),"")</f>
        <v>46198</v>
      </c>
      <c r="D105" s="7">
        <v>566830437</v>
      </c>
      <c r="E105" s="8" t="s">
        <v>425</v>
      </c>
      <c r="F105" s="9">
        <v>46050</v>
      </c>
      <c r="G105" s="8" t="s">
        <v>426</v>
      </c>
      <c r="H105" s="8" t="s">
        <v>426</v>
      </c>
      <c r="I105" s="8" t="s">
        <v>69</v>
      </c>
      <c r="J105" s="8" t="s">
        <v>203</v>
      </c>
      <c r="K105" s="6">
        <f>IFERROR(IF(INDEX([1]BH!$K$2:$K$17,MATCH($D105,[1]BH!$D$2:$D$17,0))="","",INDEX([1]BH!$K$2:$K$17,MATCH($D105,[1]BH!$D$2:$D$17,0))),"")</f>
        <v>46300</v>
      </c>
      <c r="L105" s="11">
        <f ca="1">IF($O105="","",$O105-TODAY())</f>
        <v>-74</v>
      </c>
      <c r="M105" s="11">
        <f ca="1">IF(AND(TRIM($A105)="Finalized",$K105&lt;&gt;""),"",IF($F105="","",$F105+365-TODAY()))</f>
        <v>111</v>
      </c>
      <c r="N105" s="11">
        <f ca="1">IF(AND(TRIM($A105)="Finalized",$K105&lt;&gt;""),"",IF($F105="","",$F105+365-TODAY()))</f>
        <v>111</v>
      </c>
      <c r="O105" s="9">
        <f>IF(AND(TRIM($A105)="Finalized",$K105&lt;&gt;""),"",DATE(2026,7,27))</f>
        <v>46230</v>
      </c>
      <c r="P105" s="8" t="s">
        <v>117</v>
      </c>
      <c r="Q105" s="8" t="s">
        <v>427</v>
      </c>
      <c r="R105" s="8" t="s">
        <v>73</v>
      </c>
      <c r="S105" s="8" t="s">
        <v>88</v>
      </c>
      <c r="T105" s="8" t="s">
        <v>73</v>
      </c>
      <c r="U105" s="8" t="s">
        <v>88</v>
      </c>
      <c r="V105" s="8" t="s">
        <v>75</v>
      </c>
      <c r="W105" s="8" t="s">
        <v>118</v>
      </c>
      <c r="X105" s="8"/>
      <c r="Y105" s="8"/>
      <c r="Z105" s="8"/>
      <c r="AA105" s="8" t="s">
        <v>77</v>
      </c>
      <c r="AB105" s="10">
        <v>1372.91</v>
      </c>
      <c r="AC105" s="10">
        <v>0</v>
      </c>
      <c r="AD105" s="10">
        <v>0</v>
      </c>
      <c r="AE105" s="9">
        <v>46198</v>
      </c>
      <c r="AF105" s="10">
        <v>1372.91</v>
      </c>
      <c r="AG105" s="7">
        <v>192</v>
      </c>
      <c r="AH105" s="8" t="s">
        <v>179</v>
      </c>
      <c r="AI105" s="8"/>
      <c r="AJ105" s="8"/>
      <c r="AK105" s="8"/>
      <c r="AL105" s="7"/>
      <c r="AM105" s="8" t="s">
        <v>157</v>
      </c>
      <c r="AN105" s="8" t="s">
        <v>158</v>
      </c>
      <c r="AO105" s="9">
        <v>46188</v>
      </c>
    </row>
    <row r="106" spans="1:41" x14ac:dyDescent="0.25">
      <c r="A106" s="5" t="str">
        <f>IFERROR(IF(INDEX([4]ORTHO!$A$2:$A$21,MATCH($D106,[4]ORTHO!$D$2:$D$21,0))="","",INDEX([4]ORTHO!$A$2:$A$21,MATCH($D106,[4]ORTHO!$D$2:$D$21,0))),"")</f>
        <v>Denied</v>
      </c>
      <c r="B106" s="5" t="str">
        <f>IFERROR(IF(INDEX([4]ORTHO!$B$2:$B$21,MATCH($D106,[4]ORTHO!$D$2:$D$21,0))="","",INDEX([4]ORTHO!$B$2:$B$21,MATCH($D106,[4]ORTHO!$D$2:$D$21,0))),"")</f>
        <v xml:space="preserve">Delete 20930 and Dx M54.2 on portal as per action required option got triggered - Dx M542 with M5030 identify two conditions that cannot be reported together - Procedure 20930 is considered inclusive to other services reported - CLAIM DOWNLOADED </v>
      </c>
      <c r="C106" s="6">
        <f>IFERROR(IF(INDEX([4]ORTHO!$C$2:$C$21,MATCH($D106,[4]ORTHO!$D$2:$D$21,0))="","",INDEX([4]ORTHO!$C$2:$C$21,MATCH($D106,[4]ORTHO!$D$2:$D$21,0))),"")</f>
        <v>46267</v>
      </c>
      <c r="D106" s="7">
        <v>558405759</v>
      </c>
      <c r="E106" s="8" t="s">
        <v>428</v>
      </c>
      <c r="F106" s="9">
        <v>46141</v>
      </c>
      <c r="G106" s="8" t="s">
        <v>114</v>
      </c>
      <c r="H106" s="8" t="s">
        <v>114</v>
      </c>
      <c r="I106" s="8" t="s">
        <v>69</v>
      </c>
      <c r="J106" s="8" t="s">
        <v>429</v>
      </c>
      <c r="K106" s="6">
        <f>IFERROR(IF(INDEX([4]ORTHO!$K$2:$K$21,MATCH($D106,[4]ORTHO!$D$2:$D$21,0))="","",INDEX([4]ORTHO!$K$2:$K$21,MATCH($D106,[4]ORTHO!$D$2:$D$21,0))),"")</f>
        <v>46257</v>
      </c>
      <c r="L106" s="11">
        <f ca="1">IF($O106="","",$O106-TODAY())</f>
        <v>-73</v>
      </c>
      <c r="M106" s="11">
        <f ca="1">IF(AND(TRIM($A106)="Finalized",$K106&lt;&gt;""),"",IF($C106="","",$C106+180-TODAY()))</f>
        <v>143</v>
      </c>
      <c r="N106" s="11">
        <f ca="1">IF(AND(TRIM($A106)="Finalized",$K106&lt;&gt;""),"",IF($C106="","",$C106+365-TODAY()))</f>
        <v>328</v>
      </c>
      <c r="O106" s="9">
        <f>IF(AND(TRIM($A106)="Finalized",$K106&lt;&gt;""),"",DATE(2026,7,28))</f>
        <v>46231</v>
      </c>
      <c r="P106" s="8" t="s">
        <v>86</v>
      </c>
      <c r="Q106" s="8" t="s">
        <v>116</v>
      </c>
      <c r="R106" s="8" t="s">
        <v>117</v>
      </c>
      <c r="S106" s="8" t="s">
        <v>74</v>
      </c>
      <c r="T106" s="8" t="s">
        <v>73</v>
      </c>
      <c r="U106" s="8" t="s">
        <v>74</v>
      </c>
      <c r="V106" s="8" t="s">
        <v>339</v>
      </c>
      <c r="W106" s="8" t="s">
        <v>76</v>
      </c>
      <c r="X106" s="8" t="s">
        <v>102</v>
      </c>
      <c r="Y106" s="8"/>
      <c r="Z106" s="8"/>
      <c r="AA106" s="8" t="s">
        <v>77</v>
      </c>
      <c r="AB106" s="10">
        <v>23841.63</v>
      </c>
      <c r="AC106" s="10">
        <v>0</v>
      </c>
      <c r="AD106" s="10">
        <v>0</v>
      </c>
      <c r="AE106" s="9"/>
      <c r="AF106" s="10">
        <v>23841.63</v>
      </c>
      <c r="AG106" s="7">
        <v>101</v>
      </c>
      <c r="AH106" s="8" t="s">
        <v>430</v>
      </c>
      <c r="AI106" s="8" t="s">
        <v>395</v>
      </c>
      <c r="AJ106" s="8" t="s">
        <v>308</v>
      </c>
      <c r="AK106" s="8" t="s">
        <v>431</v>
      </c>
      <c r="AL106" s="7"/>
      <c r="AM106" s="8" t="s">
        <v>272</v>
      </c>
      <c r="AN106" s="8" t="s">
        <v>109</v>
      </c>
      <c r="AO106" s="9">
        <v>46184</v>
      </c>
    </row>
    <row r="107" spans="1:41" x14ac:dyDescent="0.25">
      <c r="A107" s="5" t="str">
        <f>IFERROR(IF(INDEX([3]BH!$A$2:$A$32,MATCH($D107,[3]BH!$D$2:$D$32,0))="","",INDEX([3]BH!$A$2:$A$32,MATCH($D107,[3]BH!$D$2:$D$32,0))),"")</f>
        <v>Denied</v>
      </c>
      <c r="B107" s="5" t="str">
        <f>IFERROR(IF(INDEX([3]BH!$B$2:$B$32,MATCH($D107,[3]BH!$D$2:$D$32,0))="","",INDEX([3]BH!$B$2:$B$32,MATCH($D107,[3]BH!$D$2:$D$32,0))),"")</f>
        <v xml:space="preserve">Added referral # we have for SCS, and resubmitted - Not expected to be paid given that VA doesn't cover BH, and we don't have an RFS - DND due to missing referral </v>
      </c>
      <c r="C107" s="6">
        <f>IFERROR(IF(INDEX([3]BH!$C$2:$C$32,MATCH($D107,[3]BH!$D$2:$D$32,0))="","",INDEX([3]BH!$C$2:$C$32,MATCH($D107,[3]BH!$D$2:$D$32,0))),"")</f>
        <v>46128</v>
      </c>
      <c r="D107" s="7">
        <v>554404221</v>
      </c>
      <c r="E107" s="8" t="s">
        <v>432</v>
      </c>
      <c r="F107" s="9">
        <v>46112</v>
      </c>
      <c r="G107" s="8" t="s">
        <v>222</v>
      </c>
      <c r="H107" s="8" t="s">
        <v>222</v>
      </c>
      <c r="I107" s="8" t="s">
        <v>69</v>
      </c>
      <c r="J107" s="8" t="s">
        <v>160</v>
      </c>
      <c r="K107" s="6">
        <f>IFERROR(IF(INDEX([3]BH!$K$2:$K$32,MATCH($D107,[3]BH!$D$2:$D$32,0))="","",INDEX([3]BH!$K$2:$K$32,MATCH($D107,[3]BH!$D$2:$D$32,0))),"")</f>
        <v>46268</v>
      </c>
      <c r="L107" s="11">
        <f ca="1">IF($O107="","",$O107-TODAY())</f>
        <v>-72</v>
      </c>
      <c r="M107" s="11">
        <f ca="1">IF(AND(TRIM($A107)="Finalized",$K107&lt;&gt;""),"",IF($C107="","",$C107+365-TODAY()))</f>
        <v>189</v>
      </c>
      <c r="N107" s="11">
        <f ca="1">IF(AND(TRIM($A107)="Finalized",$K107&lt;&gt;""),"",IF($C107="","",$C107+90-TODAY()))</f>
        <v>-86</v>
      </c>
      <c r="O107" s="9">
        <f>IF(AND(TRIM($A107)="Finalized",$K107&lt;&gt;""),"",DATE(2026,7,29))</f>
        <v>46232</v>
      </c>
      <c r="P107" s="8" t="s">
        <v>208</v>
      </c>
      <c r="Q107" s="8" t="s">
        <v>224</v>
      </c>
      <c r="R107" s="8" t="s">
        <v>73</v>
      </c>
      <c r="S107" s="8" t="s">
        <v>74</v>
      </c>
      <c r="T107" s="8" t="s">
        <v>86</v>
      </c>
      <c r="U107" s="8" t="s">
        <v>74</v>
      </c>
      <c r="V107" s="8" t="s">
        <v>256</v>
      </c>
      <c r="W107" s="8" t="s">
        <v>118</v>
      </c>
      <c r="X107" s="8"/>
      <c r="Y107" s="8"/>
      <c r="Z107" s="8"/>
      <c r="AA107" s="8" t="s">
        <v>77</v>
      </c>
      <c r="AB107" s="10">
        <v>976.64</v>
      </c>
      <c r="AC107" s="10">
        <v>0</v>
      </c>
      <c r="AD107" s="10">
        <v>0</v>
      </c>
      <c r="AE107" s="9">
        <v>46128</v>
      </c>
      <c r="AF107" s="10">
        <v>976.64</v>
      </c>
      <c r="AG107" s="7">
        <v>130</v>
      </c>
      <c r="AH107" s="8" t="s">
        <v>119</v>
      </c>
      <c r="AI107" s="8"/>
      <c r="AJ107" s="8"/>
      <c r="AK107" s="8"/>
      <c r="AL107" s="7"/>
      <c r="AM107" s="8" t="s">
        <v>157</v>
      </c>
      <c r="AN107" s="8" t="s">
        <v>121</v>
      </c>
      <c r="AO107" s="9">
        <v>46119</v>
      </c>
    </row>
    <row r="108" spans="1:41" x14ac:dyDescent="0.25">
      <c r="A108" s="5" t="str">
        <f>IFERROR(IF(INDEX([4]US!$A$2:$A$23,MATCH($D108,[4]US!$D$2:$D$23,0))="","",INDEX([4]US!$A$2:$A$23,MATCH($D108,[4]US!$D$2:$D$23,0))),"")</f>
        <v>Denied</v>
      </c>
      <c r="B108" s="5" t="str">
        <f>IFERROR(IF(INDEX([4]US!$B$2:$B$23,MATCH($D108,[4]US!$D$2:$D$23,0))="","",INDEX([4]US!$B$2:$B$23,MATCH($D108,[4]US!$D$2:$D$23,0))),"")</f>
        <v>Added code 7, and resubmitted</v>
      </c>
      <c r="C108" s="6">
        <f>IFERROR(IF(INDEX([4]US!$C$2:$C$23,MATCH($D108,[4]US!$D$2:$D$23,0))="","",INDEX([4]US!$C$2:$C$23,MATCH($D108,[4]US!$D$2:$D$23,0))),"")</f>
        <v>46160</v>
      </c>
      <c r="D108" s="7">
        <v>558643981</v>
      </c>
      <c r="E108" s="8" t="s">
        <v>434</v>
      </c>
      <c r="F108" s="9">
        <v>46142</v>
      </c>
      <c r="G108" s="8" t="s">
        <v>148</v>
      </c>
      <c r="H108" s="8" t="s">
        <v>148</v>
      </c>
      <c r="I108" s="8" t="s">
        <v>69</v>
      </c>
      <c r="J108" s="8" t="s">
        <v>378</v>
      </c>
      <c r="K108" s="6">
        <f>IFERROR(IF(INDEX([4]US!$K$2:$K$23,MATCH($D108,[4]US!$D$2:$D$23,0))="","",INDEX([4]US!$K$2:$K$23,MATCH($D108,[4]US!$D$2:$D$23,0))),"")</f>
        <v>46278</v>
      </c>
      <c r="L108" s="11">
        <f ca="1">IF($O108="","",$O108-TODAY())</f>
        <v>-72</v>
      </c>
      <c r="M108" s="11">
        <f ca="1">IF(AND(TRIM($A108)="Finalized",$K108&lt;&gt;""),"",IF($C108="","",$C108+180-TODAY()))</f>
        <v>36</v>
      </c>
      <c r="N108" s="11">
        <f ca="1">IF(AND(TRIM($A108)="Finalized",$K108&lt;&gt;""),"",IF($C108="","",$C108+365-TODAY()))</f>
        <v>221</v>
      </c>
      <c r="O108" s="9">
        <f>IF(AND(TRIM($A108)="Finalized",$K108&lt;&gt;""),"",DATE(2026,7,29))</f>
        <v>46232</v>
      </c>
      <c r="P108" s="8" t="s">
        <v>86</v>
      </c>
      <c r="Q108" s="8" t="s">
        <v>152</v>
      </c>
      <c r="R108" s="8" t="s">
        <v>117</v>
      </c>
      <c r="S108" s="8" t="s">
        <v>74</v>
      </c>
      <c r="T108" s="8" t="s">
        <v>73</v>
      </c>
      <c r="U108" s="8" t="s">
        <v>74</v>
      </c>
      <c r="V108" s="8" t="s">
        <v>339</v>
      </c>
      <c r="W108" s="8" t="s">
        <v>129</v>
      </c>
      <c r="X108" s="8"/>
      <c r="Y108" s="8"/>
      <c r="Z108" s="8"/>
      <c r="AA108" s="8" t="s">
        <v>77</v>
      </c>
      <c r="AB108" s="10">
        <v>879.06</v>
      </c>
      <c r="AC108" s="10">
        <v>0</v>
      </c>
      <c r="AD108" s="10">
        <v>0</v>
      </c>
      <c r="AE108" s="9">
        <v>46160</v>
      </c>
      <c r="AF108" s="10">
        <v>879.06</v>
      </c>
      <c r="AG108" s="7">
        <v>100</v>
      </c>
      <c r="AH108" s="8" t="s">
        <v>316</v>
      </c>
      <c r="AI108" s="8" t="s">
        <v>139</v>
      </c>
      <c r="AJ108" s="8" t="s">
        <v>138</v>
      </c>
      <c r="AK108" s="8"/>
      <c r="AL108" s="7"/>
      <c r="AM108" s="8" t="s">
        <v>131</v>
      </c>
      <c r="AN108" s="8" t="s">
        <v>350</v>
      </c>
      <c r="AO108" s="9">
        <v>46148</v>
      </c>
    </row>
    <row r="109" spans="1:41" x14ac:dyDescent="0.25">
      <c r="A109" s="5" t="str">
        <f>IFERROR(IF(INDEX([4]US!$A$2:$A$23,MATCH($D109,[4]US!$D$2:$D$23,0))="","",INDEX([4]US!$A$2:$A$23,MATCH($D109,[4]US!$D$2:$D$23,0))),"")</f>
        <v>Under Review</v>
      </c>
      <c r="B109" s="5" t="str">
        <f>IFERROR(IF(INDEX([4]US!$B$2:$B$23,MATCH($D109,[4]US!$D$2:$D$23,0))="","",INDEX([4]US!$B$2:$B$23,MATCH($D109,[4]US!$D$2:$D$23,0))),"")</f>
        <v>secondary - check cob on noridian, if nothing there, check with April - 1A95CU0TY97</v>
      </c>
      <c r="C109" s="6">
        <f>IFERROR(IF(INDEX([4]US!$C$2:$C$23,MATCH($D109,[4]US!$D$2:$D$23,0))="","",INDEX([4]US!$C$2:$C$23,MATCH($D109,[4]US!$D$2:$D$23,0))),"")</f>
        <v>46152</v>
      </c>
      <c r="D109" s="7">
        <v>558643419</v>
      </c>
      <c r="E109" s="8" t="s">
        <v>435</v>
      </c>
      <c r="F109" s="9">
        <v>46142</v>
      </c>
      <c r="G109" s="8" t="s">
        <v>185</v>
      </c>
      <c r="H109" s="8" t="s">
        <v>134</v>
      </c>
      <c r="I109" s="8" t="s">
        <v>185</v>
      </c>
      <c r="J109" s="8" t="s">
        <v>128</v>
      </c>
      <c r="K109" s="6" t="str">
        <f>IFERROR(IF(INDEX([4]US!$K$2:$K$23,MATCH($D109,[4]US!$D$2:$D$23,0))="","",INDEX([4]US!$K$2:$K$23,MATCH($D109,[4]US!$D$2:$D$23,0))),"")</f>
        <v/>
      </c>
      <c r="L109" s="11">
        <f ca="1">IF($O109="","",$O109-TODAY())</f>
        <v>-72</v>
      </c>
      <c r="M109" s="11">
        <f ca="1">IF(AND(TRIM($A109)="Finalized",$K109&lt;&gt;""),"",IF($C109="","",$C109+365-TODAY()))</f>
        <v>213</v>
      </c>
      <c r="N109" s="11">
        <f ca="1">IF(AND(TRIM($A109)="Finalized",$K109&lt;&gt;""),"",IF($C109="","",$C109+365-TODAY()))</f>
        <v>213</v>
      </c>
      <c r="O109" s="9">
        <f>IF(AND(TRIM($A109)="Finalized",$K109&lt;&gt;""),"",DATE(2026,7,29))</f>
        <v>46232</v>
      </c>
      <c r="P109" s="8" t="s">
        <v>86</v>
      </c>
      <c r="Q109" s="8" t="s">
        <v>136</v>
      </c>
      <c r="R109" s="8" t="s">
        <v>73</v>
      </c>
      <c r="S109" s="8" t="s">
        <v>74</v>
      </c>
      <c r="T109" s="8" t="s">
        <v>73</v>
      </c>
      <c r="U109" s="8" t="s">
        <v>74</v>
      </c>
      <c r="V109" s="8" t="s">
        <v>339</v>
      </c>
      <c r="W109" s="8" t="s">
        <v>129</v>
      </c>
      <c r="X109" s="8"/>
      <c r="Y109" s="8"/>
      <c r="Z109" s="8"/>
      <c r="AA109" s="8" t="s">
        <v>77</v>
      </c>
      <c r="AB109" s="10">
        <v>1649.2</v>
      </c>
      <c r="AC109" s="10">
        <v>1454.49</v>
      </c>
      <c r="AD109" s="10">
        <v>59.71</v>
      </c>
      <c r="AE109" s="9">
        <v>46152</v>
      </c>
      <c r="AF109" s="10">
        <v>135</v>
      </c>
      <c r="AG109" s="7">
        <v>100</v>
      </c>
      <c r="AH109" s="8" t="s">
        <v>137</v>
      </c>
      <c r="AI109" s="8"/>
      <c r="AJ109" s="8"/>
      <c r="AK109" s="8"/>
      <c r="AL109" s="7">
        <v>561157100</v>
      </c>
      <c r="AM109" s="8" t="s">
        <v>131</v>
      </c>
      <c r="AN109" s="8" t="s">
        <v>350</v>
      </c>
      <c r="AO109" s="9">
        <v>46148</v>
      </c>
    </row>
    <row r="110" spans="1:41" x14ac:dyDescent="0.25">
      <c r="A110" s="5" t="str">
        <f>IFERROR(IF(INDEX([4]DME!$A$2:$A$34,MATCH($D110,[4]DME!$D$2:$D$34,0))="","",INDEX([4]DME!$A$2:$A$34,MATCH($D110,[4]DME!$D$2:$D$34,0))),"")</f>
        <v>Under Review</v>
      </c>
      <c r="B110" s="5" t="str">
        <f>IFERROR(IF(INDEX([4]DME!$B$2:$B$34,MATCH($D110,[4]DME!$D$2:$D$34,0))="","",INDEX([4]DME!$B$2:$B$34,MATCH($D110,[4]DME!$D$2:$D$34,0))),"")</f>
        <v>Call 800-636-2123 - DND A6010 Preferred Homecare is responsible for these services. Please submit the claim to Preferred Homecare for consideration</v>
      </c>
      <c r="C110" s="6">
        <f>IFERROR(IF(INDEX([4]DME!$C$2:$C$34,MATCH($D110,[4]DME!$D$2:$D$34,0))="","",INDEX([4]DME!$C$2:$C$34,MATCH($D110,[4]DME!$D$2:$D$34,0))),"")</f>
        <v>46162</v>
      </c>
      <c r="D110" s="7">
        <v>558739471</v>
      </c>
      <c r="E110" s="8" t="s">
        <v>436</v>
      </c>
      <c r="F110" s="9">
        <v>46142</v>
      </c>
      <c r="G110" s="8" t="s">
        <v>148</v>
      </c>
      <c r="H110" s="8" t="s">
        <v>148</v>
      </c>
      <c r="I110" s="8" t="s">
        <v>148</v>
      </c>
      <c r="J110" s="8" t="s">
        <v>373</v>
      </c>
      <c r="K110" s="6" t="str">
        <f>IFERROR(IF(INDEX([4]DME!$K$2:$K$34,MATCH($D110,[4]DME!$D$2:$D$34,0))="","",INDEX([4]DME!$K$2:$K$34,MATCH($D110,[4]DME!$D$2:$D$34,0))),"")</f>
        <v/>
      </c>
      <c r="L110" s="11">
        <f ca="1">IF($O110="","",$O110-TODAY())</f>
        <v>-72</v>
      </c>
      <c r="M110" s="11">
        <f ca="1">IF(AND(TRIM($A110)="Finalized",$K110&lt;&gt;""),"",IF($C110="","",$C110+180-TODAY()))</f>
        <v>38</v>
      </c>
      <c r="N110" s="11">
        <f ca="1">IF(AND(TRIM($A110)="Finalized",$K110&lt;&gt;""),"",IF($C110="","",$C110+365-TODAY()))</f>
        <v>223</v>
      </c>
      <c r="O110" s="9">
        <f>IF(AND(TRIM($A110)="Finalized",$K110&lt;&gt;""),"",DATE(2026,7,29))</f>
        <v>46232</v>
      </c>
      <c r="P110" s="8" t="s">
        <v>86</v>
      </c>
      <c r="Q110" s="8" t="s">
        <v>152</v>
      </c>
      <c r="R110" s="8" t="s">
        <v>117</v>
      </c>
      <c r="S110" s="8" t="s">
        <v>74</v>
      </c>
      <c r="T110" s="8" t="s">
        <v>73</v>
      </c>
      <c r="U110" s="8" t="s">
        <v>74</v>
      </c>
      <c r="V110" s="8" t="s">
        <v>339</v>
      </c>
      <c r="W110" s="8" t="s">
        <v>89</v>
      </c>
      <c r="X110" s="8" t="s">
        <v>244</v>
      </c>
      <c r="Y110" s="8"/>
      <c r="Z110" s="8"/>
      <c r="AA110" s="8" t="s">
        <v>190</v>
      </c>
      <c r="AB110" s="10">
        <v>2958.2</v>
      </c>
      <c r="AC110" s="10">
        <v>0</v>
      </c>
      <c r="AD110" s="10">
        <v>0</v>
      </c>
      <c r="AE110" s="9">
        <v>46162</v>
      </c>
      <c r="AF110" s="10">
        <v>2958.2</v>
      </c>
      <c r="AG110" s="7">
        <v>100</v>
      </c>
      <c r="AH110" s="8" t="s">
        <v>92</v>
      </c>
      <c r="AI110" s="8" t="s">
        <v>79</v>
      </c>
      <c r="AJ110" s="8"/>
      <c r="AK110" s="8"/>
      <c r="AL110" s="7"/>
      <c r="AM110" s="8" t="s">
        <v>399</v>
      </c>
      <c r="AN110" s="8" t="s">
        <v>132</v>
      </c>
      <c r="AO110" s="9">
        <v>46153</v>
      </c>
    </row>
    <row r="111" spans="1:41" x14ac:dyDescent="0.25">
      <c r="A111" s="5" t="str">
        <f>IFERROR(IF(INDEX([4]DME!$A$2:$A$34,MATCH($D111,[4]DME!$D$2:$D$34,0))="","",INDEX([4]DME!$A$2:$A$34,MATCH($D111,[4]DME!$D$2:$D$34,0))),"")</f>
        <v>Under Review</v>
      </c>
      <c r="B111" s="5" t="str">
        <f>IFERROR(IF(INDEX([4]DME!$B$2:$B$34,MATCH($D111,[4]DME!$D$2:$D$34,0))="","",INDEX([4]DME!$B$2:$B$34,MATCH($D111,[4]DME!$D$2:$D$34,0))),"")</f>
        <v>Chat with anthem about medical records being received - Jess sent MR through fax with barcode letter</v>
      </c>
      <c r="C111" s="6">
        <f>IFERROR(IF(INDEX([4]DME!$C$2:$C$34,MATCH($D111,[4]DME!$D$2:$D$34,0))="","",INDEX([4]DME!$C$2:$C$34,MATCH($D111,[4]DME!$D$2:$D$34,0))),"")</f>
        <v>46162</v>
      </c>
      <c r="D111" s="7">
        <v>562340666</v>
      </c>
      <c r="E111" s="8" t="s">
        <v>170</v>
      </c>
      <c r="F111" s="9">
        <v>46142</v>
      </c>
      <c r="G111" s="8" t="s">
        <v>123</v>
      </c>
      <c r="H111" s="8" t="s">
        <v>123</v>
      </c>
      <c r="I111" s="8" t="s">
        <v>437</v>
      </c>
      <c r="J111" s="8" t="s">
        <v>243</v>
      </c>
      <c r="K111" s="6" t="str">
        <f>IFERROR(IF(INDEX([4]DME!$K$2:$K$34,MATCH($D111,[4]DME!$D$2:$D$34,0))="","",INDEX([4]DME!$K$2:$K$34,MATCH($D111,[4]DME!$D$2:$D$34,0))),"")</f>
        <v/>
      </c>
      <c r="L111" s="11">
        <f ca="1">IF($O111="","",$O111-TODAY())</f>
        <v>-72</v>
      </c>
      <c r="M111" s="11">
        <f ca="1">IF(AND(TRIM($A111)="Finalized",$K111&lt;&gt;""),"",IF($F111="","",$F111+90-TODAY()))</f>
        <v>-72</v>
      </c>
      <c r="N111" s="11">
        <f ca="1">IF(AND(TRIM($A111)="Finalized",$K111&lt;&gt;""),"",IF($C111="","",$C111+365-TODAY()))</f>
        <v>223</v>
      </c>
      <c r="O111" s="9">
        <f>IF(AND(TRIM($A111)="Finalized",$K111&lt;&gt;""),"",DATE(2026,7,29))</f>
        <v>46232</v>
      </c>
      <c r="P111" s="8" t="s">
        <v>86</v>
      </c>
      <c r="Q111" s="8" t="s">
        <v>125</v>
      </c>
      <c r="R111" s="8" t="s">
        <v>86</v>
      </c>
      <c r="S111" s="8" t="s">
        <v>88</v>
      </c>
      <c r="T111" s="8" t="s">
        <v>73</v>
      </c>
      <c r="U111" s="8" t="s">
        <v>74</v>
      </c>
      <c r="V111" s="8" t="s">
        <v>339</v>
      </c>
      <c r="W111" s="8" t="s">
        <v>89</v>
      </c>
      <c r="X111" s="8" t="s">
        <v>244</v>
      </c>
      <c r="Y111" s="8"/>
      <c r="Z111" s="8"/>
      <c r="AA111" s="8" t="s">
        <v>91</v>
      </c>
      <c r="AB111" s="10">
        <v>5916.4</v>
      </c>
      <c r="AC111" s="10">
        <v>0</v>
      </c>
      <c r="AD111" s="10">
        <v>0</v>
      </c>
      <c r="AE111" s="9">
        <v>46162</v>
      </c>
      <c r="AF111" s="10">
        <v>5916.4</v>
      </c>
      <c r="AG111" s="7">
        <v>100</v>
      </c>
      <c r="AH111" s="8" t="s">
        <v>92</v>
      </c>
      <c r="AI111" s="8" t="s">
        <v>308</v>
      </c>
      <c r="AJ111" s="8" t="s">
        <v>285</v>
      </c>
      <c r="AK111" s="8"/>
      <c r="AL111" s="7"/>
      <c r="AM111" s="8" t="s">
        <v>217</v>
      </c>
      <c r="AN111" s="8" t="s">
        <v>158</v>
      </c>
      <c r="AO111" s="9">
        <v>46153</v>
      </c>
    </row>
    <row r="112" spans="1:41" x14ac:dyDescent="0.25">
      <c r="A112" s="5" t="str">
        <f>IFERROR(IF(INDEX([5]BH!$A$2:$A$33,MATCH($D112,[5]BH!$D$2:$D$33,0))="","",INDEX([5]BH!$A$2:$A$33,MATCH($D112,[5]BH!$D$2:$D$33,0))),"")</f>
        <v>Rejected</v>
      </c>
      <c r="B112" s="5" t="str">
        <f>IFERROR(IF(INDEX([5]BH!$B$2:$B$33,MATCH($D112,[5]BH!$D$2:$D$33,0))="","",INDEX([5]BH!$B$2:$B$33,MATCH($D112,[5]BH!$D$2:$D$33,0))),"")</f>
        <v>Resubmitted again - Aisha review Adlers status on the AHCCCS portal. He is showing active ins 2012 - Rendering OON with Medicaid AHCCCS - Confirming with Bri - DOS we were working on 05/01/2026</v>
      </c>
      <c r="C112" s="6" t="str">
        <f>IFERROR(IF(INDEX([5]BH!$C$2:$C$33,MATCH($D112,[5]BH!$D$2:$D$33,0))="","",INDEX([5]BH!$C$2:$C$33,MATCH($D112,[5]BH!$D$2:$D$33,0))),"")</f>
        <v/>
      </c>
      <c r="D112" s="7">
        <v>558010066</v>
      </c>
      <c r="E112" s="8" t="s">
        <v>438</v>
      </c>
      <c r="F112" s="9">
        <v>46143</v>
      </c>
      <c r="G112" s="8" t="s">
        <v>148</v>
      </c>
      <c r="H112" s="8" t="s">
        <v>148</v>
      </c>
      <c r="I112" s="8" t="s">
        <v>69</v>
      </c>
      <c r="J112" s="8" t="s">
        <v>124</v>
      </c>
      <c r="K112" s="6">
        <f>IFERROR(IF(INDEX([5]BH!$K$2:$K$33,MATCH($D112,[5]BH!$D$2:$D$33,0))="","",INDEX([5]BH!$K$2:$K$33,MATCH($D112,[5]BH!$D$2:$D$33,0))),"")</f>
        <v>46300</v>
      </c>
      <c r="L112" s="11">
        <f ca="1">IF($O112="","",$O112-TODAY())</f>
        <v>-71</v>
      </c>
      <c r="M112" s="11" t="str">
        <f ca="1">IF(AND(TRIM($A112)="Finalized",$K112&lt;&gt;""),"",IF($C112="","",$C112+180-TODAY()))</f>
        <v/>
      </c>
      <c r="N112" s="11" t="str">
        <f ca="1">IF(AND(TRIM($A112)="Finalized",$K112&lt;&gt;""),"",IF($C112="","",$C112+365-TODAY()))</f>
        <v/>
      </c>
      <c r="O112" s="9">
        <f>IF(AND(TRIM($A112)="Finalized",$K112&lt;&gt;""),"",DATE(2026,7,30))</f>
        <v>46233</v>
      </c>
      <c r="P112" s="8" t="s">
        <v>86</v>
      </c>
      <c r="Q112" s="8" t="s">
        <v>152</v>
      </c>
      <c r="R112" s="8" t="s">
        <v>117</v>
      </c>
      <c r="S112" s="8" t="s">
        <v>74</v>
      </c>
      <c r="T112" s="8" t="s">
        <v>73</v>
      </c>
      <c r="U112" s="8" t="s">
        <v>74</v>
      </c>
      <c r="V112" s="8" t="s">
        <v>365</v>
      </c>
      <c r="W112" s="8" t="s">
        <v>118</v>
      </c>
      <c r="X112" s="8"/>
      <c r="Y112" s="8"/>
      <c r="Z112" s="8"/>
      <c r="AA112" s="8" t="s">
        <v>77</v>
      </c>
      <c r="AB112" s="10">
        <v>1426.25</v>
      </c>
      <c r="AC112" s="10">
        <v>0</v>
      </c>
      <c r="AD112" s="10">
        <v>0</v>
      </c>
      <c r="AE112" s="9"/>
      <c r="AF112" s="10">
        <v>1426.25</v>
      </c>
      <c r="AG112" s="7">
        <v>99</v>
      </c>
      <c r="AH112" s="8" t="s">
        <v>161</v>
      </c>
      <c r="AI112" s="8"/>
      <c r="AJ112" s="8"/>
      <c r="AK112" s="8"/>
      <c r="AL112" s="7"/>
      <c r="AM112" s="8" t="s">
        <v>321</v>
      </c>
      <c r="AN112" s="8" t="s">
        <v>132</v>
      </c>
      <c r="AO112" s="9">
        <v>46180</v>
      </c>
    </row>
    <row r="113" spans="1:41" x14ac:dyDescent="0.25">
      <c r="A113" s="5" t="str">
        <f>IFERROR(IF(INDEX([4]ORTHO!$A$2:$A$21,MATCH($D113,[4]ORTHO!$D$2:$D$21,0))="","",INDEX([4]ORTHO!$A$2:$A$21,MATCH($D113,[4]ORTHO!$D$2:$D$21,0))),"")</f>
        <v>Denied</v>
      </c>
      <c r="B113" s="5" t="str">
        <f>IFERROR(IF(INDEX([4]ORTHO!$B$2:$B$21,MATCH($D113,[4]ORTHO!$D$2:$D$21,0))="","",INDEX([4]ORTHO!$B$2:$B$21,MATCH($D113,[4]ORTHO!$D$2:$D$21,0))),"")</f>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
      <c r="C113" s="6">
        <f>IFERROR(IF(INDEX([4]ORTHO!$C$2:$C$21,MATCH($D113,[4]ORTHO!$D$2:$D$21,0))="","",INDEX([4]ORTHO!$C$2:$C$21,MATCH($D113,[4]ORTHO!$D$2:$D$21,0))),"")</f>
        <v>46220</v>
      </c>
      <c r="D113" s="7">
        <v>556732851</v>
      </c>
      <c r="E113" s="8" t="s">
        <v>440</v>
      </c>
      <c r="F113" s="9">
        <v>46113</v>
      </c>
      <c r="G113" s="8" t="s">
        <v>377</v>
      </c>
      <c r="H113" s="8" t="s">
        <v>377</v>
      </c>
      <c r="I113" s="8" t="s">
        <v>69</v>
      </c>
      <c r="J113" s="8" t="s">
        <v>441</v>
      </c>
      <c r="K113" s="6">
        <f>IFERROR(IF(INDEX([4]ORTHO!$K$2:$K$21,MATCH($D113,[4]ORTHO!$D$2:$D$21,0))="","",INDEX([4]ORTHO!$K$2:$K$21,MATCH($D113,[4]ORTHO!$D$2:$D$21,0))),"")</f>
        <v>46261</v>
      </c>
      <c r="L113" s="11">
        <f ca="1">IF($O113="","",$O113-TODAY())</f>
        <v>-71</v>
      </c>
      <c r="M113" s="11">
        <f ca="1">IF(AND(TRIM($A113)="Finalized",$K113&lt;&gt;""),"",IF($C113="","",$C113+180-TODAY()))</f>
        <v>96</v>
      </c>
      <c r="N113" s="11">
        <f ca="1">IF(AND(TRIM($A113)="Finalized",$K113&lt;&gt;""),"",IF($C113="","",$C113+180-TODAY()))</f>
        <v>96</v>
      </c>
      <c r="O113" s="9">
        <f>IF(AND(TRIM($A113)="Finalized",$K113&lt;&gt;""),"",DATE(2026,7,30))</f>
        <v>46233</v>
      </c>
      <c r="P113" s="8" t="s">
        <v>208</v>
      </c>
      <c r="Q113" s="8" t="s">
        <v>379</v>
      </c>
      <c r="R113" s="8" t="s">
        <v>117</v>
      </c>
      <c r="S113" s="8" t="s">
        <v>74</v>
      </c>
      <c r="T113" s="8" t="s">
        <v>117</v>
      </c>
      <c r="U113" s="8" t="s">
        <v>74</v>
      </c>
      <c r="V113" s="8" t="s">
        <v>339</v>
      </c>
      <c r="W113" s="8" t="s">
        <v>76</v>
      </c>
      <c r="X113" s="8" t="s">
        <v>102</v>
      </c>
      <c r="Y113" s="8"/>
      <c r="Z113" s="8"/>
      <c r="AA113" s="8" t="s">
        <v>77</v>
      </c>
      <c r="AB113" s="10">
        <v>23841.63</v>
      </c>
      <c r="AC113" s="10">
        <v>0</v>
      </c>
      <c r="AD113" s="10">
        <v>0</v>
      </c>
      <c r="AE113" s="9">
        <v>46220</v>
      </c>
      <c r="AF113" s="10">
        <v>23841.63</v>
      </c>
      <c r="AG113" s="7">
        <v>129</v>
      </c>
      <c r="AH113" s="8" t="s">
        <v>308</v>
      </c>
      <c r="AI113" s="8" t="s">
        <v>442</v>
      </c>
      <c r="AJ113" s="8" t="s">
        <v>443</v>
      </c>
      <c r="AK113" s="8" t="s">
        <v>444</v>
      </c>
      <c r="AL113" s="7"/>
      <c r="AM113" s="8" t="s">
        <v>272</v>
      </c>
      <c r="AN113" s="8" t="s">
        <v>109</v>
      </c>
      <c r="AO113" s="9">
        <v>46197</v>
      </c>
    </row>
    <row r="114" spans="1:41" x14ac:dyDescent="0.25">
      <c r="A114" s="5" t="str">
        <f>IFERROR(IF(INDEX([4]US!$A$2:$A$23,MATCH($D114,[4]US!$D$2:$D$23,0))="","",INDEX([4]US!$A$2:$A$23,MATCH($D114,[4]US!$D$2:$D$23,0))),"")</f>
        <v>Under Review</v>
      </c>
      <c r="B114" s="5" t="str">
        <f>IFERROR(IF(INDEX([4]US!$B$2:$B$23,MATCH($D114,[4]US!$D$2:$D$23,0))="","",INDEX([4]US!$B$2:$B$23,MATCH($D114,[4]US!$D$2:$D$23,0))),"")</f>
        <v>Send pending msm to Bri</v>
      </c>
      <c r="C114" s="6">
        <f>IFERROR(IF(INDEX([4]US!$C$2:$C$23,MATCH($D114,[4]US!$D$2:$D$23,0))="","",INDEX([4]US!$C$2:$C$23,MATCH($D114,[4]US!$D$2:$D$23,0))),"")</f>
        <v>46153</v>
      </c>
      <c r="D114" s="7">
        <v>558622490</v>
      </c>
      <c r="E114" s="8" t="s">
        <v>445</v>
      </c>
      <c r="F114" s="9">
        <v>46113</v>
      </c>
      <c r="G114" s="8" t="s">
        <v>446</v>
      </c>
      <c r="H114" s="8" t="s">
        <v>446</v>
      </c>
      <c r="I114" s="8" t="s">
        <v>69</v>
      </c>
      <c r="J114" s="8" t="s">
        <v>447</v>
      </c>
      <c r="K114" s="6" t="str">
        <f>IFERROR(IF(INDEX([4]US!$K$2:$K$23,MATCH($D114,[4]US!$D$2:$D$23,0))="","",INDEX([4]US!$K$2:$K$23,MATCH($D114,[4]US!$D$2:$D$23,0))),"")</f>
        <v/>
      </c>
      <c r="L114" s="11">
        <f ca="1">IF($O114="","",$O114-TODAY())</f>
        <v>-71</v>
      </c>
      <c r="M114" s="11"/>
      <c r="N114" s="11">
        <f ca="1">IF(AND(TRIM($A114)="Finalized",$K114&lt;&gt;""),"",IF($C114="","",$C114+65-TODAY()))</f>
        <v>-86</v>
      </c>
      <c r="O114" s="9">
        <f>IF(AND(TRIM($A114)="Finalized",$K114&lt;&gt;""),"",DATE(2026,7,30))</f>
        <v>46233</v>
      </c>
      <c r="P114" s="8" t="s">
        <v>208</v>
      </c>
      <c r="Q114" s="8" t="s">
        <v>448</v>
      </c>
      <c r="R114" s="8"/>
      <c r="S114" s="8"/>
      <c r="T114" s="8" t="s">
        <v>449</v>
      </c>
      <c r="U114" s="8" t="s">
        <v>74</v>
      </c>
      <c r="V114" s="8" t="s">
        <v>339</v>
      </c>
      <c r="W114" s="8" t="s">
        <v>129</v>
      </c>
      <c r="X114" s="8"/>
      <c r="Y114" s="8"/>
      <c r="Z114" s="8"/>
      <c r="AA114" s="8" t="s">
        <v>77</v>
      </c>
      <c r="AB114" s="10">
        <v>3822.49</v>
      </c>
      <c r="AC114" s="10">
        <v>0</v>
      </c>
      <c r="AD114" s="10">
        <v>0</v>
      </c>
      <c r="AE114" s="9">
        <v>46153</v>
      </c>
      <c r="AF114" s="10">
        <v>3822.49</v>
      </c>
      <c r="AG114" s="7">
        <v>129</v>
      </c>
      <c r="AH114" s="8" t="s">
        <v>450</v>
      </c>
      <c r="AI114" s="8" t="s">
        <v>78</v>
      </c>
      <c r="AJ114" s="8" t="s">
        <v>324</v>
      </c>
      <c r="AK114" s="8" t="s">
        <v>451</v>
      </c>
      <c r="AL114" s="7"/>
      <c r="AM114" s="8" t="s">
        <v>165</v>
      </c>
      <c r="AN114" s="8" t="s">
        <v>95</v>
      </c>
      <c r="AO114" s="9">
        <v>46140</v>
      </c>
    </row>
    <row r="115" spans="1:41" x14ac:dyDescent="0.25">
      <c r="A115" s="5" t="str">
        <f>IFERROR(IF(INDEX([5]DME!$A$2:$A$35,MATCH($D115,[5]DME!$D$2:$D$35,0))="","",INDEX([5]DME!$A$2:$A$35,MATCH($D115,[5]DME!$D$2:$D$35,0))),"")</f>
        <v>Under Review</v>
      </c>
      <c r="B115" s="5" t="str">
        <f>IFERROR(IF(INDEX([5]DME!$B$2:$B$35,MATCH($D115,[5]DME!$D$2:$D$35,0))="","",INDEX([5]DME!$B$2:$B$35,MATCH($D115,[5]DME!$D$2:$D$35,0))),"")</f>
        <v>Still processing - ins received claim on 07/20/2026</v>
      </c>
      <c r="C115" s="6" t="str">
        <f>IFERROR(IF(INDEX([5]DME!$C$2:$C$35,MATCH($D115,[5]DME!$D$2:$D$35,0))="","",INDEX([5]DME!$C$2:$C$35,MATCH($D115,[5]DME!$D$2:$D$35,0))),"")</f>
        <v/>
      </c>
      <c r="D115" s="7">
        <v>559374682</v>
      </c>
      <c r="E115" s="8" t="s">
        <v>452</v>
      </c>
      <c r="F115" s="9">
        <v>46143</v>
      </c>
      <c r="G115" s="8" t="s">
        <v>134</v>
      </c>
      <c r="H115" s="8" t="s">
        <v>134</v>
      </c>
      <c r="I115" s="8" t="s">
        <v>69</v>
      </c>
      <c r="J115" s="8" t="s">
        <v>85</v>
      </c>
      <c r="K115" s="6" t="str">
        <f>IFERROR(IF(INDEX([5]DME!$K$2:$K$35,MATCH($D115,[5]DME!$D$2:$D$35,0))="","",INDEX([5]DME!$K$2:$K$35,MATCH($D115,[5]DME!$D$2:$D$35,0))),"")</f>
        <v/>
      </c>
      <c r="L115" s="11">
        <f ca="1">IF($O115="","",$O115-TODAY())</f>
        <v>-71</v>
      </c>
      <c r="M115" s="11" t="str">
        <f ca="1">IF(AND(TRIM($A115)="Finalized",$K115&lt;&gt;""),"",IF($C115="","",$C115+365-TODAY()))</f>
        <v/>
      </c>
      <c r="N115" s="11" t="str">
        <f ca="1">IF(AND(TRIM($A115)="Finalized",$K115&lt;&gt;""),"",IF($C115="","",$C115+365-TODAY()))</f>
        <v/>
      </c>
      <c r="O115" s="9">
        <f>IF(AND(TRIM($A115)="Finalized",$K115&lt;&gt;""),"",DATE(2026,7,30))</f>
        <v>46233</v>
      </c>
      <c r="P115" s="8" t="s">
        <v>86</v>
      </c>
      <c r="Q115" s="8" t="s">
        <v>136</v>
      </c>
      <c r="R115" s="8" t="s">
        <v>73</v>
      </c>
      <c r="S115" s="8" t="s">
        <v>74</v>
      </c>
      <c r="T115" s="8" t="s">
        <v>73</v>
      </c>
      <c r="U115" s="8" t="s">
        <v>74</v>
      </c>
      <c r="V115" s="8" t="s">
        <v>365</v>
      </c>
      <c r="W115" s="8" t="s">
        <v>89</v>
      </c>
      <c r="X115" s="8" t="s">
        <v>90</v>
      </c>
      <c r="Y115" s="8"/>
      <c r="Z115" s="8"/>
      <c r="AA115" s="8" t="s">
        <v>91</v>
      </c>
      <c r="AB115" s="10">
        <v>36353.800000000003</v>
      </c>
      <c r="AC115" s="10">
        <v>0</v>
      </c>
      <c r="AD115" s="10">
        <v>0</v>
      </c>
      <c r="AE115" s="9"/>
      <c r="AF115" s="10">
        <v>36353.800000000003</v>
      </c>
      <c r="AG115" s="7">
        <v>99</v>
      </c>
      <c r="AH115" s="8" t="s">
        <v>92</v>
      </c>
      <c r="AI115" s="8" t="s">
        <v>78</v>
      </c>
      <c r="AJ115" s="8"/>
      <c r="AK115" s="8"/>
      <c r="AL115" s="7"/>
      <c r="AM115" s="8" t="s">
        <v>272</v>
      </c>
      <c r="AN115" s="8" t="s">
        <v>121</v>
      </c>
      <c r="AO115" s="9">
        <v>46217</v>
      </c>
    </row>
    <row r="116" spans="1:41" x14ac:dyDescent="0.25">
      <c r="A116" s="5" t="str">
        <f>IFERROR(IF(INDEX([6]GAE!$A$2:$A$23,MATCH($D116,[6]GAE!$D$2:$D$23,0))="","",INDEX([6]GAE!$A$2:$A$23,MATCH($D116,[6]GAE!$D$2:$D$23,0))),"")</f>
        <v>Denied</v>
      </c>
      <c r="B116" s="5" t="str">
        <f>IFERROR(IF(INDEX([6]GAE!$B$2:$B$23,MATCH($D116,[6]GAE!$D$2:$D$23,0))="","",INDEX([6]GAE!$B$2:$B$23,MATCH($D116,[6]GAE!$D$2:$D$23,0))),"")</f>
        <v>Filed dispute ID PDX7G8WCG9 with MR</v>
      </c>
      <c r="C116" s="6">
        <f>IFERROR(IF(INDEX([6]GAE!$C$2:$C$23,MATCH($D116,[6]GAE!$D$2:$D$23,0))="","",INDEX([6]GAE!$C$2:$C$23,MATCH($D116,[6]GAE!$D$2:$D$23,0))),"")</f>
        <v>46223</v>
      </c>
      <c r="D116" s="7">
        <v>565099868</v>
      </c>
      <c r="E116" s="8" t="s">
        <v>453</v>
      </c>
      <c r="F116" s="9">
        <v>46174</v>
      </c>
      <c r="G116" s="8" t="s">
        <v>363</v>
      </c>
      <c r="H116" s="8" t="s">
        <v>363</v>
      </c>
      <c r="I116" s="8" t="s">
        <v>69</v>
      </c>
      <c r="J116" s="8" t="s">
        <v>454</v>
      </c>
      <c r="K116" s="6">
        <f>IFERROR(IF(INDEX([6]GAE!$K$2:$K$23,MATCH($D116,[6]GAE!$D$2:$D$23,0))="","",INDEX([6]GAE!$K$2:$K$23,MATCH($D116,[6]GAE!$D$2:$D$23,0))),"")</f>
        <v>46252</v>
      </c>
      <c r="L116" s="11">
        <f ca="1">IF($O116="","",$O116-TODAY())</f>
        <v>-70</v>
      </c>
      <c r="M116" s="11">
        <f ca="1">IF(AND(TRIM($A116)="Finalized",$K116&lt;&gt;""),"",IF($C116="","",$C116+365-TODAY()))</f>
        <v>284</v>
      </c>
      <c r="N116" s="11">
        <f ca="1">IF(AND(TRIM($A116)="Finalized",$K116&lt;&gt;""),"",IF($C116="","",$C116+90-TODAY()))</f>
        <v>9</v>
      </c>
      <c r="O116" s="9">
        <f>IF(AND(TRIM($A116)="Finalized",$K116&lt;&gt;""),"",DATE(2026,7,31))</f>
        <v>46234</v>
      </c>
      <c r="P116" s="8" t="s">
        <v>71</v>
      </c>
      <c r="Q116" s="8" t="s">
        <v>364</v>
      </c>
      <c r="R116" s="8" t="s">
        <v>73</v>
      </c>
      <c r="S116" s="8" t="s">
        <v>74</v>
      </c>
      <c r="T116" s="8" t="s">
        <v>86</v>
      </c>
      <c r="U116" s="8" t="s">
        <v>74</v>
      </c>
      <c r="V116" s="8" t="s">
        <v>455</v>
      </c>
      <c r="W116" s="8" t="s">
        <v>101</v>
      </c>
      <c r="X116" s="8" t="s">
        <v>359</v>
      </c>
      <c r="Y116" s="8" t="s">
        <v>456</v>
      </c>
      <c r="Z116" s="8" t="s">
        <v>103</v>
      </c>
      <c r="AA116" s="8" t="s">
        <v>457</v>
      </c>
      <c r="AB116" s="10">
        <v>70557.69</v>
      </c>
      <c r="AC116" s="10">
        <v>0</v>
      </c>
      <c r="AD116" s="10">
        <v>0</v>
      </c>
      <c r="AE116" s="9">
        <v>46223</v>
      </c>
      <c r="AF116" s="10">
        <v>70557.69</v>
      </c>
      <c r="AG116" s="7">
        <v>68</v>
      </c>
      <c r="AH116" s="8" t="s">
        <v>105</v>
      </c>
      <c r="AI116" s="8" t="s">
        <v>106</v>
      </c>
      <c r="AJ116" s="8" t="s">
        <v>107</v>
      </c>
      <c r="AK116" s="8"/>
      <c r="AL116" s="7"/>
      <c r="AM116" s="8" t="s">
        <v>108</v>
      </c>
      <c r="AN116" s="8" t="s">
        <v>81</v>
      </c>
      <c r="AO116" s="9">
        <v>46216</v>
      </c>
    </row>
    <row r="117" spans="1:41" x14ac:dyDescent="0.25">
      <c r="A117" s="5" t="str">
        <f>IFERROR(IF(INDEX([4]DME!$A$2:$A$34,MATCH($D117,[4]DME!$D$2:$D$34,0))="","",INDEX([4]DME!$A$2:$A$34,MATCH($D117,[4]DME!$D$2:$D$34,0))),"")</f>
        <v>Not found</v>
      </c>
      <c r="B117" s="5" t="str">
        <f>IFERROR(IF(INDEX([4]DME!$B$2:$B$34,MATCH($D117,[4]DME!$D$2:$D$34,0))="","",INDEX([4]DME!$B$2:$B$34,MATCH($D117,[4]DME!$D$2:$D$34,0))),"")</f>
        <v>Check if the payer change worked - Submitted claim on portal with MR - Claim Id: 851901307 - Confirmation ID 843724183 - No auth request on file - Retro auth not available at this time</v>
      </c>
      <c r="C117" s="6">
        <f>IFERROR(IF(INDEX([4]DME!$C$2:$C$34,MATCH($D117,[4]DME!$D$2:$D$34,0))="","",INDEX([4]DME!$C$2:$C$34,MATCH($D117,[4]DME!$D$2:$D$34,0))),"")</f>
        <v>46154</v>
      </c>
      <c r="D117" s="7">
        <v>556762240</v>
      </c>
      <c r="E117" s="8" t="s">
        <v>458</v>
      </c>
      <c r="F117" s="9">
        <v>46114</v>
      </c>
      <c r="G117" s="8" t="s">
        <v>459</v>
      </c>
      <c r="H117" s="8" t="s">
        <v>459</v>
      </c>
      <c r="I117" s="8" t="s">
        <v>185</v>
      </c>
      <c r="J117" s="8" t="s">
        <v>243</v>
      </c>
      <c r="K117" s="6">
        <f>IFERROR(IF(INDEX([4]DME!$K$2:$K$34,MATCH($D117,[4]DME!$D$2:$D$34,0))="","",INDEX([4]DME!$K$2:$K$34,MATCH($D117,[4]DME!$D$2:$D$34,0))),"")</f>
        <v>46285</v>
      </c>
      <c r="L117" s="11">
        <f ca="1">IF($O117="","",$O117-TODAY())</f>
        <v>-70</v>
      </c>
      <c r="M117" s="11">
        <f ca="1">IF(AND(TRIM($A117)="Finalized",$K117&lt;&gt;""),"",IF($F117="","",$F117+365-TODAY()))</f>
        <v>175</v>
      </c>
      <c r="N117" s="11">
        <f ca="1">IF(AND(TRIM($A117)="Finalized",$K117&lt;&gt;""),"",IF($C117="","",$C117+180-TODAY()))</f>
        <v>30</v>
      </c>
      <c r="O117" s="9">
        <f>IF(AND(TRIM($A117)="Finalized",$K117&lt;&gt;""),"",DATE(2026,7,31))</f>
        <v>46234</v>
      </c>
      <c r="P117" s="8" t="s">
        <v>208</v>
      </c>
      <c r="Q117" s="8" t="s">
        <v>459</v>
      </c>
      <c r="R117" s="8" t="s">
        <v>73</v>
      </c>
      <c r="S117" s="8" t="s">
        <v>88</v>
      </c>
      <c r="T117" s="8" t="s">
        <v>117</v>
      </c>
      <c r="U117" s="8" t="s">
        <v>74</v>
      </c>
      <c r="V117" s="8" t="s">
        <v>339</v>
      </c>
      <c r="W117" s="8" t="s">
        <v>89</v>
      </c>
      <c r="X117" s="8" t="s">
        <v>244</v>
      </c>
      <c r="Y117" s="8"/>
      <c r="Z117" s="8"/>
      <c r="AA117" s="8" t="s">
        <v>91</v>
      </c>
      <c r="AB117" s="10">
        <v>5916.4</v>
      </c>
      <c r="AC117" s="10">
        <v>0</v>
      </c>
      <c r="AD117" s="10">
        <v>0</v>
      </c>
      <c r="AE117" s="9">
        <v>46154</v>
      </c>
      <c r="AF117" s="10">
        <v>5916.4</v>
      </c>
      <c r="AG117" s="7">
        <v>128</v>
      </c>
      <c r="AH117" s="8" t="s">
        <v>92</v>
      </c>
      <c r="AI117" s="8" t="s">
        <v>182</v>
      </c>
      <c r="AJ117" s="8"/>
      <c r="AK117" s="8"/>
      <c r="AL117" s="7"/>
      <c r="AM117" s="8" t="s">
        <v>460</v>
      </c>
      <c r="AN117" s="8" t="s">
        <v>158</v>
      </c>
      <c r="AO117" s="9">
        <v>46133</v>
      </c>
    </row>
    <row r="118" spans="1:41" x14ac:dyDescent="0.25">
      <c r="A118" s="5" t="str">
        <f>IFERROR(IF(INDEX([4]ORTHO!$A$2:$A$21,MATCH($D118,[4]ORTHO!$D$2:$D$21,0))="","",INDEX([4]ORTHO!$A$2:$A$21,MATCH($D118,[4]ORTHO!$D$2:$D$21,0))),"")</f>
        <v>Denied</v>
      </c>
      <c r="B118" s="5" t="str">
        <f>IFERROR(IF(INDEX([4]ORTHO!$B$2:$B$21,MATCH($D118,[4]ORTHO!$D$2:$D$21,0))="","",INDEX([4]ORTHO!$B$2:$B$21,MATCH($D118,[4]ORTHO!$D$2:$D$21,0))),"")</f>
        <v xml:space="preserve">Requested auth on portal - Current Status: Not certified - NAR received was for 62330, which doesn't require authorization according to portal-Availity - DND no auth on file </v>
      </c>
      <c r="C118" s="6">
        <f>IFERROR(IF(INDEX([4]ORTHO!$C$2:$C$21,MATCH($D118,[4]ORTHO!$D$2:$D$21,0))="","",INDEX([4]ORTHO!$C$2:$C$21,MATCH($D118,[4]ORTHO!$D$2:$D$21,0))),"")</f>
        <v>46136</v>
      </c>
      <c r="D118" s="7">
        <v>554827888</v>
      </c>
      <c r="E118" s="8" t="s">
        <v>461</v>
      </c>
      <c r="F118" s="9">
        <v>46115</v>
      </c>
      <c r="G118" s="8" t="s">
        <v>462</v>
      </c>
      <c r="H118" s="8" t="s">
        <v>462</v>
      </c>
      <c r="I118" s="8" t="s">
        <v>69</v>
      </c>
      <c r="J118" s="8" t="s">
        <v>143</v>
      </c>
      <c r="K118" s="6">
        <f>IFERROR(IF(INDEX([4]ORTHO!$K$2:$K$21,MATCH($D118,[4]ORTHO!$D$2:$D$21,0))="","",INDEX([4]ORTHO!$K$2:$K$21,MATCH($D118,[4]ORTHO!$D$2:$D$21,0))),"")</f>
        <v>46279</v>
      </c>
      <c r="L118" s="11">
        <f ca="1">IF($O118="","",$O118-TODAY())</f>
        <v>-69</v>
      </c>
      <c r="M118" s="11">
        <f ca="1">IF(AND(TRIM($A118)="Finalized",$K118&lt;&gt;""),"",IF($C118="","",$C118+180-TODAY()))</f>
        <v>12</v>
      </c>
      <c r="N118" s="11">
        <f ca="1">IF(AND(TRIM($A118)="Finalized",$K118&lt;&gt;""),"",IF($C118="","",$C118+180-TODAY()))</f>
        <v>12</v>
      </c>
      <c r="O118" s="9">
        <f>IF(AND(TRIM($A118)="Finalized",$K118&lt;&gt;""),"",DATE(2026,8,1))</f>
        <v>46235</v>
      </c>
      <c r="P118" s="8" t="s">
        <v>208</v>
      </c>
      <c r="Q118" s="8" t="s">
        <v>209</v>
      </c>
      <c r="R118" s="8" t="s">
        <v>117</v>
      </c>
      <c r="S118" s="8" t="s">
        <v>74</v>
      </c>
      <c r="T118" s="8" t="s">
        <v>117</v>
      </c>
      <c r="U118" s="8" t="s">
        <v>74</v>
      </c>
      <c r="V118" s="8" t="s">
        <v>339</v>
      </c>
      <c r="W118" s="8" t="s">
        <v>76</v>
      </c>
      <c r="X118" s="8"/>
      <c r="Y118" s="8"/>
      <c r="Z118" s="8"/>
      <c r="AA118" s="8" t="s">
        <v>77</v>
      </c>
      <c r="AB118" s="10">
        <v>7623.07</v>
      </c>
      <c r="AC118" s="10">
        <v>0</v>
      </c>
      <c r="AD118" s="10">
        <v>0</v>
      </c>
      <c r="AE118" s="9">
        <v>46136</v>
      </c>
      <c r="AF118" s="10">
        <v>7623.07</v>
      </c>
      <c r="AG118" s="7">
        <v>127</v>
      </c>
      <c r="AH118" s="8" t="s">
        <v>145</v>
      </c>
      <c r="AI118" s="8"/>
      <c r="AJ118" s="8"/>
      <c r="AK118" s="8"/>
      <c r="AL118" s="7"/>
      <c r="AM118" s="8" t="s">
        <v>157</v>
      </c>
      <c r="AN118" s="8" t="s">
        <v>81</v>
      </c>
      <c r="AO118" s="9">
        <v>46119</v>
      </c>
    </row>
    <row r="119" spans="1:41" x14ac:dyDescent="0.25">
      <c r="A119" s="5" t="str">
        <f>IFERROR(IF(INDEX([5]DME!$A$2:$A$35,MATCH($D119,[5]DME!$D$2:$D$35,0))="","",INDEX([5]DME!$A$2:$A$35,MATCH($D119,[5]DME!$D$2:$D$35,0))),"")</f>
        <v>Denied</v>
      </c>
      <c r="B119" s="5" t="str">
        <f>IFERROR(IF(INDEX([5]DME!$B$2:$B$35,MATCH($D119,[5]DME!$D$2:$D$35,0))="","",INDEX([5]DME!$B$2:$B$35,MATCH($D119,[5]DME!$D$2:$D$35,0))),"")</f>
        <v>Edited mod, and resubmitted</v>
      </c>
      <c r="C119" s="6">
        <f>IFERROR(IF(INDEX([5]DME!$C$2:$C$35,MATCH($D119,[5]DME!$D$2:$D$35,0))="","",INDEX([5]DME!$C$2:$C$35,MATCH($D119,[5]DME!$D$2:$D$35,0))),"")</f>
        <v>46184</v>
      </c>
      <c r="D119" s="7">
        <v>559005954</v>
      </c>
      <c r="E119" s="8" t="s">
        <v>463</v>
      </c>
      <c r="F119" s="9">
        <v>46146</v>
      </c>
      <c r="G119" s="8" t="s">
        <v>123</v>
      </c>
      <c r="H119" s="8" t="s">
        <v>123</v>
      </c>
      <c r="I119" s="8" t="s">
        <v>69</v>
      </c>
      <c r="J119" s="8" t="s">
        <v>464</v>
      </c>
      <c r="K119" s="6">
        <f>IFERROR(IF(INDEX([5]DME!$K$2:$K$35,MATCH($D119,[5]DME!$D$2:$D$35,0))="","",INDEX([5]DME!$K$2:$K$35,MATCH($D119,[5]DME!$D$2:$D$35,0))),"")</f>
        <v>46253</v>
      </c>
      <c r="L119" s="11">
        <f ca="1">IF($O119="","",$O119-TODAY())</f>
        <v>-68</v>
      </c>
      <c r="M119" s="11">
        <f ca="1">IF(AND(TRIM($A119)="Finalized",$K119&lt;&gt;""),"",IF($F119="","",$F119+90-TODAY()))</f>
        <v>-68</v>
      </c>
      <c r="N119" s="11">
        <f ca="1">IF(AND(TRIM($A119)="Finalized",$K119&lt;&gt;""),"",IF($C119="","",$C119+365-TODAY()))</f>
        <v>245</v>
      </c>
      <c r="O119" s="9">
        <f>IF(AND(TRIM($A119)="Finalized",$K119&lt;&gt;""),"",DATE(2026,8,2))</f>
        <v>46236</v>
      </c>
      <c r="P119" s="8" t="s">
        <v>86</v>
      </c>
      <c r="Q119" s="8" t="s">
        <v>125</v>
      </c>
      <c r="R119" s="8" t="s">
        <v>86</v>
      </c>
      <c r="S119" s="8" t="s">
        <v>88</v>
      </c>
      <c r="T119" s="8" t="s">
        <v>73</v>
      </c>
      <c r="U119" s="8" t="s">
        <v>74</v>
      </c>
      <c r="V119" s="8" t="s">
        <v>365</v>
      </c>
      <c r="W119" s="8" t="s">
        <v>89</v>
      </c>
      <c r="X119" s="8" t="s">
        <v>232</v>
      </c>
      <c r="Y119" s="8" t="s">
        <v>103</v>
      </c>
      <c r="Z119" s="8"/>
      <c r="AA119" s="8" t="s">
        <v>77</v>
      </c>
      <c r="AB119" s="10">
        <v>4520.1099999999997</v>
      </c>
      <c r="AC119" s="10">
        <v>0</v>
      </c>
      <c r="AD119" s="10">
        <v>0</v>
      </c>
      <c r="AE119" s="9">
        <v>46184</v>
      </c>
      <c r="AF119" s="10">
        <v>4520.1099999999997</v>
      </c>
      <c r="AG119" s="7">
        <v>96</v>
      </c>
      <c r="AH119" s="8" t="s">
        <v>107</v>
      </c>
      <c r="AI119" s="8"/>
      <c r="AJ119" s="8"/>
      <c r="AK119" s="8"/>
      <c r="AL119" s="7"/>
      <c r="AM119" s="8" t="s">
        <v>465</v>
      </c>
      <c r="AN119" s="8" t="s">
        <v>121</v>
      </c>
      <c r="AO119" s="9">
        <v>46157</v>
      </c>
    </row>
    <row r="120" spans="1:41" x14ac:dyDescent="0.25">
      <c r="A120" s="5" t="str">
        <f>IFERROR(IF(INDEX([5]ORTHO!$A$2:$A$24,MATCH($D120,[5]ORTHO!$D$2:$D$24,0))="","",INDEX([5]ORTHO!$A$2:$A$24,MATCH($D120,[5]ORTHO!$D$2:$D$24,0))),"")</f>
        <v>Denied</v>
      </c>
      <c r="B120" s="5" t="str">
        <f>IFERROR(IF(INDEX([5]ORTHO!$B$2:$B$24,MATCH($D120,[5]ORTHO!$D$2:$D$24,0))="","",INDEX([5]ORTHO!$B$2:$B$24,MATCH($D120,[5]ORTHO!$D$2:$D$24,0))),"")</f>
        <v>Added mod 58, and resubmitted</v>
      </c>
      <c r="C120" s="6">
        <f>IFERROR(IF(INDEX([5]ORTHO!$C$2:$C$24,MATCH($D120,[5]ORTHO!$D$2:$D$24,0))="","",INDEX([5]ORTHO!$C$2:$C$24,MATCH($D120,[5]ORTHO!$D$2:$D$24,0))),"")</f>
        <v>46170</v>
      </c>
      <c r="D120" s="7">
        <v>558165481</v>
      </c>
      <c r="E120" s="8" t="s">
        <v>466</v>
      </c>
      <c r="F120" s="9">
        <v>46146</v>
      </c>
      <c r="G120" s="8" t="s">
        <v>237</v>
      </c>
      <c r="H120" s="8" t="s">
        <v>237</v>
      </c>
      <c r="I120" s="8" t="s">
        <v>69</v>
      </c>
      <c r="J120" s="8" t="s">
        <v>143</v>
      </c>
      <c r="K120" s="6">
        <f>IFERROR(IF(INDEX([5]ORTHO!$K$2:$K$24,MATCH($D120,[5]ORTHO!$D$2:$D$24,0))="","",INDEX([5]ORTHO!$K$2:$K$24,MATCH($D120,[5]ORTHO!$D$2:$D$24,0))),"")</f>
        <v>46256</v>
      </c>
      <c r="L120" s="11">
        <f ca="1">IF($O120="","",$O120-TODAY())</f>
        <v>-68</v>
      </c>
      <c r="M120" s="11">
        <f ca="1">IF(AND(TRIM($A120)="Finalized",$K120&lt;&gt;""),"",IF($C120="","",$C120+180-TODAY()))</f>
        <v>46</v>
      </c>
      <c r="N120" s="11">
        <f ca="1">IF(AND(TRIM($A120)="Finalized",$K120&lt;&gt;""),"",IF($C120="","",$C120+365-TODAY()))</f>
        <v>231</v>
      </c>
      <c r="O120" s="9">
        <f>IF(AND(TRIM($A120)="Finalized",$K120&lt;&gt;""),"",DATE(2026,8,2))</f>
        <v>46236</v>
      </c>
      <c r="P120" s="8" t="s">
        <v>86</v>
      </c>
      <c r="Q120" s="8" t="s">
        <v>239</v>
      </c>
      <c r="R120" s="8" t="s">
        <v>117</v>
      </c>
      <c r="S120" s="8" t="s">
        <v>74</v>
      </c>
      <c r="T120" s="8" t="s">
        <v>73</v>
      </c>
      <c r="U120" s="8" t="s">
        <v>74</v>
      </c>
      <c r="V120" s="8" t="s">
        <v>365</v>
      </c>
      <c r="W120" s="8" t="s">
        <v>76</v>
      </c>
      <c r="X120" s="8"/>
      <c r="Y120" s="8"/>
      <c r="Z120" s="8"/>
      <c r="AA120" s="8" t="s">
        <v>77</v>
      </c>
      <c r="AB120" s="10">
        <v>7623.07</v>
      </c>
      <c r="AC120" s="10">
        <v>0</v>
      </c>
      <c r="AD120" s="10">
        <v>0</v>
      </c>
      <c r="AE120" s="9">
        <v>46170</v>
      </c>
      <c r="AF120" s="10">
        <v>7623.07</v>
      </c>
      <c r="AG120" s="7">
        <v>96</v>
      </c>
      <c r="AH120" s="8" t="s">
        <v>145</v>
      </c>
      <c r="AI120" s="8"/>
      <c r="AJ120" s="8"/>
      <c r="AK120" s="8"/>
      <c r="AL120" s="7"/>
      <c r="AM120" s="8" t="s">
        <v>165</v>
      </c>
      <c r="AN120" s="8" t="s">
        <v>109</v>
      </c>
      <c r="AO120" s="9">
        <v>46153</v>
      </c>
    </row>
    <row r="121" spans="1:41" x14ac:dyDescent="0.25">
      <c r="A121" s="5" t="str">
        <f>IFERROR(IF(INDEX([5]ORTHO!$A$2:$A$24,MATCH($D121,[5]ORTHO!$D$2:$D$24,0))="","",INDEX([5]ORTHO!$A$2:$A$24,MATCH($D121,[5]ORTHO!$D$2:$D$24,0))),"")</f>
        <v>Under Review</v>
      </c>
      <c r="B121" s="5" t="str">
        <f>IFERROR(IF(INDEX([5]ORTHO!$B$2:$B$24,MATCH($D121,[5]ORTHO!$D$2:$D$24,0))="","",INDEX([5]ORTHO!$B$2:$B$24,MATCH($D121,[5]ORTHO!$D$2:$D$24,0))),"")</f>
        <v xml:space="preserve">Expecting ins reply - DND as medical necessity - Jess sent MR </v>
      </c>
      <c r="C121" s="6">
        <f>IFERROR(IF(INDEX([5]ORTHO!$C$2:$C$24,MATCH($D121,[5]ORTHO!$D$2:$D$24,0))="","",INDEX([5]ORTHO!$C$2:$C$24,MATCH($D121,[5]ORTHO!$D$2:$D$24,0))),"")</f>
        <v>46197</v>
      </c>
      <c r="D121" s="7">
        <v>558351506</v>
      </c>
      <c r="E121" s="8" t="s">
        <v>467</v>
      </c>
      <c r="F121" s="9">
        <v>46148</v>
      </c>
      <c r="G121" s="8" t="s">
        <v>123</v>
      </c>
      <c r="H121" s="8" t="s">
        <v>123</v>
      </c>
      <c r="I121" s="8" t="s">
        <v>69</v>
      </c>
      <c r="J121" s="8" t="s">
        <v>70</v>
      </c>
      <c r="K121" s="6">
        <f>IFERROR(IF(INDEX([5]ORTHO!$K$2:$K$24,MATCH($D121,[5]ORTHO!$D$2:$D$24,0))="","",INDEX([5]ORTHO!$K$2:$K$24,MATCH($D121,[5]ORTHO!$D$2:$D$24,0))),"")</f>
        <v>46177</v>
      </c>
      <c r="L121" s="11">
        <f ca="1">IF($O121="","",$O121-TODAY())</f>
        <v>-66</v>
      </c>
      <c r="M121" s="11">
        <f ca="1">IF(AND(TRIM($A121)="Finalized",$K121&lt;&gt;""),"",IF($F121="","",$F121+90-TODAY()))</f>
        <v>-66</v>
      </c>
      <c r="N121" s="11">
        <f ca="1">IF(AND(TRIM($A121)="Finalized",$K121&lt;&gt;""),"",IF($C121="","",$C121+365-TODAY()))</f>
        <v>258</v>
      </c>
      <c r="O121" s="9">
        <f>IF(AND(TRIM($A121)="Finalized",$K121&lt;&gt;""),"",DATE(2026,8,4))</f>
        <v>46238</v>
      </c>
      <c r="P121" s="8" t="s">
        <v>86</v>
      </c>
      <c r="Q121" s="8" t="s">
        <v>125</v>
      </c>
      <c r="R121" s="8" t="s">
        <v>86</v>
      </c>
      <c r="S121" s="8" t="s">
        <v>88</v>
      </c>
      <c r="T121" s="8" t="s">
        <v>73</v>
      </c>
      <c r="U121" s="8" t="s">
        <v>74</v>
      </c>
      <c r="V121" s="8" t="s">
        <v>365</v>
      </c>
      <c r="W121" s="8" t="s">
        <v>76</v>
      </c>
      <c r="X121" s="8"/>
      <c r="Y121" s="8"/>
      <c r="Z121" s="8"/>
      <c r="AA121" s="8" t="s">
        <v>77</v>
      </c>
      <c r="AB121" s="10">
        <v>2493.33</v>
      </c>
      <c r="AC121" s="10">
        <v>0</v>
      </c>
      <c r="AD121" s="10">
        <v>0</v>
      </c>
      <c r="AE121" s="9">
        <v>46197</v>
      </c>
      <c r="AF121" s="10">
        <v>2493.33</v>
      </c>
      <c r="AG121" s="7">
        <v>94</v>
      </c>
      <c r="AH121" s="8" t="s">
        <v>78</v>
      </c>
      <c r="AI121" s="8" t="s">
        <v>324</v>
      </c>
      <c r="AJ121" s="8"/>
      <c r="AK121" s="8"/>
      <c r="AL121" s="7"/>
      <c r="AM121" s="8" t="s">
        <v>131</v>
      </c>
      <c r="AN121" s="8" t="s">
        <v>109</v>
      </c>
      <c r="AO121" s="9">
        <v>46149</v>
      </c>
    </row>
    <row r="122" spans="1:41" x14ac:dyDescent="0.25">
      <c r="A122" s="5" t="str">
        <f>IFERROR(IF(INDEX([5]BH!$A$2:$A$33,MATCH($D122,[5]BH!$D$2:$D$33,0))="","",INDEX([5]BH!$A$2:$A$33,MATCH($D122,[5]BH!$D$2:$D$33,0))),"")</f>
        <v>Pending</v>
      </c>
      <c r="B122" s="5" t="str">
        <f>IFERROR(IF(INDEX([5]BH!$B$2:$B$33,MATCH($D122,[5]BH!$D$2:$D$33,0))="","",INDEX([5]BH!$B$2:$B$33,MATCH($D122,[5]BH!$D$2:$D$33,0))),"")</f>
        <v>Resubmitted to AARP MedicareComplete (SecureHorizons &amp; Oxford Network)</v>
      </c>
      <c r="C122" s="6" t="str">
        <f>IFERROR(IF(INDEX([5]BH!$C$2:$C$33,MATCH($D122,[5]BH!$D$2:$D$33,0))="","",INDEX([5]BH!$C$2:$C$33,MATCH($D122,[5]BH!$D$2:$D$33,0))),"")</f>
        <v/>
      </c>
      <c r="D122" s="7">
        <v>568553454</v>
      </c>
      <c r="E122" s="8" t="s">
        <v>468</v>
      </c>
      <c r="F122" s="9">
        <v>46149</v>
      </c>
      <c r="G122" s="8" t="s">
        <v>212</v>
      </c>
      <c r="H122" s="8" t="s">
        <v>69</v>
      </c>
      <c r="I122" s="8" t="s">
        <v>69</v>
      </c>
      <c r="J122" s="8" t="s">
        <v>124</v>
      </c>
      <c r="K122" s="6">
        <f>IFERROR(IF(INDEX([5]BH!$K$2:$K$33,MATCH($D122,[5]BH!$D$2:$D$33,0))="","",INDEX([5]BH!$K$2:$K$33,MATCH($D122,[5]BH!$D$2:$D$33,0))),"")</f>
        <v>46247</v>
      </c>
      <c r="L122" s="11">
        <f ca="1">IF($O122="","",$O122-TODAY())</f>
        <v>-65</v>
      </c>
      <c r="M122" s="11" t="str">
        <f ca="1">IF(AND(TRIM($A122)="Finalized",$K122&lt;&gt;""),"",IF($C122="","",$C122+365-TODAY()))</f>
        <v/>
      </c>
      <c r="N122" s="11" t="str">
        <f ca="1">IF(AND(TRIM($A122)="Finalized",$K122&lt;&gt;""),"",IF($C122="","",$C122+365-TODAY()))</f>
        <v/>
      </c>
      <c r="O122" s="9">
        <f>IF(AND(TRIM($A122)="Finalized",$K122&lt;&gt;""),"",DATE(2026,8,5))</f>
        <v>46239</v>
      </c>
      <c r="P122" s="8" t="s">
        <v>86</v>
      </c>
      <c r="Q122" s="8" t="s">
        <v>214</v>
      </c>
      <c r="R122" s="8" t="s">
        <v>73</v>
      </c>
      <c r="S122" s="8" t="s">
        <v>74</v>
      </c>
      <c r="T122" s="8" t="s">
        <v>73</v>
      </c>
      <c r="U122" s="8" t="s">
        <v>74</v>
      </c>
      <c r="V122" s="8" t="s">
        <v>365</v>
      </c>
      <c r="W122" s="8" t="s">
        <v>118</v>
      </c>
      <c r="X122" s="8"/>
      <c r="Y122" s="8"/>
      <c r="Z122" s="8"/>
      <c r="AA122" s="8" t="s">
        <v>77</v>
      </c>
      <c r="AB122" s="10">
        <v>1426.25</v>
      </c>
      <c r="AC122" s="10">
        <v>0</v>
      </c>
      <c r="AD122" s="10">
        <v>0</v>
      </c>
      <c r="AE122" s="9"/>
      <c r="AF122" s="10">
        <v>1426.25</v>
      </c>
      <c r="AG122" s="7">
        <v>93</v>
      </c>
      <c r="AH122" s="8" t="s">
        <v>119</v>
      </c>
      <c r="AI122" s="8"/>
      <c r="AJ122" s="8"/>
      <c r="AK122" s="8"/>
      <c r="AL122" s="7"/>
      <c r="AM122" s="8" t="s">
        <v>131</v>
      </c>
      <c r="AN122" s="8" t="s">
        <v>132</v>
      </c>
      <c r="AO122" s="9">
        <v>46182</v>
      </c>
    </row>
    <row r="123" spans="1:41" x14ac:dyDescent="0.25">
      <c r="A123" s="5" t="str">
        <f>IFERROR(IF(INDEX([5]US!$A$2:$A$19,MATCH($D123,[5]US!$D$2:$D$19,0))="","",INDEX([5]US!$A$2:$A$19,MATCH($D123,[5]US!$D$2:$D$19,0))),"")</f>
        <v>Denied</v>
      </c>
      <c r="B123" s="5" t="str">
        <f>IFERROR(IF(INDEX([5]US!$B$2:$B$19,MATCH($D123,[5]US!$D$2:$D$19,0))="","",INDEX([5]US!$B$2:$B$19,MATCH($D123,[5]US!$D$2:$D$19,0))),"")</f>
        <v xml:space="preserve">93923 changed to 93922, and resubmitted - 93923 requires 3 levels and the document only reports ankle + toe = two levels - DND invalid CPT codes - April resubmitted by mail - DMinker30A uploaded MR </v>
      </c>
      <c r="C123" s="6">
        <f>IFERROR(IF(INDEX([5]US!$C$2:$C$19,MATCH($D123,[5]US!$D$2:$D$19,0))="","",INDEX([5]US!$C$2:$C$19,MATCH($D123,[5]US!$D$2:$D$19,0))),"")</f>
        <v>46236</v>
      </c>
      <c r="D123" s="7">
        <v>564984009</v>
      </c>
      <c r="E123" s="8" t="s">
        <v>469</v>
      </c>
      <c r="F123" s="9">
        <v>46149</v>
      </c>
      <c r="G123" s="8" t="s">
        <v>212</v>
      </c>
      <c r="H123" s="8" t="s">
        <v>212</v>
      </c>
      <c r="I123" s="8" t="s">
        <v>470</v>
      </c>
      <c r="J123" s="8" t="s">
        <v>447</v>
      </c>
      <c r="K123" s="6">
        <f>IFERROR(IF(INDEX([5]US!$K$2:$K$19,MATCH($D123,[5]US!$D$2:$D$19,0))="","",INDEX([5]US!$K$2:$K$19,MATCH($D123,[5]US!$D$2:$D$19,0))),"")</f>
        <v>46259</v>
      </c>
      <c r="L123" s="11">
        <f ca="1">IF($O123="","",$O123-TODAY())</f>
        <v>-65</v>
      </c>
      <c r="M123" s="11">
        <f ca="1">IF(AND(TRIM($A123)="Finalized",$K123&lt;&gt;""),"",IF($C123="","",$C123+365-TODAY()))</f>
        <v>297</v>
      </c>
      <c r="N123" s="11">
        <f ca="1">IF(AND(TRIM($A123)="Finalized",$K123&lt;&gt;""),"",IF($C123="","",$C123+365-TODAY()))</f>
        <v>297</v>
      </c>
      <c r="O123" s="9">
        <f>IF(AND(TRIM($A123)="Finalized",$K123&lt;&gt;""),"",DATE(2026,8,5))</f>
        <v>46239</v>
      </c>
      <c r="P123" s="8" t="s">
        <v>86</v>
      </c>
      <c r="Q123" s="8" t="s">
        <v>214</v>
      </c>
      <c r="R123" s="8" t="s">
        <v>73</v>
      </c>
      <c r="S123" s="8" t="s">
        <v>74</v>
      </c>
      <c r="T123" s="8" t="s">
        <v>73</v>
      </c>
      <c r="U123" s="8" t="s">
        <v>74</v>
      </c>
      <c r="V123" s="8" t="s">
        <v>365</v>
      </c>
      <c r="W123" s="8" t="s">
        <v>129</v>
      </c>
      <c r="X123" s="8"/>
      <c r="Y123" s="8"/>
      <c r="Z123" s="8"/>
      <c r="AA123" s="8" t="s">
        <v>77</v>
      </c>
      <c r="AB123" s="10">
        <v>3822.49</v>
      </c>
      <c r="AC123" s="10">
        <v>0</v>
      </c>
      <c r="AD123" s="10">
        <v>0</v>
      </c>
      <c r="AE123" s="9"/>
      <c r="AF123" s="10">
        <v>3822.49</v>
      </c>
      <c r="AG123" s="7">
        <v>93</v>
      </c>
      <c r="AH123" s="8" t="s">
        <v>471</v>
      </c>
      <c r="AI123" s="8" t="s">
        <v>472</v>
      </c>
      <c r="AJ123" s="8" t="s">
        <v>473</v>
      </c>
      <c r="AK123" s="8" t="s">
        <v>474</v>
      </c>
      <c r="AL123" s="7"/>
      <c r="AM123" s="8" t="s">
        <v>131</v>
      </c>
      <c r="AN123" s="8" t="s">
        <v>350</v>
      </c>
      <c r="AO123" s="9">
        <v>46164</v>
      </c>
    </row>
    <row r="124" spans="1:41" x14ac:dyDescent="0.25">
      <c r="A124" s="5" t="str">
        <f>IFERROR(IF(INDEX([5]DME!$A$2:$A$35,MATCH($D124,[5]DME!$D$2:$D$35,0))="","",INDEX([5]DME!$A$2:$A$35,MATCH($D124,[5]DME!$D$2:$D$35,0))),"")</f>
        <v>Denied</v>
      </c>
      <c r="B124" s="5" t="str">
        <f>IFERROR(IF(INDEX([5]DME!$B$2:$B$35,MATCH($D124,[5]DME!$D$2:$D$35,0))="","",INDEX([5]DME!$B$2:$B$35,MATCH($D124,[5]DME!$D$2:$D$35,0))),"")</f>
        <v>Edited rendering provider, and resubmitted</v>
      </c>
      <c r="C124" s="6">
        <f>IFERROR(IF(INDEX([5]DME!$C$2:$C$35,MATCH($D124,[5]DME!$D$2:$D$35,0))="","",INDEX([5]DME!$C$2:$C$35,MATCH($D124,[5]DME!$D$2:$D$35,0))),"")</f>
        <v>46224</v>
      </c>
      <c r="D124" s="7">
        <v>559736857</v>
      </c>
      <c r="E124" s="8" t="s">
        <v>475</v>
      </c>
      <c r="F124" s="9">
        <v>46150</v>
      </c>
      <c r="G124" s="8" t="s">
        <v>174</v>
      </c>
      <c r="H124" s="8" t="s">
        <v>174</v>
      </c>
      <c r="I124" s="8" t="s">
        <v>476</v>
      </c>
      <c r="J124" s="8" t="s">
        <v>243</v>
      </c>
      <c r="K124" s="6">
        <f>IFERROR(IF(INDEX([5]DME!$K$2:$K$35,MATCH($D124,[5]DME!$D$2:$D$35,0))="","",INDEX([5]DME!$K$2:$K$35,MATCH($D124,[5]DME!$D$2:$D$35,0))),"")</f>
        <v>46253</v>
      </c>
      <c r="L124" s="11">
        <f ca="1">IF($O124="","",$O124-TODAY())</f>
        <v>-64</v>
      </c>
      <c r="M124" s="11">
        <f ca="1">IF(AND(TRIM($A124)="Finalized",$K124&lt;&gt;""),"",IF($F124="","",$F124+90-TODAY()))</f>
        <v>-64</v>
      </c>
      <c r="N124" s="11">
        <f ca="1">IF(AND(TRIM($A124)="Finalized",$K124&lt;&gt;""),"",IF($C124="","",$C124+180-TODAY()))</f>
        <v>100</v>
      </c>
      <c r="O124" s="9">
        <f>IF(AND(TRIM($A124)="Finalized",$K124&lt;&gt;""),"",DATE(2026,8,6))</f>
        <v>46240</v>
      </c>
      <c r="P124" s="8" t="s">
        <v>86</v>
      </c>
      <c r="Q124" s="8" t="s">
        <v>144</v>
      </c>
      <c r="R124" s="8" t="s">
        <v>86</v>
      </c>
      <c r="S124" s="8" t="s">
        <v>88</v>
      </c>
      <c r="T124" s="8" t="s">
        <v>117</v>
      </c>
      <c r="U124" s="8" t="s">
        <v>74</v>
      </c>
      <c r="V124" s="8" t="s">
        <v>365</v>
      </c>
      <c r="W124" s="8" t="s">
        <v>89</v>
      </c>
      <c r="X124" s="8" t="s">
        <v>244</v>
      </c>
      <c r="Y124" s="8"/>
      <c r="Z124" s="8"/>
      <c r="AA124" s="8" t="s">
        <v>91</v>
      </c>
      <c r="AB124" s="10">
        <v>5916.4</v>
      </c>
      <c r="AC124" s="10">
        <v>0</v>
      </c>
      <c r="AD124" s="10">
        <v>0</v>
      </c>
      <c r="AE124" s="9">
        <v>46224</v>
      </c>
      <c r="AF124" s="10">
        <v>5916.4</v>
      </c>
      <c r="AG124" s="7">
        <v>92</v>
      </c>
      <c r="AH124" s="8" t="s">
        <v>92</v>
      </c>
      <c r="AI124" s="8" t="s">
        <v>145</v>
      </c>
      <c r="AJ124" s="8"/>
      <c r="AK124" s="8"/>
      <c r="AL124" s="7"/>
      <c r="AM124" s="8" t="s">
        <v>383</v>
      </c>
      <c r="AN124" s="8" t="s">
        <v>191</v>
      </c>
      <c r="AO124" s="9">
        <v>46162</v>
      </c>
    </row>
    <row r="125" spans="1:41" x14ac:dyDescent="0.25">
      <c r="A125" s="5" t="str">
        <f>IFERROR(IF(INDEX([4]BH!$A$2:$A$12,MATCH($D125,[4]BH!$D$2:$D$12,0))="","",INDEX([4]BH!$A$2:$A$12,MATCH($D125,[4]BH!$D$2:$D$12,0))),"")</f>
        <v>Denied</v>
      </c>
      <c r="B125" s="5" t="str">
        <f>IFERROR(IF(INDEX([4]BH!$B$2:$B$12,MATCH($D125,[4]BH!$D$2:$D$12,0))="","",INDEX([4]BH!$B$2:$B$12,MATCH($D125,[4]BH!$D$2:$D$12,0))),"")</f>
        <v>Added active referral for DOS and resubmitted, but these are non-covered services by VA. We need a separate RFS approval to get BH covarage</v>
      </c>
      <c r="C125" s="6">
        <f>IFERROR(IF(INDEX([4]BH!$C$2:$C$12,MATCH($D125,[4]BH!$D$2:$D$12,0))="","",INDEX([4]BH!$C$2:$C$12,MATCH($D125,[4]BH!$D$2:$D$12,0))),"")</f>
        <v>46161</v>
      </c>
      <c r="D125" s="7">
        <v>555379100</v>
      </c>
      <c r="E125" s="8" t="s">
        <v>482</v>
      </c>
      <c r="F125" s="9">
        <v>46120</v>
      </c>
      <c r="G125" s="8" t="s">
        <v>222</v>
      </c>
      <c r="H125" s="8" t="s">
        <v>222</v>
      </c>
      <c r="I125" s="8" t="s">
        <v>69</v>
      </c>
      <c r="J125" s="8" t="s">
        <v>195</v>
      </c>
      <c r="K125" s="6">
        <f>IFERROR(IF(INDEX([4]BH!$K$2:$K$12,MATCH($D125,[4]BH!$D$2:$D$12,0))="","",INDEX([4]BH!$K$2:$K$12,MATCH($D125,[4]BH!$D$2:$D$12,0))),"")</f>
        <v>46257</v>
      </c>
      <c r="L125" s="11">
        <f ca="1">IF($O125="","",$O125-TODAY())</f>
        <v>-64</v>
      </c>
      <c r="M125" s="11">
        <f ca="1">IF(AND(TRIM($A125)="Finalized",$K125&lt;&gt;""),"",IF($C125="","",$C125+365-TODAY()))</f>
        <v>222</v>
      </c>
      <c r="N125" s="11">
        <f ca="1">IF(AND(TRIM($A125)="Finalized",$K125&lt;&gt;""),"",IF($C125="","",$C125+90-TODAY()))</f>
        <v>-53</v>
      </c>
      <c r="O125" s="9">
        <f>IF(AND(TRIM($A125)="Finalized",$K125&lt;&gt;""),"",DATE(2026,8,6))</f>
        <v>46240</v>
      </c>
      <c r="P125" s="8" t="s">
        <v>208</v>
      </c>
      <c r="Q125" s="8" t="s">
        <v>224</v>
      </c>
      <c r="R125" s="8" t="s">
        <v>73</v>
      </c>
      <c r="S125" s="8" t="s">
        <v>74</v>
      </c>
      <c r="T125" s="8" t="s">
        <v>86</v>
      </c>
      <c r="U125" s="8" t="s">
        <v>74</v>
      </c>
      <c r="V125" s="8" t="s">
        <v>339</v>
      </c>
      <c r="W125" s="8" t="s">
        <v>118</v>
      </c>
      <c r="X125" s="8"/>
      <c r="Y125" s="8"/>
      <c r="Z125" s="8"/>
      <c r="AA125" s="8" t="s">
        <v>77</v>
      </c>
      <c r="AB125" s="10">
        <v>1426.25</v>
      </c>
      <c r="AC125" s="10">
        <v>0</v>
      </c>
      <c r="AD125" s="10">
        <v>0</v>
      </c>
      <c r="AE125" s="9"/>
      <c r="AF125" s="10">
        <v>1426.25</v>
      </c>
      <c r="AG125" s="7">
        <v>122</v>
      </c>
      <c r="AH125" s="8" t="s">
        <v>276</v>
      </c>
      <c r="AI125" s="8"/>
      <c r="AJ125" s="8"/>
      <c r="AK125" s="8"/>
      <c r="AL125" s="7"/>
      <c r="AM125" s="8" t="s">
        <v>131</v>
      </c>
      <c r="AN125" s="8" t="s">
        <v>158</v>
      </c>
      <c r="AO125" s="9">
        <v>46153</v>
      </c>
    </row>
    <row r="126" spans="1:41" x14ac:dyDescent="0.25">
      <c r="A126" s="5" t="str">
        <f>IFERROR(IF(INDEX([5]DME!$A$2:$A$35,MATCH($D126,[5]DME!$D$2:$D$35,0))="","",INDEX([5]DME!$A$2:$A$35,MATCH($D126,[5]DME!$D$2:$D$35,0))),"")</f>
        <v>Under Review</v>
      </c>
      <c r="B126" s="5" t="str">
        <f>IFERROR(IF(INDEX([5]DME!$B$2:$B$35,MATCH($D126,[5]DME!$D$2:$D$35,0))="","",INDEX([5]DME!$B$2:$B$35,MATCH($D126,[5]DME!$D$2:$D$35,0))),"")</f>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
      <c r="C126" s="6">
        <f>IFERROR(IF(INDEX([5]DME!$C$2:$C$35,MATCH($D126,[5]DME!$D$2:$D$35,0))="","",INDEX([5]DME!$C$2:$C$35,MATCH($D126,[5]DME!$D$2:$D$35,0))),"")</f>
        <v>46203</v>
      </c>
      <c r="D126" s="7">
        <v>562420138</v>
      </c>
      <c r="E126" s="8" t="s">
        <v>467</v>
      </c>
      <c r="F126" s="9">
        <v>46153</v>
      </c>
      <c r="G126" s="8" t="s">
        <v>123</v>
      </c>
      <c r="H126" s="8" t="s">
        <v>123</v>
      </c>
      <c r="I126" s="8" t="s">
        <v>69</v>
      </c>
      <c r="J126" s="8" t="s">
        <v>478</v>
      </c>
      <c r="K126" s="6">
        <f>IFERROR(IF(INDEX([5]DME!$K$2:$K$35,MATCH($D126,[5]DME!$D$2:$D$35,0))="","",INDEX([5]DME!$K$2:$K$35,MATCH($D126,[5]DME!$D$2:$D$35,0))),"")</f>
        <v>46255</v>
      </c>
      <c r="L126" s="11">
        <f ca="1">IF($O126="","",$O126-TODAY())</f>
        <v>-61</v>
      </c>
      <c r="M126" s="11">
        <f ca="1">IF(AND(TRIM($A126)="Finalized",$K126&lt;&gt;""),"",IF($F126="","",$F126+90-TODAY()))</f>
        <v>-61</v>
      </c>
      <c r="N126" s="11">
        <f ca="1">IF(AND(TRIM($A126)="Finalized",$K126&lt;&gt;""),"",IF($C126="","",$C126+365-TODAY()))</f>
        <v>264</v>
      </c>
      <c r="O126" s="9">
        <f>IF(AND(TRIM($A126)="Finalized",$K126&lt;&gt;""),"",DATE(2026,8,9))</f>
        <v>46243</v>
      </c>
      <c r="P126" s="8" t="s">
        <v>86</v>
      </c>
      <c r="Q126" s="8" t="s">
        <v>125</v>
      </c>
      <c r="R126" s="8" t="s">
        <v>86</v>
      </c>
      <c r="S126" s="8" t="s">
        <v>88</v>
      </c>
      <c r="T126" s="8" t="s">
        <v>73</v>
      </c>
      <c r="U126" s="8" t="s">
        <v>74</v>
      </c>
      <c r="V126" s="8" t="s">
        <v>365</v>
      </c>
      <c r="W126" s="8" t="s">
        <v>89</v>
      </c>
      <c r="X126" s="8" t="s">
        <v>90</v>
      </c>
      <c r="Y126" s="8"/>
      <c r="Z126" s="8"/>
      <c r="AA126" s="8" t="s">
        <v>479</v>
      </c>
      <c r="AB126" s="10">
        <v>11832.8</v>
      </c>
      <c r="AC126" s="10">
        <v>0</v>
      </c>
      <c r="AD126" s="10">
        <v>0</v>
      </c>
      <c r="AE126" s="9">
        <v>46203</v>
      </c>
      <c r="AF126" s="10">
        <v>11832.8</v>
      </c>
      <c r="AG126" s="7">
        <v>89</v>
      </c>
      <c r="AH126" s="8" t="s">
        <v>92</v>
      </c>
      <c r="AI126" s="8" t="s">
        <v>78</v>
      </c>
      <c r="AJ126" s="8" t="s">
        <v>324</v>
      </c>
      <c r="AK126" s="8"/>
      <c r="AL126" s="7"/>
      <c r="AM126" s="8" t="s">
        <v>131</v>
      </c>
      <c r="AN126" s="8" t="s">
        <v>132</v>
      </c>
      <c r="AO126" s="9">
        <v>46189</v>
      </c>
    </row>
    <row r="127" spans="1:41" x14ac:dyDescent="0.25">
      <c r="A127" s="5" t="str">
        <f>IFERROR(IF(INDEX([5]GAE!$A$2:$A$7,MATCH($D127,[5]GAE!$D$2:$D$7,0))="","",INDEX([5]GAE!$A$2:$A$7,MATCH($D127,[5]GAE!$D$2:$D$7,0))),"")</f>
        <v>Denied</v>
      </c>
      <c r="B127" s="5" t="str">
        <f>IFERROR(IF(INDEX([5]GAE!$B$2:$B$7,MATCH($D127,[5]GAE!$D$2:$D$7,0))="","",INDEX([5]GAE!$B$2:$B$7,MATCH($D127,[5]GAE!$D$2:$D$7,0))),"")</f>
        <v>Filed dispute on portal with MR</v>
      </c>
      <c r="C127" s="6">
        <f>IFERROR(IF(INDEX([5]GAE!$C$2:$C$7,MATCH($D127,[5]GAE!$D$2:$D$7,0))="","",INDEX([5]GAE!$C$2:$C$7,MATCH($D127,[5]GAE!$D$2:$D$7,0))),"")</f>
        <v>46196</v>
      </c>
      <c r="D127" s="7">
        <v>561729597</v>
      </c>
      <c r="E127" s="8" t="s">
        <v>488</v>
      </c>
      <c r="F127" s="9">
        <v>46153</v>
      </c>
      <c r="G127" s="8" t="s">
        <v>97</v>
      </c>
      <c r="H127" s="8" t="s">
        <v>97</v>
      </c>
      <c r="I127" s="8" t="s">
        <v>69</v>
      </c>
      <c r="J127" s="8" t="s">
        <v>489</v>
      </c>
      <c r="K127" s="6">
        <f>IFERROR(IF(INDEX([5]GAE!$K$2:$K$7,MATCH($D127,[5]GAE!$D$2:$D$7,0))="","",INDEX([5]GAE!$K$2:$K$7,MATCH($D127,[5]GAE!$D$2:$D$7,0))),"")</f>
        <v>46256</v>
      </c>
      <c r="L127" s="11">
        <f ca="1">IF($O127="","",$O127-TODAY())</f>
        <v>-61</v>
      </c>
      <c r="M127" s="11">
        <f ca="1">IF(AND(TRIM($A127)="Finalized",$K127&lt;&gt;""),"",IF($F127="","",$F127+90-TODAY()))</f>
        <v>-61</v>
      </c>
      <c r="N127" s="11">
        <f ca="1">IF(AND(TRIM($A127)="Finalized",$K127&lt;&gt;""),"",IF($C127="","",$C127+540-TODAY()))</f>
        <v>432</v>
      </c>
      <c r="O127" s="9">
        <f>IF(AND(TRIM($A127)="Finalized",$K127&lt;&gt;""),"",DATE(2026,8,9))</f>
        <v>46243</v>
      </c>
      <c r="P127" s="8" t="s">
        <v>86</v>
      </c>
      <c r="Q127" s="8" t="s">
        <v>99</v>
      </c>
      <c r="R127" s="8" t="s">
        <v>86</v>
      </c>
      <c r="S127" s="8" t="s">
        <v>88</v>
      </c>
      <c r="T127" s="8" t="s">
        <v>100</v>
      </c>
      <c r="U127" s="8" t="s">
        <v>74</v>
      </c>
      <c r="V127" s="8" t="s">
        <v>365</v>
      </c>
      <c r="W127" s="8" t="s">
        <v>101</v>
      </c>
      <c r="X127" s="8" t="s">
        <v>359</v>
      </c>
      <c r="Y127" s="8" t="s">
        <v>456</v>
      </c>
      <c r="Z127" s="8" t="s">
        <v>103</v>
      </c>
      <c r="AA127" s="8" t="s">
        <v>490</v>
      </c>
      <c r="AB127" s="10">
        <v>21123.69</v>
      </c>
      <c r="AC127" s="10">
        <v>0</v>
      </c>
      <c r="AD127" s="10">
        <v>0</v>
      </c>
      <c r="AE127" s="9">
        <v>46196</v>
      </c>
      <c r="AF127" s="10">
        <v>21123.69</v>
      </c>
      <c r="AG127" s="7">
        <v>89</v>
      </c>
      <c r="AH127" s="8" t="s">
        <v>105</v>
      </c>
      <c r="AI127" s="8" t="s">
        <v>106</v>
      </c>
      <c r="AJ127" s="8" t="s">
        <v>107</v>
      </c>
      <c r="AK127" s="8"/>
      <c r="AL127" s="7"/>
      <c r="AM127" s="8" t="s">
        <v>108</v>
      </c>
      <c r="AN127" s="8" t="s">
        <v>109</v>
      </c>
      <c r="AO127" s="9">
        <v>46182</v>
      </c>
    </row>
    <row r="128" spans="1:41" x14ac:dyDescent="0.25">
      <c r="A128" s="5" t="str">
        <f>IFERROR(IF(INDEX([5]US!$A$2:$A$19,MATCH($D128,[5]US!$D$2:$D$19,0))="","",INDEX([5]US!$A$2:$A$19,MATCH($D128,[5]US!$D$2:$D$19,0))),"")</f>
        <v>PAID</v>
      </c>
      <c r="B128" s="5" t="str">
        <f>IFERROR(IF(INDEX([5]US!$B$2:$B$19,MATCH($D128,[5]US!$D$2:$D$19,0))="","",INDEX([5]US!$B$2:$B$19,MATCH($D128,[5]US!$D$2:$D$19,0))),"")</f>
        <v>PENDING POSTING - Payment approved - DMinker30A corrected claim and resubmitted on 08/03/2026</v>
      </c>
      <c r="C128" s="6">
        <f>IFERROR(IF(INDEX([5]US!$C$2:$C$19,MATCH($D128,[5]US!$D$2:$D$19,0))="","",INDEX([5]US!$C$2:$C$19,MATCH($D128,[5]US!$D$2:$D$19,0))),"")</f>
        <v>46248</v>
      </c>
      <c r="D128" s="7">
        <v>567453889</v>
      </c>
      <c r="E128" s="8" t="s">
        <v>491</v>
      </c>
      <c r="F128" s="9">
        <v>46154</v>
      </c>
      <c r="G128" s="8" t="s">
        <v>174</v>
      </c>
      <c r="H128" s="8" t="s">
        <v>174</v>
      </c>
      <c r="I128" s="8" t="s">
        <v>69</v>
      </c>
      <c r="J128" s="8" t="s">
        <v>492</v>
      </c>
      <c r="K128" s="6">
        <f>IFERROR(IF(INDEX([5]US!$K$2:$K$19,MATCH($D128,[5]US!$D$2:$D$19,0))="","",INDEX([5]US!$K$2:$K$19,MATCH($D128,[5]US!$D$2:$D$19,0))),"")</f>
        <v>46237</v>
      </c>
      <c r="L128" s="11">
        <f ca="1">IF($O128="","",$O128-TODAY())</f>
        <v>-60</v>
      </c>
      <c r="M128" s="11">
        <f ca="1">IF(AND(TRIM($A128)="Finalized",$K128&lt;&gt;""),"",IF($F128="","",$F128+90-TODAY()))</f>
        <v>-60</v>
      </c>
      <c r="N128" s="11">
        <f ca="1">IF(AND(TRIM($A128)="Finalized",$K128&lt;&gt;""),"",IF($C128="","",$C128+180-TODAY()))</f>
        <v>124</v>
      </c>
      <c r="O128" s="9">
        <f>IF(AND(TRIM($A128)="Finalized",$K128&lt;&gt;""),"",DATE(2026,8,10))</f>
        <v>46244</v>
      </c>
      <c r="P128" s="8" t="s">
        <v>86</v>
      </c>
      <c r="Q128" s="8" t="s">
        <v>144</v>
      </c>
      <c r="R128" s="8" t="s">
        <v>86</v>
      </c>
      <c r="S128" s="8" t="s">
        <v>88</v>
      </c>
      <c r="T128" s="8" t="s">
        <v>117</v>
      </c>
      <c r="U128" s="8" t="s">
        <v>74</v>
      </c>
      <c r="V128" s="8" t="s">
        <v>365</v>
      </c>
      <c r="W128" s="8" t="s">
        <v>129</v>
      </c>
      <c r="X128" s="8"/>
      <c r="Y128" s="8"/>
      <c r="Z128" s="8"/>
      <c r="AA128" s="8" t="s">
        <v>77</v>
      </c>
      <c r="AB128" s="10">
        <v>2528.2600000000002</v>
      </c>
      <c r="AC128" s="10">
        <v>0</v>
      </c>
      <c r="AD128" s="10">
        <v>0</v>
      </c>
      <c r="AE128" s="9">
        <v>46170</v>
      </c>
      <c r="AF128" s="10">
        <v>2528.2600000000002</v>
      </c>
      <c r="AG128" s="7">
        <v>88</v>
      </c>
      <c r="AH128" s="8" t="s">
        <v>493</v>
      </c>
      <c r="AI128" s="8" t="s">
        <v>175</v>
      </c>
      <c r="AJ128" s="8"/>
      <c r="AK128" s="8"/>
      <c r="AL128" s="7"/>
      <c r="AM128" s="8" t="s">
        <v>157</v>
      </c>
      <c r="AN128" s="8" t="s">
        <v>158</v>
      </c>
      <c r="AO128" s="9">
        <v>46164</v>
      </c>
    </row>
    <row r="129" spans="1:41" x14ac:dyDescent="0.25">
      <c r="A129" s="5" t="str">
        <f>IFERROR(IF(INDEX([5]ORTHO!$A$2:$A$24,MATCH($D129,[5]ORTHO!$D$2:$D$24,0))="","",INDEX([5]ORTHO!$A$2:$A$24,MATCH($D129,[5]ORTHO!$D$2:$D$24,0))),"")</f>
        <v>Denied</v>
      </c>
      <c r="B129" s="5" t="str">
        <f>IFERROR(IF(INDEX([5]ORTHO!$B$2:$B$24,MATCH($D129,[5]ORTHO!$D$2:$D$24,0))="","",INDEX([5]ORTHO!$B$2:$B$24,MATCH($D129,[5]ORTHO!$D$2:$D$24,0))),"")</f>
        <v>Removed 20936, and resubmited</v>
      </c>
      <c r="C129" s="6">
        <f>IFERROR(IF(INDEX([5]ORTHO!$C$2:$C$24,MATCH($D129,[5]ORTHO!$D$2:$D$24,0))="","",INDEX([5]ORTHO!$C$2:$C$24,MATCH($D129,[5]ORTHO!$D$2:$D$24,0))),"")</f>
        <v>46262</v>
      </c>
      <c r="D129" s="7">
        <v>559605223</v>
      </c>
      <c r="E129" s="8" t="s">
        <v>501</v>
      </c>
      <c r="F129" s="9">
        <v>46155</v>
      </c>
      <c r="G129" s="8" t="s">
        <v>134</v>
      </c>
      <c r="H129" s="8" t="s">
        <v>134</v>
      </c>
      <c r="I129" s="8" t="s">
        <v>69</v>
      </c>
      <c r="J129" s="8" t="s">
        <v>502</v>
      </c>
      <c r="K129" s="6">
        <f>IFERROR(IF(INDEX([5]ORTHO!$K$2:$K$24,MATCH($D129,[5]ORTHO!$D$2:$D$24,0))="","",INDEX([5]ORTHO!$K$2:$K$24,MATCH($D129,[5]ORTHO!$D$2:$D$24,0))),"")</f>
        <v>46244</v>
      </c>
      <c r="L129" s="11">
        <f ca="1">IF($O129="","",$O129-TODAY())</f>
        <v>-59</v>
      </c>
      <c r="M129" s="11">
        <f ca="1">IF(AND(TRIM($A129)="Finalized",$K129&lt;&gt;""),"",IF($C129="","",$C129+365-TODAY()))</f>
        <v>323</v>
      </c>
      <c r="N129" s="11">
        <f ca="1">IF(AND(TRIM($A129)="Finalized",$K129&lt;&gt;""),"",IF($C129="","",$C129+365-TODAY()))</f>
        <v>323</v>
      </c>
      <c r="O129" s="9">
        <f>IF(AND(TRIM($A129)="Finalized",$K129&lt;&gt;""),"",DATE(2026,8,11))</f>
        <v>46245</v>
      </c>
      <c r="P129" s="8" t="s">
        <v>86</v>
      </c>
      <c r="Q129" s="8" t="s">
        <v>136</v>
      </c>
      <c r="R129" s="8" t="s">
        <v>73</v>
      </c>
      <c r="S129" s="8" t="s">
        <v>74</v>
      </c>
      <c r="T129" s="8" t="s">
        <v>73</v>
      </c>
      <c r="U129" s="8" t="s">
        <v>74</v>
      </c>
      <c r="V129" s="8" t="s">
        <v>365</v>
      </c>
      <c r="W129" s="8" t="s">
        <v>76</v>
      </c>
      <c r="X129" s="8" t="s">
        <v>102</v>
      </c>
      <c r="Y129" s="8"/>
      <c r="Z129" s="8"/>
      <c r="AA129" s="8" t="s">
        <v>77</v>
      </c>
      <c r="AB129" s="10">
        <v>20158.46</v>
      </c>
      <c r="AC129" s="10">
        <v>0</v>
      </c>
      <c r="AD129" s="10">
        <v>0</v>
      </c>
      <c r="AE129" s="9"/>
      <c r="AF129" s="10">
        <v>20158.46</v>
      </c>
      <c r="AG129" s="7">
        <v>87</v>
      </c>
      <c r="AH129" s="8" t="s">
        <v>503</v>
      </c>
      <c r="AI129" s="8" t="s">
        <v>504</v>
      </c>
      <c r="AJ129" s="8" t="s">
        <v>505</v>
      </c>
      <c r="AK129" s="8" t="s">
        <v>506</v>
      </c>
      <c r="AL129" s="7"/>
      <c r="AM129" s="8" t="s">
        <v>165</v>
      </c>
      <c r="AN129" s="8" t="s">
        <v>109</v>
      </c>
      <c r="AO129" s="9">
        <v>46161</v>
      </c>
    </row>
    <row r="130" spans="1:41" x14ac:dyDescent="0.25">
      <c r="A130" s="5" t="str">
        <f>IFERROR(IF(INDEX([5]US!$A$2:$A$19,MATCH($D130,[5]US!$D$2:$D$19,0))="","",INDEX([5]US!$A$2:$A$19,MATCH($D130,[5]US!$D$2:$D$19,0))),"")</f>
        <v>Denied</v>
      </c>
      <c r="B130" s="5" t="str">
        <f>IFERROR(IF(INDEX([5]US!$B$2:$B$19,MATCH($D130,[5]US!$D$2:$D$19,0))="","",INDEX([5]US!$B$2:$B$19,MATCH($D130,[5]US!$D$2:$D$19,0))),"")</f>
        <v>Uploaded MR - PIQ-88944138</v>
      </c>
      <c r="C130" s="6">
        <f>IFERROR(IF(INDEX([5]US!$C$2:$C$19,MATCH($D130,[5]US!$D$2:$D$19,0))="","",INDEX([5]US!$C$2:$C$19,MATCH($D130,[5]US!$D$2:$D$19,0))),"")</f>
        <v>46170</v>
      </c>
      <c r="D130" s="7">
        <v>560081393</v>
      </c>
      <c r="E130" s="8" t="s">
        <v>507</v>
      </c>
      <c r="F130" s="9">
        <v>46155</v>
      </c>
      <c r="G130" s="8" t="s">
        <v>114</v>
      </c>
      <c r="H130" s="8" t="s">
        <v>114</v>
      </c>
      <c r="I130" s="8" t="s">
        <v>69</v>
      </c>
      <c r="J130" s="8" t="s">
        <v>508</v>
      </c>
      <c r="K130" s="6">
        <f>IFERROR(IF(INDEX([5]US!$K$2:$K$19,MATCH($D130,[5]US!$D$2:$D$19,0))="","",INDEX([5]US!$K$2:$K$19,MATCH($D130,[5]US!$D$2:$D$19,0))),"")</f>
        <v>46245</v>
      </c>
      <c r="L130" s="11">
        <f ca="1">IF($O130="","",$O130-TODAY())</f>
        <v>-59</v>
      </c>
      <c r="M130" s="11">
        <f ca="1">IF(AND(TRIM($A130)="Finalized",$K130&lt;&gt;""),"",IF($C130="","",$C130+180-TODAY()))</f>
        <v>46</v>
      </c>
      <c r="N130" s="11">
        <f ca="1">IF(AND(TRIM($A130)="Finalized",$K130&lt;&gt;""),"",IF($C130="","",$C130+365-TODAY()))</f>
        <v>231</v>
      </c>
      <c r="O130" s="9">
        <f>IF(AND(TRIM($A130)="Finalized",$K130&lt;&gt;""),"",DATE(2026,8,11))</f>
        <v>46245</v>
      </c>
      <c r="P130" s="8" t="s">
        <v>86</v>
      </c>
      <c r="Q130" s="8" t="s">
        <v>116</v>
      </c>
      <c r="R130" s="8" t="s">
        <v>117</v>
      </c>
      <c r="S130" s="8" t="s">
        <v>74</v>
      </c>
      <c r="T130" s="8" t="s">
        <v>73</v>
      </c>
      <c r="U130" s="8" t="s">
        <v>74</v>
      </c>
      <c r="V130" s="8" t="s">
        <v>365</v>
      </c>
      <c r="W130" s="8" t="s">
        <v>129</v>
      </c>
      <c r="X130" s="8"/>
      <c r="Y130" s="8"/>
      <c r="Z130" s="8"/>
      <c r="AA130" s="8" t="s">
        <v>77</v>
      </c>
      <c r="AB130" s="10">
        <v>3822.49</v>
      </c>
      <c r="AC130" s="10">
        <v>0</v>
      </c>
      <c r="AD130" s="10">
        <v>0</v>
      </c>
      <c r="AE130" s="9">
        <v>46175</v>
      </c>
      <c r="AF130" s="10">
        <v>3822.49</v>
      </c>
      <c r="AG130" s="7">
        <v>87</v>
      </c>
      <c r="AH130" s="8" t="s">
        <v>130</v>
      </c>
      <c r="AI130" s="8" t="s">
        <v>139</v>
      </c>
      <c r="AJ130" s="8" t="s">
        <v>138</v>
      </c>
      <c r="AK130" s="8"/>
      <c r="AL130" s="7"/>
      <c r="AM130" s="8" t="s">
        <v>165</v>
      </c>
      <c r="AN130" s="8" t="s">
        <v>95</v>
      </c>
      <c r="AO130" s="9">
        <v>46164</v>
      </c>
    </row>
    <row r="131" spans="1:41" x14ac:dyDescent="0.25">
      <c r="A131" s="5" t="str">
        <f>IFERROR(IF(INDEX([5]BH!$A$2:$A$33,MATCH($D131,[5]BH!$D$2:$D$33,0))="","",INDEX([5]BH!$A$2:$A$33,MATCH($D131,[5]BH!$D$2:$D$33,0))),"")</f>
        <v>Pending</v>
      </c>
      <c r="B131" s="5" t="str">
        <f>IFERROR(IF(INDEX([5]BH!$B$2:$B$33,MATCH($D131,[5]BH!$D$2:$D$33,0))="","",INDEX([5]BH!$B$2:$B$33,MATCH($D131,[5]BH!$D$2:$D$33,0))),"")</f>
        <v>Uploaded MR - PIQ-88903761</v>
      </c>
      <c r="C131" s="6" t="str">
        <f>IFERROR(IF(INDEX([5]BH!$C$2:$C$33,MATCH($D131,[5]BH!$D$2:$D$33,0))="","",INDEX([5]BH!$C$2:$C$33,MATCH($D131,[5]BH!$D$2:$D$33,0))),"")</f>
        <v/>
      </c>
      <c r="D131" s="7">
        <v>559331282</v>
      </c>
      <c r="E131" s="8" t="s">
        <v>509</v>
      </c>
      <c r="F131" s="9">
        <v>46156</v>
      </c>
      <c r="G131" s="8" t="s">
        <v>114</v>
      </c>
      <c r="H131" s="8" t="s">
        <v>114</v>
      </c>
      <c r="I131" s="8" t="s">
        <v>69</v>
      </c>
      <c r="J131" s="8" t="s">
        <v>203</v>
      </c>
      <c r="K131" s="6">
        <f>IFERROR(IF(INDEX([5]BH!$K$2:$K$33,MATCH($D131,[5]BH!$D$2:$D$33,0))="","",INDEX([5]BH!$K$2:$K$33,MATCH($D131,[5]BH!$D$2:$D$33,0))),"")</f>
        <v>46244</v>
      </c>
      <c r="L131" s="11">
        <f ca="1">IF($O131="","",$O131-TODAY())</f>
        <v>-58</v>
      </c>
      <c r="M131" s="11" t="str">
        <f ca="1">IF(AND(TRIM($A131)="Finalized",$K131&lt;&gt;""),"",IF($C131="","",$C131+180-TODAY()))</f>
        <v/>
      </c>
      <c r="N131" s="11" t="str">
        <f ca="1">IF(AND(TRIM($A131)="Finalized",$K131&lt;&gt;""),"",IF($C131="","",$C131+365-TODAY()))</f>
        <v/>
      </c>
      <c r="O131" s="9">
        <f>IF(AND(TRIM($A131)="Finalized",$K131&lt;&gt;""),"",DATE(2026,8,12))</f>
        <v>46246</v>
      </c>
      <c r="P131" s="8" t="s">
        <v>86</v>
      </c>
      <c r="Q131" s="8" t="s">
        <v>116</v>
      </c>
      <c r="R131" s="8" t="s">
        <v>117</v>
      </c>
      <c r="S131" s="8" t="s">
        <v>74</v>
      </c>
      <c r="T131" s="8" t="s">
        <v>73</v>
      </c>
      <c r="U131" s="8" t="s">
        <v>74</v>
      </c>
      <c r="V131" s="8" t="s">
        <v>365</v>
      </c>
      <c r="W131" s="8" t="s">
        <v>118</v>
      </c>
      <c r="X131" s="8"/>
      <c r="Y131" s="8"/>
      <c r="Z131" s="8"/>
      <c r="AA131" s="8" t="s">
        <v>77</v>
      </c>
      <c r="AB131" s="10">
        <v>1372.91</v>
      </c>
      <c r="AC131" s="10">
        <v>0</v>
      </c>
      <c r="AD131" s="10">
        <v>0</v>
      </c>
      <c r="AE131" s="9"/>
      <c r="AF131" s="10">
        <v>1372.91</v>
      </c>
      <c r="AG131" s="7">
        <v>86</v>
      </c>
      <c r="AH131" s="8" t="s">
        <v>510</v>
      </c>
      <c r="AI131" s="8"/>
      <c r="AJ131" s="8"/>
      <c r="AK131" s="8"/>
      <c r="AL131" s="7"/>
      <c r="AM131" s="8" t="s">
        <v>120</v>
      </c>
      <c r="AN131" s="8" t="s">
        <v>132</v>
      </c>
      <c r="AO131" s="9">
        <v>46180</v>
      </c>
    </row>
    <row r="132" spans="1:41" x14ac:dyDescent="0.25">
      <c r="A132" s="5" t="str">
        <f>IFERROR(IF(INDEX([5]BH!$A$2:$A$33,MATCH($D132,[5]BH!$D$2:$D$33,0))="","",INDEX([5]BH!$A$2:$A$33,MATCH($D132,[5]BH!$D$2:$D$33,0))),"")</f>
        <v>Pending</v>
      </c>
      <c r="B132" s="5" t="str">
        <f>IFERROR(IF(INDEX([5]BH!$B$2:$B$33,MATCH($D132,[5]BH!$D$2:$D$33,0))="","",INDEX([5]BH!$B$2:$B$33,MATCH($D132,[5]BH!$D$2:$D$33,0))),"")</f>
        <v>Uploaded MR - PIQ-88903858</v>
      </c>
      <c r="C132" s="6" t="str">
        <f>IFERROR(IF(INDEX([5]BH!$C$2:$C$33,MATCH($D132,[5]BH!$D$2:$D$33,0))="","",INDEX([5]BH!$C$2:$C$33,MATCH($D132,[5]BH!$D$2:$D$33,0))),"")</f>
        <v/>
      </c>
      <c r="D132" s="7">
        <v>559334288</v>
      </c>
      <c r="E132" s="8" t="s">
        <v>511</v>
      </c>
      <c r="F132" s="9">
        <v>46156</v>
      </c>
      <c r="G132" s="8" t="s">
        <v>114</v>
      </c>
      <c r="H132" s="8" t="s">
        <v>114</v>
      </c>
      <c r="I132" s="8" t="s">
        <v>69</v>
      </c>
      <c r="J132" s="8" t="s">
        <v>124</v>
      </c>
      <c r="K132" s="6">
        <f>IFERROR(IF(INDEX([5]BH!$K$2:$K$33,MATCH($D132,[5]BH!$D$2:$D$33,0))="","",INDEX([5]BH!$K$2:$K$33,MATCH($D132,[5]BH!$D$2:$D$33,0))),"")</f>
        <v>46244</v>
      </c>
      <c r="L132" s="11">
        <f ca="1">IF($O132="","",$O132-TODAY())</f>
        <v>-58</v>
      </c>
      <c r="M132" s="11" t="str">
        <f ca="1">IF(AND(TRIM($A132)="Finalized",$K132&lt;&gt;""),"",IF($C132="","",$C132+180-TODAY()))</f>
        <v/>
      </c>
      <c r="N132" s="11" t="str">
        <f ca="1">IF(AND(TRIM($A132)="Finalized",$K132&lt;&gt;""),"",IF($C132="","",$C132+365-TODAY()))</f>
        <v/>
      </c>
      <c r="O132" s="9">
        <f>IF(AND(TRIM($A132)="Finalized",$K132&lt;&gt;""),"",DATE(2026,8,12))</f>
        <v>46246</v>
      </c>
      <c r="P132" s="8" t="s">
        <v>86</v>
      </c>
      <c r="Q132" s="8" t="s">
        <v>116</v>
      </c>
      <c r="R132" s="8" t="s">
        <v>117</v>
      </c>
      <c r="S132" s="8" t="s">
        <v>74</v>
      </c>
      <c r="T132" s="8" t="s">
        <v>73</v>
      </c>
      <c r="U132" s="8" t="s">
        <v>74</v>
      </c>
      <c r="V132" s="8" t="s">
        <v>365</v>
      </c>
      <c r="W132" s="8" t="s">
        <v>118</v>
      </c>
      <c r="X132" s="8"/>
      <c r="Y132" s="8"/>
      <c r="Z132" s="8"/>
      <c r="AA132" s="8" t="s">
        <v>77</v>
      </c>
      <c r="AB132" s="10">
        <v>1426.25</v>
      </c>
      <c r="AC132" s="10">
        <v>0</v>
      </c>
      <c r="AD132" s="10">
        <v>0</v>
      </c>
      <c r="AE132" s="9"/>
      <c r="AF132" s="10">
        <v>1426.25</v>
      </c>
      <c r="AG132" s="7">
        <v>86</v>
      </c>
      <c r="AH132" s="8" t="s">
        <v>119</v>
      </c>
      <c r="AI132" s="8"/>
      <c r="AJ132" s="8"/>
      <c r="AK132" s="8"/>
      <c r="AL132" s="7"/>
      <c r="AM132" s="8" t="s">
        <v>120</v>
      </c>
      <c r="AN132" s="8" t="s">
        <v>132</v>
      </c>
      <c r="AO132" s="9">
        <v>46180</v>
      </c>
    </row>
    <row r="133" spans="1:41" x14ac:dyDescent="0.25">
      <c r="A133" s="5" t="str">
        <f>IFERROR(IF(INDEX([5]ORTHO!$A$2:$A$24,MATCH($D133,[5]ORTHO!$D$2:$D$24,0))="","",INDEX([5]ORTHO!$A$2:$A$24,MATCH($D133,[5]ORTHO!$D$2:$D$24,0))),"")</f>
        <v>Denied</v>
      </c>
      <c r="B133" s="5" t="str">
        <f>IFERROR(IF(INDEX([5]ORTHO!$B$2:$B$24,MATCH($D133,[5]ORTHO!$D$2:$D$24,0))="","",INDEX([5]ORTHO!$B$2:$B$24,MATCH($D133,[5]ORTHO!$D$2:$D$24,0))),"")</f>
        <v>Resubmitted with 63030+63035 - then rejected due to an invalid original claim number - Corrected and resubmitted</v>
      </c>
      <c r="C133" s="6">
        <f>IFERROR(IF(INDEX([5]ORTHO!$C$2:$C$24,MATCH($D133,[5]ORTHO!$D$2:$D$24,0))="","",INDEX([5]ORTHO!$C$2:$C$24,MATCH($D133,[5]ORTHO!$D$2:$D$24,0))),"")</f>
        <v>46170</v>
      </c>
      <c r="D133" s="7">
        <v>559356030</v>
      </c>
      <c r="E133" s="8" t="s">
        <v>513</v>
      </c>
      <c r="F133" s="9">
        <v>46156</v>
      </c>
      <c r="G133" s="8" t="s">
        <v>174</v>
      </c>
      <c r="H133" s="8" t="s">
        <v>174</v>
      </c>
      <c r="I133" s="8" t="s">
        <v>69</v>
      </c>
      <c r="J133" s="8" t="s">
        <v>143</v>
      </c>
      <c r="K133" s="6">
        <f>IFERROR(IF(INDEX([5]ORTHO!$K$2:$K$24,MATCH($D133,[5]ORTHO!$D$2:$D$24,0))="","",INDEX([5]ORTHO!$K$2:$K$24,MATCH($D133,[5]ORTHO!$D$2:$D$24,0))),"")</f>
        <v>46247</v>
      </c>
      <c r="L133" s="11">
        <f ca="1">IF($O133="","",$O133-TODAY())</f>
        <v>-58</v>
      </c>
      <c r="M133" s="11">
        <f ca="1">IF(AND(TRIM($A133)="Finalized",$K133&lt;&gt;""),"",IF($F133="","",$F133+90-TODAY()))</f>
        <v>-58</v>
      </c>
      <c r="N133" s="11">
        <f ca="1">IF(AND(TRIM($A133)="Finalized",$K133&lt;&gt;""),"",IF($C133="","",$C133+180-TODAY()))</f>
        <v>46</v>
      </c>
      <c r="O133" s="9">
        <f>IF(AND(TRIM($A133)="Finalized",$K133&lt;&gt;""),"",DATE(2026,8,12))</f>
        <v>46246</v>
      </c>
      <c r="P133" s="8" t="s">
        <v>86</v>
      </c>
      <c r="Q133" s="8" t="s">
        <v>144</v>
      </c>
      <c r="R133" s="8" t="s">
        <v>86</v>
      </c>
      <c r="S133" s="8" t="s">
        <v>88</v>
      </c>
      <c r="T133" s="8" t="s">
        <v>117</v>
      </c>
      <c r="U133" s="8" t="s">
        <v>74</v>
      </c>
      <c r="V133" s="8" t="s">
        <v>365</v>
      </c>
      <c r="W133" s="8" t="s">
        <v>76</v>
      </c>
      <c r="X133" s="8"/>
      <c r="Y133" s="8"/>
      <c r="Z133" s="8"/>
      <c r="AA133" s="8" t="s">
        <v>77</v>
      </c>
      <c r="AB133" s="10">
        <v>7623.07</v>
      </c>
      <c r="AC133" s="10">
        <v>0</v>
      </c>
      <c r="AD133" s="10">
        <v>0</v>
      </c>
      <c r="AE133" s="9">
        <v>46170</v>
      </c>
      <c r="AF133" s="10">
        <v>7623.07</v>
      </c>
      <c r="AG133" s="7">
        <v>86</v>
      </c>
      <c r="AH133" s="8" t="s">
        <v>145</v>
      </c>
      <c r="AI133" s="8"/>
      <c r="AJ133" s="8"/>
      <c r="AK133" s="8"/>
      <c r="AL133" s="7"/>
      <c r="AM133" s="8" t="s">
        <v>154</v>
      </c>
      <c r="AN133" s="8" t="s">
        <v>109</v>
      </c>
      <c r="AO133" s="9">
        <v>46160</v>
      </c>
    </row>
    <row r="134" spans="1:41" x14ac:dyDescent="0.25">
      <c r="A134" s="5" t="str">
        <f>IFERROR(IF(INDEX([5]DME!$A$2:$A$35,MATCH($D134,[5]DME!$D$2:$D$35,0))="","",INDEX([5]DME!$A$2:$A$35,MATCH($D134,[5]DME!$D$2:$D$35,0))),"")</f>
        <v>Under Review</v>
      </c>
      <c r="B134" s="5" t="str">
        <f>IFERROR(IF(INDEX([5]DME!$B$2:$B$35,MATCH($D134,[5]DME!$D$2:$D$35,0))="","",INDEX([5]DME!$B$2:$B$35,MATCH($D134,[5]DME!$D$2:$D$35,0))),"")</f>
        <v>I need to get the MR request letter - MR requested - Remove CPT A6219, and resubmitted</v>
      </c>
      <c r="C134" s="6" t="str">
        <f>IFERROR(IF(INDEX([5]DME!$C$2:$C$35,MATCH($D134,[5]DME!$D$2:$D$35,0))="","",INDEX([5]DME!$C$2:$C$35,MATCH($D134,[5]DME!$D$2:$D$35,0))),"")</f>
        <v/>
      </c>
      <c r="D134" s="7">
        <v>559604554</v>
      </c>
      <c r="E134" s="8" t="s">
        <v>501</v>
      </c>
      <c r="F134" s="9">
        <v>46157</v>
      </c>
      <c r="G134" s="8" t="s">
        <v>134</v>
      </c>
      <c r="H134" s="8" t="s">
        <v>134</v>
      </c>
      <c r="I134" s="8" t="s">
        <v>514</v>
      </c>
      <c r="J134" s="8" t="s">
        <v>382</v>
      </c>
      <c r="K134" s="6">
        <f>IFERROR(IF(INDEX([5]DME!$K$2:$K$35,MATCH($D134,[5]DME!$D$2:$D$35,0))="","",INDEX([5]DME!$K$2:$K$35,MATCH($D134,[5]DME!$D$2:$D$35,0))),"")</f>
        <v>46244</v>
      </c>
      <c r="L134" s="11">
        <f ca="1">IF($O134="","",$O134-TODAY())</f>
        <v>-57</v>
      </c>
      <c r="M134" s="11" t="str">
        <f ca="1">IF(AND(TRIM($A134)="Finalized",$K134&lt;&gt;""),"",IF($C134="","",$C134+365-TODAY()))</f>
        <v/>
      </c>
      <c r="N134" s="11" t="str">
        <f ca="1">IF(AND(TRIM($A134)="Finalized",$K134&lt;&gt;""),"",IF($C134="","",$C134+365-TODAY()))</f>
        <v/>
      </c>
      <c r="O134" s="9">
        <f>IF(AND(TRIM($A134)="Finalized",$K134&lt;&gt;""),"",DATE(2026,8,13))</f>
        <v>46247</v>
      </c>
      <c r="P134" s="8" t="s">
        <v>86</v>
      </c>
      <c r="Q134" s="8" t="s">
        <v>136</v>
      </c>
      <c r="R134" s="8" t="s">
        <v>73</v>
      </c>
      <c r="S134" s="8" t="s">
        <v>74</v>
      </c>
      <c r="T134" s="8" t="s">
        <v>73</v>
      </c>
      <c r="U134" s="8" t="s">
        <v>74</v>
      </c>
      <c r="V134" s="8" t="s">
        <v>365</v>
      </c>
      <c r="W134" s="8" t="s">
        <v>89</v>
      </c>
      <c r="X134" s="8" t="s">
        <v>244</v>
      </c>
      <c r="Y134" s="8"/>
      <c r="Z134" s="8"/>
      <c r="AA134" s="8" t="s">
        <v>91</v>
      </c>
      <c r="AB134" s="10">
        <v>36353.800000000003</v>
      </c>
      <c r="AC134" s="10">
        <v>0</v>
      </c>
      <c r="AD134" s="10">
        <v>0</v>
      </c>
      <c r="AE134" s="9"/>
      <c r="AF134" s="10">
        <v>36353.800000000003</v>
      </c>
      <c r="AG134" s="7">
        <v>85</v>
      </c>
      <c r="AH134" s="8" t="s">
        <v>92</v>
      </c>
      <c r="AI134" s="8" t="s">
        <v>515</v>
      </c>
      <c r="AJ134" s="8" t="s">
        <v>516</v>
      </c>
      <c r="AK134" s="8" t="s">
        <v>517</v>
      </c>
      <c r="AL134" s="7"/>
      <c r="AM134" s="8" t="s">
        <v>272</v>
      </c>
      <c r="AN134" s="8" t="s">
        <v>121</v>
      </c>
      <c r="AO134" s="9">
        <v>46217</v>
      </c>
    </row>
    <row r="135" spans="1:41" x14ac:dyDescent="0.25">
      <c r="A135" s="5" t="str">
        <f>IFERROR(IF(INDEX([5]BH!$A$2:$A$33,MATCH($D135,[5]BH!$D$2:$D$33,0))="","",INDEX([5]BH!$A$2:$A$33,MATCH($D135,[5]BH!$D$2:$D$33,0))),"")</f>
        <v>Pending</v>
      </c>
      <c r="B135" s="5" t="str">
        <f>IFERROR(IF(INDEX([5]BH!$B$2:$B$33,MATCH($D135,[5]BH!$D$2:$D$33,0))="","",INDEX([5]BH!$B$2:$B$33,MATCH($D135,[5]BH!$D$2:$D$33,0))),"")</f>
        <v>On hold - Missing MR - Uploaded MR on portal</v>
      </c>
      <c r="C135" s="6" t="str">
        <f>IFERROR(IF(INDEX([5]BH!$C$2:$C$33,MATCH($D135,[5]BH!$D$2:$D$33,0))="","",INDEX([5]BH!$C$2:$C$33,MATCH($D135,[5]BH!$D$2:$D$33,0))),"")</f>
        <v/>
      </c>
      <c r="D135" s="7">
        <v>558887755</v>
      </c>
      <c r="E135" s="8" t="s">
        <v>518</v>
      </c>
      <c r="F135" s="9">
        <v>46153</v>
      </c>
      <c r="G135" s="8" t="s">
        <v>186</v>
      </c>
      <c r="H135" s="8" t="s">
        <v>186</v>
      </c>
      <c r="I135" s="8" t="s">
        <v>280</v>
      </c>
      <c r="J135" s="8" t="s">
        <v>160</v>
      </c>
      <c r="K135" s="6">
        <f>IFERROR(IF(INDEX([5]BH!$K$2:$K$33,MATCH($D135,[5]BH!$D$2:$D$33,0))="","",INDEX([5]BH!$K$2:$K$33,MATCH($D135,[5]BH!$D$2:$D$33,0))),"")</f>
        <v>46245</v>
      </c>
      <c r="L135" s="11">
        <f ca="1">IF($O135="","",$O135-TODAY())</f>
        <v>-56</v>
      </c>
      <c r="M135" s="11" t="str">
        <f ca="1">IF(AND(TRIM($A135)="Finalized",$K135&lt;&gt;""),"",IF($C135="","",$C135+90-TODAY()))</f>
        <v/>
      </c>
      <c r="N135" s="11" t="str">
        <f ca="1">IF(AND(TRIM($A135)="Finalized",$K135&lt;&gt;""),"",IF($C135="","",$C135+90-TODAY()))</f>
        <v/>
      </c>
      <c r="O135" s="9">
        <f>IF(AND(TRIM($A135)="Finalized",$K135&lt;&gt;""),"",DATE(2026,8,14))</f>
        <v>46248</v>
      </c>
      <c r="P135" s="8" t="s">
        <v>188</v>
      </c>
      <c r="Q135" s="8" t="s">
        <v>189</v>
      </c>
      <c r="R135" s="8" t="s">
        <v>86</v>
      </c>
      <c r="S135" s="8" t="s">
        <v>74</v>
      </c>
      <c r="T135" s="8" t="s">
        <v>86</v>
      </c>
      <c r="U135" s="8" t="s">
        <v>74</v>
      </c>
      <c r="V135" s="8" t="s">
        <v>365</v>
      </c>
      <c r="W135" s="8" t="s">
        <v>118</v>
      </c>
      <c r="X135" s="8"/>
      <c r="Y135" s="8"/>
      <c r="Z135" s="8"/>
      <c r="AA135" s="8" t="s">
        <v>77</v>
      </c>
      <c r="AB135" s="10">
        <v>976.64</v>
      </c>
      <c r="AC135" s="10">
        <v>0</v>
      </c>
      <c r="AD135" s="10">
        <v>0</v>
      </c>
      <c r="AE135" s="9"/>
      <c r="AF135" s="10">
        <v>976.64</v>
      </c>
      <c r="AG135" s="7">
        <v>89</v>
      </c>
      <c r="AH135" s="8" t="s">
        <v>119</v>
      </c>
      <c r="AI135" s="8"/>
      <c r="AJ135" s="8"/>
      <c r="AK135" s="8"/>
      <c r="AL135" s="7"/>
      <c r="AM135" s="8" t="s">
        <v>126</v>
      </c>
      <c r="AN135" s="8" t="s">
        <v>121</v>
      </c>
      <c r="AO135" s="9">
        <v>46180</v>
      </c>
    </row>
    <row r="136" spans="1:41" x14ac:dyDescent="0.25">
      <c r="A136" s="5" t="str">
        <f>IFERROR(IF(INDEX([5]DME!$A$2:$A$35,MATCH($D136,[5]DME!$D$2:$D$35,0))="","",INDEX([5]DME!$A$2:$A$35,MATCH($D136,[5]DME!$D$2:$D$35,0))),"")</f>
        <v>Denied</v>
      </c>
      <c r="B136" s="5" t="str">
        <f>IFERROR(IF(INDEX([5]DME!$B$2:$B$35,MATCH($D136,[5]DME!$D$2:$D$35,0))="","",INDEX([5]DME!$B$2:$B$35,MATCH($D136,[5]DME!$D$2:$D$35,0))),"")</f>
        <v>Checking with auth team</v>
      </c>
      <c r="C136" s="6">
        <f>IFERROR(IF(INDEX([5]DME!$C$2:$C$35,MATCH($D136,[5]DME!$D$2:$D$35,0))="","",INDEX([5]DME!$C$2:$C$35,MATCH($D136,[5]DME!$D$2:$D$35,0))),"")</f>
        <v>46196</v>
      </c>
      <c r="D136" s="7">
        <v>559742691</v>
      </c>
      <c r="E136" s="8" t="s">
        <v>519</v>
      </c>
      <c r="F136" s="9">
        <v>46160</v>
      </c>
      <c r="G136" s="8" t="s">
        <v>134</v>
      </c>
      <c r="H136" s="8" t="s">
        <v>134</v>
      </c>
      <c r="I136" s="8" t="s">
        <v>69</v>
      </c>
      <c r="J136" s="8" t="s">
        <v>381</v>
      </c>
      <c r="K136" s="6">
        <f>IFERROR(IF(INDEX([5]DME!$K$2:$K$35,MATCH($D136,[5]DME!$D$2:$D$35,0))="","",INDEX([5]DME!$K$2:$K$35,MATCH($D136,[5]DME!$D$2:$D$35,0))),"")</f>
        <v>46245</v>
      </c>
      <c r="L136" s="11">
        <f ca="1">IF($O136="","",$O136-TODAY())</f>
        <v>-54</v>
      </c>
      <c r="M136" s="11">
        <f ca="1">IF(AND(TRIM($A136)="Finalized",$K136&lt;&gt;""),"",IF($C136="","",$C136+365-TODAY()))</f>
        <v>257</v>
      </c>
      <c r="N136" s="11">
        <f ca="1">IF(AND(TRIM($A136)="Finalized",$K136&lt;&gt;""),"",IF($C136="","",$C136+365-TODAY()))</f>
        <v>257</v>
      </c>
      <c r="O136" s="9">
        <f>IF(AND(TRIM($A136)="Finalized",$K136&lt;&gt;""),"",DATE(2026,8,16))</f>
        <v>46250</v>
      </c>
      <c r="P136" s="8" t="s">
        <v>86</v>
      </c>
      <c r="Q136" s="8" t="s">
        <v>136</v>
      </c>
      <c r="R136" s="8" t="s">
        <v>73</v>
      </c>
      <c r="S136" s="8" t="s">
        <v>74</v>
      </c>
      <c r="T136" s="8" t="s">
        <v>73</v>
      </c>
      <c r="U136" s="8" t="s">
        <v>74</v>
      </c>
      <c r="V136" s="8" t="s">
        <v>365</v>
      </c>
      <c r="W136" s="8" t="s">
        <v>89</v>
      </c>
      <c r="X136" s="8" t="s">
        <v>90</v>
      </c>
      <c r="Y136" s="8"/>
      <c r="Z136" s="8"/>
      <c r="AA136" s="8" t="s">
        <v>91</v>
      </c>
      <c r="AB136" s="10">
        <v>5916.4</v>
      </c>
      <c r="AC136" s="10">
        <v>0</v>
      </c>
      <c r="AD136" s="10">
        <v>0</v>
      </c>
      <c r="AE136" s="9">
        <v>46196</v>
      </c>
      <c r="AF136" s="10">
        <v>5916.4</v>
      </c>
      <c r="AG136" s="7">
        <v>82</v>
      </c>
      <c r="AH136" s="8" t="s">
        <v>92</v>
      </c>
      <c r="AI136" s="8"/>
      <c r="AJ136" s="8"/>
      <c r="AK136" s="8"/>
      <c r="AL136" s="7"/>
      <c r="AM136" s="8" t="s">
        <v>520</v>
      </c>
      <c r="AN136" s="8" t="s">
        <v>198</v>
      </c>
      <c r="AO136" s="9">
        <v>46162</v>
      </c>
    </row>
    <row r="137" spans="1:41" x14ac:dyDescent="0.25">
      <c r="A137" s="5" t="str">
        <f>IFERROR(IF(INDEX([5]DME!$A$2:$A$35,MATCH($D137,[5]DME!$D$2:$D$35,0))="","",INDEX([5]DME!$A$2:$A$35,MATCH($D137,[5]DME!$D$2:$D$35,0))),"")</f>
        <v>Denied</v>
      </c>
      <c r="B137" s="5" t="str">
        <f>IFERROR(IF(INDEX([5]DME!$B$2:$B$35,MATCH($D137,[5]DME!$D$2:$D$35,0))="","",INDEX([5]DME!$B$2:$B$35,MATCH($D137,[5]DME!$D$2:$D$35,0))),"")</f>
        <v>Removed rendering, added servicing, changed from professional to DME, and resubmitted - Denied due to missing auth - I see rendering OON -  Processed date 06/12/2026</v>
      </c>
      <c r="C137" s="6">
        <f>IFERROR(IF(INDEX([5]DME!$C$2:$C$35,MATCH($D137,[5]DME!$D$2:$D$35,0))="","",INDEX([5]DME!$C$2:$C$35,MATCH($D137,[5]DME!$D$2:$D$35,0))),"")</f>
        <v>46185</v>
      </c>
      <c r="D137" s="7">
        <v>561880042</v>
      </c>
      <c r="E137" s="8" t="s">
        <v>521</v>
      </c>
      <c r="F137" s="9">
        <v>46160</v>
      </c>
      <c r="G137" s="8" t="s">
        <v>97</v>
      </c>
      <c r="H137" s="8" t="s">
        <v>97</v>
      </c>
      <c r="I137" s="8" t="s">
        <v>69</v>
      </c>
      <c r="J137" s="8" t="s">
        <v>522</v>
      </c>
      <c r="K137" s="6">
        <f>IFERROR(IF(INDEX([5]DME!$K$2:$K$35,MATCH($D137,[5]DME!$D$2:$D$35,0))="","",INDEX([5]DME!$K$2:$K$35,MATCH($D137,[5]DME!$D$2:$D$35,0))),"")</f>
        <v>46245</v>
      </c>
      <c r="L137" s="11">
        <f ca="1">IF($O137="","",$O137-TODAY())</f>
        <v>-54</v>
      </c>
      <c r="M137" s="11">
        <f ca="1">IF(AND(TRIM($A137)="Finalized",$K137&lt;&gt;""),"",IF($F137="","",$F137+90-TODAY()))</f>
        <v>-54</v>
      </c>
      <c r="N137" s="11">
        <f ca="1">IF(AND(TRIM($A137)="Finalized",$K137&lt;&gt;""),"",IF($C137="","",$C137+540-TODAY()))</f>
        <v>421</v>
      </c>
      <c r="O137" s="9">
        <f>IF(AND(TRIM($A137)="Finalized",$K137&lt;&gt;""),"",DATE(2026,8,16))</f>
        <v>46250</v>
      </c>
      <c r="P137" s="8" t="s">
        <v>86</v>
      </c>
      <c r="Q137" s="8" t="s">
        <v>99</v>
      </c>
      <c r="R137" s="8" t="s">
        <v>86</v>
      </c>
      <c r="S137" s="8" t="s">
        <v>88</v>
      </c>
      <c r="T137" s="8" t="s">
        <v>100</v>
      </c>
      <c r="U137" s="8" t="s">
        <v>74</v>
      </c>
      <c r="V137" s="8" t="s">
        <v>365</v>
      </c>
      <c r="W137" s="8" t="s">
        <v>89</v>
      </c>
      <c r="X137" s="8" t="s">
        <v>90</v>
      </c>
      <c r="Y137" s="8"/>
      <c r="Z137" s="8"/>
      <c r="AA137" s="8" t="s">
        <v>479</v>
      </c>
      <c r="AB137" s="10">
        <v>72707.600000000006</v>
      </c>
      <c r="AC137" s="10">
        <v>0</v>
      </c>
      <c r="AD137" s="10">
        <v>0</v>
      </c>
      <c r="AE137" s="9">
        <v>46185</v>
      </c>
      <c r="AF137" s="10">
        <v>72707.600000000006</v>
      </c>
      <c r="AG137" s="7">
        <v>82</v>
      </c>
      <c r="AH137" s="8" t="s">
        <v>92</v>
      </c>
      <c r="AI137" s="8" t="s">
        <v>149</v>
      </c>
      <c r="AJ137" s="8"/>
      <c r="AK137" s="8"/>
      <c r="AL137" s="7"/>
      <c r="AM137" s="8" t="s">
        <v>523</v>
      </c>
      <c r="AN137" s="8" t="s">
        <v>158</v>
      </c>
      <c r="AO137" s="9">
        <v>46183</v>
      </c>
    </row>
    <row r="138" spans="1:41" x14ac:dyDescent="0.25">
      <c r="A138" s="5" t="str">
        <f>IFERROR(IF(INDEX([5]ORTHO!$A$2:$A$24,MATCH($D138,[5]ORTHO!$D$2:$D$24,0))="","",INDEX([5]ORTHO!$A$2:$A$24,MATCH($D138,[5]ORTHO!$D$2:$D$24,0))),"")</f>
        <v>Denied</v>
      </c>
      <c r="B138" s="5" t="str">
        <f>IFERROR(IF(INDEX([5]ORTHO!$B$2:$B$24,MATCH($D138,[5]ORTHO!$D$2:$D$24,0))="","",INDEX([5]ORTHO!$B$2:$B$24,MATCH($D138,[5]ORTHO!$D$2:$D$24,0))),"")</f>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
      <c r="C138" s="6">
        <f>IFERROR(IF(INDEX([5]ORTHO!$C$2:$C$24,MATCH($D138,[5]ORTHO!$D$2:$D$24,0))="","",INDEX([5]ORTHO!$C$2:$C$24,MATCH($D138,[5]ORTHO!$D$2:$D$24,0))),"")</f>
        <v>46252</v>
      </c>
      <c r="D138" s="7">
        <v>561233259</v>
      </c>
      <c r="E138" s="8" t="s">
        <v>525</v>
      </c>
      <c r="F138" s="9">
        <v>46160</v>
      </c>
      <c r="G138" s="8" t="s">
        <v>114</v>
      </c>
      <c r="H138" s="8" t="s">
        <v>114</v>
      </c>
      <c r="I138" s="8" t="s">
        <v>69</v>
      </c>
      <c r="J138" s="8" t="s">
        <v>344</v>
      </c>
      <c r="K138" s="6">
        <f>IFERROR(IF(INDEX([5]ORTHO!$K$2:$K$24,MATCH($D138,[5]ORTHO!$D$2:$D$24,0))="","",INDEX([5]ORTHO!$K$2:$K$24,MATCH($D138,[5]ORTHO!$D$2:$D$24,0))),"")</f>
        <v>46252</v>
      </c>
      <c r="L138" s="11">
        <f ca="1">IF($O138="","",$O138-TODAY())</f>
        <v>-54</v>
      </c>
      <c r="M138" s="11">
        <f ca="1">IF(AND(TRIM($A138)="Finalized",$K138&lt;&gt;""),"",IF($C138="","",$C138+180-TODAY()))</f>
        <v>128</v>
      </c>
      <c r="N138" s="11">
        <f ca="1">IF(AND(TRIM($A138)="Finalized",$K138&lt;&gt;""),"",IF($C138="","",$C138+365-TODAY()))</f>
        <v>313</v>
      </c>
      <c r="O138" s="9">
        <f>IF(AND(TRIM($A138)="Finalized",$K138&lt;&gt;""),"",DATE(2026,8,16))</f>
        <v>46250</v>
      </c>
      <c r="P138" s="8" t="s">
        <v>86</v>
      </c>
      <c r="Q138" s="8" t="s">
        <v>116</v>
      </c>
      <c r="R138" s="8" t="s">
        <v>117</v>
      </c>
      <c r="S138" s="8" t="s">
        <v>74</v>
      </c>
      <c r="T138" s="8" t="s">
        <v>73</v>
      </c>
      <c r="U138" s="8" t="s">
        <v>74</v>
      </c>
      <c r="V138" s="8" t="s">
        <v>365</v>
      </c>
      <c r="W138" s="8" t="s">
        <v>76</v>
      </c>
      <c r="X138" s="8"/>
      <c r="Y138" s="8"/>
      <c r="Z138" s="8"/>
      <c r="AA138" s="8" t="s">
        <v>77</v>
      </c>
      <c r="AB138" s="10">
        <v>9056.39</v>
      </c>
      <c r="AC138" s="10">
        <v>0</v>
      </c>
      <c r="AD138" s="10">
        <v>0</v>
      </c>
      <c r="AE138" s="9"/>
      <c r="AF138" s="10">
        <v>9056.39</v>
      </c>
      <c r="AG138" s="7">
        <v>82</v>
      </c>
      <c r="AH138" s="8" t="s">
        <v>79</v>
      </c>
      <c r="AI138" s="8" t="s">
        <v>167</v>
      </c>
      <c r="AJ138" s="8" t="s">
        <v>526</v>
      </c>
      <c r="AK138" s="8"/>
      <c r="AL138" s="7"/>
      <c r="AM138" s="8" t="s">
        <v>168</v>
      </c>
      <c r="AN138" s="8" t="s">
        <v>109</v>
      </c>
      <c r="AO138" s="9">
        <v>46177</v>
      </c>
    </row>
    <row r="139" spans="1:41" x14ac:dyDescent="0.25">
      <c r="A139" s="5" t="str">
        <f>IFERROR(IF(INDEX([5]BH!$A$2:$A$33,MATCH($D139,[5]BH!$D$2:$D$33,0))="","",INDEX([5]BH!$A$2:$A$33,MATCH($D139,[5]BH!$D$2:$D$33,0))),"")</f>
        <v>Pending</v>
      </c>
      <c r="B139" s="5" t="str">
        <f>IFERROR(IF(INDEX([5]BH!$B$2:$B$33,MATCH($D139,[5]BH!$D$2:$D$33,0))="","",INDEX([5]BH!$B$2:$B$33,MATCH($D139,[5]BH!$D$2:$D$33,0))),"")</f>
        <v>Corrected service line 1 to 99492, and resubmitted - Processed date 06/16/2026</v>
      </c>
      <c r="C139" s="6">
        <f>IFERROR(IF(INDEX([5]BH!$C$2:$C$33,MATCH($D139,[5]BH!$D$2:$D$33,0))="","",INDEX([5]BH!$C$2:$C$33,MATCH($D139,[5]BH!$D$2:$D$33,0))),"")</f>
        <v>46189</v>
      </c>
      <c r="D139" s="7">
        <v>559931934</v>
      </c>
      <c r="E139" s="8" t="s">
        <v>528</v>
      </c>
      <c r="F139" s="9">
        <v>46162</v>
      </c>
      <c r="G139" s="8" t="s">
        <v>148</v>
      </c>
      <c r="H139" s="8" t="s">
        <v>148</v>
      </c>
      <c r="I139" s="8" t="s">
        <v>69</v>
      </c>
      <c r="J139" s="8" t="s">
        <v>529</v>
      </c>
      <c r="K139" s="6">
        <f>IFERROR(IF(INDEX([5]BH!$K$2:$K$33,MATCH($D139,[5]BH!$D$2:$D$33,0))="","",INDEX([5]BH!$K$2:$K$33,MATCH($D139,[5]BH!$D$2:$D$33,0))),"")</f>
        <v>46245</v>
      </c>
      <c r="L139" s="11">
        <f ca="1">IF($O139="","",$O139-TODAY())</f>
        <v>-52</v>
      </c>
      <c r="M139" s="11">
        <f ca="1">IF(AND(TRIM($A139)="Finalized",$K139&lt;&gt;""),"",IF($C139="","",$C139+180-TODAY()))</f>
        <v>65</v>
      </c>
      <c r="N139" s="11">
        <f ca="1">IF(AND(TRIM($A139)="Finalized",$K139&lt;&gt;""),"",IF($C139="","",$C139+365-TODAY()))</f>
        <v>250</v>
      </c>
      <c r="O139" s="9">
        <f>IF(AND(TRIM($A139)="Finalized",$K139&lt;&gt;""),"",DATE(2026,8,18))</f>
        <v>46252</v>
      </c>
      <c r="P139" s="8" t="s">
        <v>86</v>
      </c>
      <c r="Q139" s="8" t="s">
        <v>152</v>
      </c>
      <c r="R139" s="8" t="s">
        <v>117</v>
      </c>
      <c r="S139" s="8" t="s">
        <v>74</v>
      </c>
      <c r="T139" s="8" t="s">
        <v>73</v>
      </c>
      <c r="U139" s="8" t="s">
        <v>74</v>
      </c>
      <c r="V139" s="8" t="s">
        <v>365</v>
      </c>
      <c r="W139" s="8" t="s">
        <v>118</v>
      </c>
      <c r="X139" s="8"/>
      <c r="Y139" s="8"/>
      <c r="Z139" s="8"/>
      <c r="AA139" s="8" t="s">
        <v>77</v>
      </c>
      <c r="AB139" s="10">
        <v>792.54</v>
      </c>
      <c r="AC139" s="10">
        <v>0</v>
      </c>
      <c r="AD139" s="10">
        <v>0</v>
      </c>
      <c r="AE139" s="9">
        <v>46196</v>
      </c>
      <c r="AF139" s="10">
        <v>792.54</v>
      </c>
      <c r="AG139" s="7">
        <v>80</v>
      </c>
      <c r="AH139" s="8" t="s">
        <v>530</v>
      </c>
      <c r="AI139" s="8" t="s">
        <v>179</v>
      </c>
      <c r="AJ139" s="8"/>
      <c r="AK139" s="8"/>
      <c r="AL139" s="7"/>
      <c r="AM139" s="8" t="s">
        <v>146</v>
      </c>
      <c r="AN139" s="8" t="s">
        <v>132</v>
      </c>
      <c r="AO139" s="9">
        <v>46182</v>
      </c>
    </row>
    <row r="140" spans="1:41" x14ac:dyDescent="0.25">
      <c r="A140" s="5" t="str">
        <f>IFERROR(IF(INDEX([5]BH!$A$2:$A$33,MATCH($D140,[5]BH!$D$2:$D$33,0))="","",INDEX([5]BH!$A$2:$A$33,MATCH($D140,[5]BH!$D$2:$D$33,0))),"")</f>
        <v>Pending</v>
      </c>
      <c r="B140" s="5" t="str">
        <f>IFERROR(IF(INDEX([5]BH!$B$2:$B$33,MATCH($D140,[5]BH!$D$2:$D$33,0))="","",INDEX([5]BH!$B$2:$B$33,MATCH($D140,[5]BH!$D$2:$D$33,0))),"")</f>
        <v>Corrected service line 1 - Changed to 99492, and resubmitted - Processed date 06/10/2026</v>
      </c>
      <c r="C140" s="6">
        <f>IFERROR(IF(INDEX([5]BH!$C$2:$C$33,MATCH($D140,[5]BH!$D$2:$D$33,0))="","",INDEX([5]BH!$C$2:$C$33,MATCH($D140,[5]BH!$D$2:$D$33,0))),"")</f>
        <v>46183</v>
      </c>
      <c r="D140" s="7">
        <v>560175340</v>
      </c>
      <c r="E140" s="8" t="s">
        <v>531</v>
      </c>
      <c r="F140" s="9">
        <v>46162</v>
      </c>
      <c r="G140" s="8" t="s">
        <v>148</v>
      </c>
      <c r="H140" s="8" t="s">
        <v>148</v>
      </c>
      <c r="I140" s="8" t="s">
        <v>148</v>
      </c>
      <c r="J140" s="8" t="s">
        <v>115</v>
      </c>
      <c r="K140" s="6">
        <f>IFERROR(IF(INDEX([5]BH!$K$2:$K$33,MATCH($D140,[5]BH!$D$2:$D$33,0))="","",INDEX([5]BH!$K$2:$K$33,MATCH($D140,[5]BH!$D$2:$D$33,0))),"")</f>
        <v>46245</v>
      </c>
      <c r="L140" s="11">
        <f ca="1">IF($O140="","",$O140-TODAY())</f>
        <v>-52</v>
      </c>
      <c r="M140" s="11">
        <f ca="1">IF(AND(TRIM($A140)="Finalized",$K140&lt;&gt;""),"",IF($C140="","",$C140+180-TODAY()))</f>
        <v>59</v>
      </c>
      <c r="N140" s="11">
        <f ca="1">IF(AND(TRIM($A140)="Finalized",$K140&lt;&gt;""),"",IF($C140="","",$C140+365-TODAY()))</f>
        <v>244</v>
      </c>
      <c r="O140" s="9">
        <f>IF(AND(TRIM($A140)="Finalized",$K140&lt;&gt;""),"",DATE(2026,8,18))</f>
        <v>46252</v>
      </c>
      <c r="P140" s="8" t="s">
        <v>86</v>
      </c>
      <c r="Q140" s="8" t="s">
        <v>152</v>
      </c>
      <c r="R140" s="8" t="s">
        <v>117</v>
      </c>
      <c r="S140" s="8" t="s">
        <v>74</v>
      </c>
      <c r="T140" s="8" t="s">
        <v>73</v>
      </c>
      <c r="U140" s="8" t="s">
        <v>74</v>
      </c>
      <c r="V140" s="8" t="s">
        <v>365</v>
      </c>
      <c r="W140" s="8" t="s">
        <v>118</v>
      </c>
      <c r="X140" s="8"/>
      <c r="Y140" s="8"/>
      <c r="Z140" s="8"/>
      <c r="AA140" s="8" t="s">
        <v>77</v>
      </c>
      <c r="AB140" s="10">
        <v>396.27</v>
      </c>
      <c r="AC140" s="10">
        <v>0</v>
      </c>
      <c r="AD140" s="10">
        <v>0</v>
      </c>
      <c r="AE140" s="9">
        <v>46195</v>
      </c>
      <c r="AF140" s="10">
        <v>396.27</v>
      </c>
      <c r="AG140" s="7">
        <v>80</v>
      </c>
      <c r="AH140" s="8" t="s">
        <v>161</v>
      </c>
      <c r="AI140" s="8" t="s">
        <v>530</v>
      </c>
      <c r="AJ140" s="8"/>
      <c r="AK140" s="8"/>
      <c r="AL140" s="7"/>
      <c r="AM140" s="8" t="s">
        <v>131</v>
      </c>
      <c r="AN140" s="8" t="s">
        <v>132</v>
      </c>
      <c r="AO140" s="9">
        <v>46182</v>
      </c>
    </row>
    <row r="141" spans="1:41" x14ac:dyDescent="0.25">
      <c r="A141" s="5" t="str">
        <f>IFERROR(IF(INDEX([5]ORTHO!$A$2:$A$24,MATCH($D141,[5]ORTHO!$D$2:$D$24,0))="","",INDEX([5]ORTHO!$A$2:$A$24,MATCH($D141,[5]ORTHO!$D$2:$D$24,0))),"")</f>
        <v>Denied</v>
      </c>
      <c r="B141" s="5" t="str">
        <f>IFERROR(IF(INDEX([5]ORTHO!$B$2:$B$24,MATCH($D141,[5]ORTHO!$D$2:$D$24,0))="","",INDEX([5]ORTHO!$B$2:$B$24,MATCH($D141,[5]ORTHO!$D$2:$D$24,0))),"")</f>
        <v>Uploaded MR - PIQ-88975230</v>
      </c>
      <c r="C141" s="6">
        <f>IFERROR(IF(INDEX([5]ORTHO!$C$2:$C$24,MATCH($D141,[5]ORTHO!$D$2:$D$24,0))="","",INDEX([5]ORTHO!$C$2:$C$24,MATCH($D141,[5]ORTHO!$D$2:$D$24,0))),"")</f>
        <v>46242</v>
      </c>
      <c r="D141" s="7">
        <v>561246589</v>
      </c>
      <c r="E141" s="8" t="s">
        <v>534</v>
      </c>
      <c r="F141" s="9">
        <v>46163</v>
      </c>
      <c r="G141" s="8" t="s">
        <v>148</v>
      </c>
      <c r="H141" s="8" t="s">
        <v>148</v>
      </c>
      <c r="I141" s="8" t="s">
        <v>69</v>
      </c>
      <c r="J141" s="8" t="s">
        <v>535</v>
      </c>
      <c r="K141" s="6">
        <f>IFERROR(IF(INDEX([5]ORTHO!$K$2:$K$24,MATCH($D141,[5]ORTHO!$D$2:$D$24,0))="","",INDEX([5]ORTHO!$K$2:$K$24,MATCH($D141,[5]ORTHO!$D$2:$D$24,0))),"")</f>
        <v>46245</v>
      </c>
      <c r="L141" s="11">
        <f ca="1">IF($O141="","",$O141-TODAY())</f>
        <v>-51</v>
      </c>
      <c r="M141" s="11">
        <f ca="1">IF(AND(TRIM($A141)="Finalized",$K141&lt;&gt;""),"",IF($C141="","",$C141+180-TODAY()))</f>
        <v>118</v>
      </c>
      <c r="N141" s="11">
        <f ca="1">IF(AND(TRIM($A141)="Finalized",$K141&lt;&gt;""),"",IF($C141="","",$C141+365-TODAY()))</f>
        <v>303</v>
      </c>
      <c r="O141" s="9">
        <f>IF(AND(TRIM($A141)="Finalized",$K141&lt;&gt;""),"",DATE(2026,8,19))</f>
        <v>46253</v>
      </c>
      <c r="P141" s="8" t="s">
        <v>86</v>
      </c>
      <c r="Q141" s="8" t="s">
        <v>152</v>
      </c>
      <c r="R141" s="8" t="s">
        <v>117</v>
      </c>
      <c r="S141" s="8" t="s">
        <v>74</v>
      </c>
      <c r="T141" s="8" t="s">
        <v>73</v>
      </c>
      <c r="U141" s="8" t="s">
        <v>74</v>
      </c>
      <c r="V141" s="8" t="s">
        <v>365</v>
      </c>
      <c r="W141" s="8" t="s">
        <v>76</v>
      </c>
      <c r="X141" s="8" t="s">
        <v>103</v>
      </c>
      <c r="Y141" s="8"/>
      <c r="Z141" s="8"/>
      <c r="AA141" s="8" t="s">
        <v>77</v>
      </c>
      <c r="AB141" s="10">
        <v>6297.27</v>
      </c>
      <c r="AC141" s="10">
        <v>0</v>
      </c>
      <c r="AD141" s="10">
        <v>0</v>
      </c>
      <c r="AE141" s="9">
        <v>46183</v>
      </c>
      <c r="AF141" s="10">
        <v>6297.27</v>
      </c>
      <c r="AG141" s="7">
        <v>79</v>
      </c>
      <c r="AH141" s="8" t="s">
        <v>249</v>
      </c>
      <c r="AI141" s="8" t="s">
        <v>324</v>
      </c>
      <c r="AJ141" s="8" t="s">
        <v>374</v>
      </c>
      <c r="AK141" s="8"/>
      <c r="AL141" s="7"/>
      <c r="AM141" s="8" t="s">
        <v>217</v>
      </c>
      <c r="AN141" s="8" t="s">
        <v>109</v>
      </c>
      <c r="AO141" s="9">
        <v>46177</v>
      </c>
    </row>
    <row r="142" spans="1:41" x14ac:dyDescent="0.25">
      <c r="A142" s="5" t="str">
        <f>IFERROR(IF(INDEX([5]US!$A$2:$A$19,MATCH($D142,[5]US!$D$2:$D$19,0))="","",INDEX([5]US!$A$2:$A$19,MATCH($D142,[5]US!$D$2:$D$19,0))),"")</f>
        <v>Denied</v>
      </c>
      <c r="B142" s="5" t="str">
        <f>IFERROR(IF(INDEX([5]US!$B$2:$B$19,MATCH($D142,[5]US!$D$2:$D$19,0))="","",INDEX([5]US!$B$2:$B$19,MATCH($D142,[5]US!$D$2:$D$19,0))),"")</f>
        <v>Uploaded MR - PIQ-89018322</v>
      </c>
      <c r="C142" s="6">
        <f>IFERROR(IF(INDEX([5]US!$C$2:$C$19,MATCH($D142,[5]US!$D$2:$D$19,0))="","",INDEX([5]US!$C$2:$C$19,MATCH($D142,[5]US!$D$2:$D$19,0))),"")</f>
        <v>46259</v>
      </c>
      <c r="D142" s="7">
        <v>560710074</v>
      </c>
      <c r="E142" s="8" t="s">
        <v>538</v>
      </c>
      <c r="F142" s="9">
        <v>46163</v>
      </c>
      <c r="G142" s="8" t="s">
        <v>114</v>
      </c>
      <c r="H142" s="8" t="s">
        <v>114</v>
      </c>
      <c r="I142" s="8" t="s">
        <v>69</v>
      </c>
      <c r="J142" s="8" t="s">
        <v>311</v>
      </c>
      <c r="K142" s="6">
        <f>IFERROR(IF(INDEX([5]US!$K$2:$K$19,MATCH($D142,[5]US!$D$2:$D$19,0))="","",INDEX([5]US!$K$2:$K$19,MATCH($D142,[5]US!$D$2:$D$19,0))),"")</f>
        <v>46246</v>
      </c>
      <c r="L142" s="11">
        <f ca="1">IF($O142="","",$O142-TODAY())</f>
        <v>-51</v>
      </c>
      <c r="M142" s="11">
        <f ca="1">IF(AND(TRIM($A142)="Finalized",$K142&lt;&gt;""),"",IF($C142="","",$C142+180-TODAY()))</f>
        <v>135</v>
      </c>
      <c r="N142" s="11">
        <f ca="1">IF(AND(TRIM($A142)="Finalized",$K142&lt;&gt;""),"",IF($C142="","",$C142+365-TODAY()))</f>
        <v>320</v>
      </c>
      <c r="O142" s="9">
        <f>IF(AND(TRIM($A142)="Finalized",$K142&lt;&gt;""),"",DATE(2026,8,19))</f>
        <v>46253</v>
      </c>
      <c r="P142" s="8" t="s">
        <v>86</v>
      </c>
      <c r="Q142" s="8" t="s">
        <v>116</v>
      </c>
      <c r="R142" s="8" t="s">
        <v>117</v>
      </c>
      <c r="S142" s="8" t="s">
        <v>74</v>
      </c>
      <c r="T142" s="8" t="s">
        <v>73</v>
      </c>
      <c r="U142" s="8" t="s">
        <v>74</v>
      </c>
      <c r="V142" s="8" t="s">
        <v>365</v>
      </c>
      <c r="W142" s="8" t="s">
        <v>129</v>
      </c>
      <c r="X142" s="8"/>
      <c r="Y142" s="8"/>
      <c r="Z142" s="8"/>
      <c r="AA142" s="8" t="s">
        <v>77</v>
      </c>
      <c r="AB142" s="10">
        <v>3822.49</v>
      </c>
      <c r="AC142" s="10">
        <v>0</v>
      </c>
      <c r="AD142" s="10">
        <v>0</v>
      </c>
      <c r="AE142" s="9"/>
      <c r="AF142" s="10">
        <v>3822.49</v>
      </c>
      <c r="AG142" s="7">
        <v>79</v>
      </c>
      <c r="AH142" s="8" t="s">
        <v>539</v>
      </c>
      <c r="AI142" s="8"/>
      <c r="AJ142" s="8"/>
      <c r="AK142" s="8"/>
      <c r="AL142" s="7"/>
      <c r="AM142" s="8" t="s">
        <v>131</v>
      </c>
      <c r="AN142" s="8" t="s">
        <v>350</v>
      </c>
      <c r="AO142" s="9">
        <v>46171</v>
      </c>
    </row>
    <row r="143" spans="1:41" x14ac:dyDescent="0.25">
      <c r="A143" s="5" t="str">
        <f>IFERROR(IF(INDEX([5]BH!$A$2:$A$33,MATCH($D143,[5]BH!$D$2:$D$33,0))="","",INDEX([5]BH!$A$2:$A$33,MATCH($D143,[5]BH!$D$2:$D$33,0))),"")</f>
        <v>Pending</v>
      </c>
      <c r="B143" s="5" t="str">
        <f>IFERROR(IF(INDEX([5]BH!$B$2:$B$33,MATCH($D143,[5]BH!$D$2:$D$33,0))="","",INDEX([5]BH!$B$2:$B$33,MATCH($D143,[5]BH!$D$2:$D$33,0))),"")</f>
        <v>Uploaded MR - PIQ-88958247</v>
      </c>
      <c r="C143" s="6" t="str">
        <f>IFERROR(IF(INDEX([5]BH!$C$2:$C$33,MATCH($D143,[5]BH!$D$2:$D$33,0))="","",INDEX([5]BH!$C$2:$C$33,MATCH($D143,[5]BH!$D$2:$D$33,0))),"")</f>
        <v/>
      </c>
      <c r="D143" s="7">
        <v>560027331</v>
      </c>
      <c r="E143" s="8" t="s">
        <v>540</v>
      </c>
      <c r="F143" s="9">
        <v>46164</v>
      </c>
      <c r="G143" s="8" t="s">
        <v>114</v>
      </c>
      <c r="H143" s="8" t="s">
        <v>114</v>
      </c>
      <c r="I143" s="8" t="s">
        <v>69</v>
      </c>
      <c r="J143" s="8" t="s">
        <v>124</v>
      </c>
      <c r="K143" s="6">
        <f>IFERROR(IF(INDEX([5]BH!$K$2:$K$33,MATCH($D143,[5]BH!$D$2:$D$33,0))="","",INDEX([5]BH!$K$2:$K$33,MATCH($D143,[5]BH!$D$2:$D$33,0))),"")</f>
        <v>46245</v>
      </c>
      <c r="L143" s="11">
        <f ca="1">IF($O143="","",$O143-TODAY())</f>
        <v>-50</v>
      </c>
      <c r="M143" s="11" t="str">
        <f ca="1">IF(AND(TRIM($A143)="Finalized",$K143&lt;&gt;""),"",IF($C143="","",$C143+180-TODAY()))</f>
        <v/>
      </c>
      <c r="N143" s="11" t="str">
        <f ca="1">IF(AND(TRIM($A143)="Finalized",$K143&lt;&gt;""),"",IF($C143="","",$C143+365-TODAY()))</f>
        <v/>
      </c>
      <c r="O143" s="9">
        <f>IF(AND(TRIM($A143)="Finalized",$K143&lt;&gt;""),"",DATE(2026,8,20))</f>
        <v>46254</v>
      </c>
      <c r="P143" s="8" t="s">
        <v>86</v>
      </c>
      <c r="Q143" s="8" t="s">
        <v>116</v>
      </c>
      <c r="R143" s="8" t="s">
        <v>117</v>
      </c>
      <c r="S143" s="8" t="s">
        <v>74</v>
      </c>
      <c r="T143" s="8" t="s">
        <v>73</v>
      </c>
      <c r="U143" s="8" t="s">
        <v>74</v>
      </c>
      <c r="V143" s="8" t="s">
        <v>365</v>
      </c>
      <c r="W143" s="8" t="s">
        <v>118</v>
      </c>
      <c r="X143" s="8"/>
      <c r="Y143" s="8"/>
      <c r="Z143" s="8"/>
      <c r="AA143" s="8" t="s">
        <v>77</v>
      </c>
      <c r="AB143" s="10">
        <v>1426.25</v>
      </c>
      <c r="AC143" s="10">
        <v>0</v>
      </c>
      <c r="AD143" s="10">
        <v>0</v>
      </c>
      <c r="AE143" s="9"/>
      <c r="AF143" s="10">
        <v>1426.25</v>
      </c>
      <c r="AG143" s="7">
        <v>78</v>
      </c>
      <c r="AH143" s="8" t="s">
        <v>276</v>
      </c>
      <c r="AI143" s="8"/>
      <c r="AJ143" s="8"/>
      <c r="AK143" s="8"/>
      <c r="AL143" s="7"/>
      <c r="AM143" s="8" t="s">
        <v>278</v>
      </c>
      <c r="AN143" s="8" t="s">
        <v>158</v>
      </c>
      <c r="AO143" s="9">
        <v>46182</v>
      </c>
    </row>
    <row r="144" spans="1:41" x14ac:dyDescent="0.25">
      <c r="A144" s="5" t="str">
        <f>IFERROR(IF(INDEX([5]BH!$A$2:$A$33,MATCH($D144,[5]BH!$D$2:$D$33,0))="","",INDEX([5]BH!$A$2:$A$33,MATCH($D144,[5]BH!$D$2:$D$33,0))),"")</f>
        <v>Denied</v>
      </c>
      <c r="B144" s="5" t="str">
        <f>IFERROR(IF(INDEX([5]BH!$B$2:$B$33,MATCH($D144,[5]BH!$D$2:$D$33,0))="","",INDEX([5]BH!$B$2:$B$33,MATCH($D144,[5]BH!$D$2:$D$33,0))),"")</f>
        <v>UHC not active on DOS - Resubmitted to Mercy Care (secondary)</v>
      </c>
      <c r="C144" s="6">
        <f>IFERROR(IF(INDEX([5]BH!$C$2:$C$33,MATCH($D144,[5]BH!$D$2:$D$33,0))="","",INDEX([5]BH!$C$2:$C$33,MATCH($D144,[5]BH!$D$2:$D$33,0))),"")</f>
        <v>46183</v>
      </c>
      <c r="D144" s="7">
        <v>560178463</v>
      </c>
      <c r="E144" s="8" t="s">
        <v>541</v>
      </c>
      <c r="F144" s="9">
        <v>46164</v>
      </c>
      <c r="G144" s="8" t="s">
        <v>148</v>
      </c>
      <c r="H144" s="8" t="s">
        <v>148</v>
      </c>
      <c r="I144" s="8" t="s">
        <v>370</v>
      </c>
      <c r="J144" s="8" t="s">
        <v>220</v>
      </c>
      <c r="K144" s="6">
        <f>IFERROR(IF(INDEX([5]BH!$K$2:$K$33,MATCH($D144,[5]BH!$D$2:$D$33,0))="","",INDEX([5]BH!$K$2:$K$33,MATCH($D144,[5]BH!$D$2:$D$33,0))),"")</f>
        <v>46245</v>
      </c>
      <c r="L144" s="11">
        <f ca="1">IF($O144="","",$O144-TODAY())</f>
        <v>-50</v>
      </c>
      <c r="M144" s="11">
        <f ca="1">IF(AND(TRIM($A144)="Finalized",$K144&lt;&gt;""),"",IF($C144="","",$C144+180-TODAY()))</f>
        <v>59</v>
      </c>
      <c r="N144" s="11">
        <f ca="1">IF(AND(TRIM($A144)="Finalized",$K144&lt;&gt;""),"",IF($C144="","",$C144+365-TODAY()))</f>
        <v>244</v>
      </c>
      <c r="O144" s="9">
        <f>IF(AND(TRIM($A144)="Finalized",$K144&lt;&gt;""),"",DATE(2026,8,20))</f>
        <v>46254</v>
      </c>
      <c r="P144" s="8" t="s">
        <v>86</v>
      </c>
      <c r="Q144" s="8" t="s">
        <v>152</v>
      </c>
      <c r="R144" s="8" t="s">
        <v>117</v>
      </c>
      <c r="S144" s="8" t="s">
        <v>74</v>
      </c>
      <c r="T144" s="8" t="s">
        <v>73</v>
      </c>
      <c r="U144" s="8" t="s">
        <v>74</v>
      </c>
      <c r="V144" s="8" t="s">
        <v>365</v>
      </c>
      <c r="W144" s="8" t="s">
        <v>118</v>
      </c>
      <c r="X144" s="8"/>
      <c r="Y144" s="8"/>
      <c r="Z144" s="8"/>
      <c r="AA144" s="8" t="s">
        <v>77</v>
      </c>
      <c r="AB144" s="10">
        <v>1372.91</v>
      </c>
      <c r="AC144" s="10">
        <v>0</v>
      </c>
      <c r="AD144" s="10">
        <v>0</v>
      </c>
      <c r="AE144" s="9">
        <v>46189</v>
      </c>
      <c r="AF144" s="10">
        <v>1372.91</v>
      </c>
      <c r="AG144" s="7">
        <v>78</v>
      </c>
      <c r="AH144" s="8" t="s">
        <v>197</v>
      </c>
      <c r="AI144" s="8" t="s">
        <v>179</v>
      </c>
      <c r="AJ144" s="8"/>
      <c r="AK144" s="8"/>
      <c r="AL144" s="7"/>
      <c r="AM144" s="8" t="s">
        <v>120</v>
      </c>
      <c r="AN144" s="8" t="s">
        <v>132</v>
      </c>
      <c r="AO144" s="9">
        <v>46181</v>
      </c>
    </row>
    <row r="145" spans="1:41" x14ac:dyDescent="0.25">
      <c r="A145" s="5" t="str">
        <f>IFERROR(IF(INDEX([5]US!$A$2:$A$19,MATCH($D145,[5]US!$D$2:$D$19,0))="","",INDEX([5]US!$A$2:$A$19,MATCH($D145,[5]US!$D$2:$D$19,0))),"")</f>
        <v>Denied</v>
      </c>
      <c r="B145" s="5" t="str">
        <f>IFERROR(IF(INDEX([5]US!$B$2:$B$19,MATCH($D145,[5]US!$D$2:$D$19,0))="","",INDEX([5]US!$B$2:$B$19,MATCH($D145,[5]US!$D$2:$D$19,0))),"")</f>
        <v>Edited dx for 93970, and resubmitted</v>
      </c>
      <c r="C145" s="6">
        <f>IFERROR(IF(INDEX([5]US!$C$2:$C$19,MATCH($D145,[5]US!$D$2:$D$19,0))="","",INDEX([5]US!$C$2:$C$19,MATCH($D145,[5]US!$D$2:$D$19,0))),"")</f>
        <v>46181</v>
      </c>
      <c r="D145" s="7">
        <v>560711490</v>
      </c>
      <c r="E145" s="8" t="s">
        <v>548</v>
      </c>
      <c r="F145" s="9">
        <v>46168</v>
      </c>
      <c r="G145" s="8" t="s">
        <v>174</v>
      </c>
      <c r="H145" s="8" t="s">
        <v>174</v>
      </c>
      <c r="I145" s="8" t="s">
        <v>69</v>
      </c>
      <c r="J145" s="8" t="s">
        <v>135</v>
      </c>
      <c r="K145" s="6">
        <f>IFERROR(IF(INDEX([5]US!$K$2:$K$19,MATCH($D145,[5]US!$D$2:$D$19,0))="","",INDEX([5]US!$K$2:$K$19,MATCH($D145,[5]US!$D$2:$D$19,0))),"")</f>
        <v>46250</v>
      </c>
      <c r="L145" s="11">
        <f ca="1">IF($O145="","",$O145-TODAY())</f>
        <v>-46</v>
      </c>
      <c r="M145" s="11">
        <f ca="1">IF(AND(TRIM($A145)="Finalized",$K145&lt;&gt;""),"",IF($F145="","",$F145+90-TODAY()))</f>
        <v>-46</v>
      </c>
      <c r="N145" s="11">
        <f ca="1">IF(AND(TRIM($A145)="Finalized",$K145&lt;&gt;""),"",IF($C145="","",$C145+180-TODAY()))</f>
        <v>57</v>
      </c>
      <c r="O145" s="9">
        <f>IF(AND(TRIM($A145)="Finalized",$K145&lt;&gt;""),"",DATE(2026,8,24))</f>
        <v>46258</v>
      </c>
      <c r="P145" s="8" t="s">
        <v>86</v>
      </c>
      <c r="Q145" s="8" t="s">
        <v>144</v>
      </c>
      <c r="R145" s="8" t="s">
        <v>86</v>
      </c>
      <c r="S145" s="8" t="s">
        <v>88</v>
      </c>
      <c r="T145" s="8" t="s">
        <v>117</v>
      </c>
      <c r="U145" s="8" t="s">
        <v>74</v>
      </c>
      <c r="V145" s="8" t="s">
        <v>365</v>
      </c>
      <c r="W145" s="8" t="s">
        <v>129</v>
      </c>
      <c r="X145" s="8"/>
      <c r="Y145" s="8"/>
      <c r="Z145" s="8"/>
      <c r="AA145" s="8" t="s">
        <v>77</v>
      </c>
      <c r="AB145" s="10">
        <v>1294.23</v>
      </c>
      <c r="AC145" s="10">
        <v>0</v>
      </c>
      <c r="AD145" s="10">
        <v>0</v>
      </c>
      <c r="AE145" s="9">
        <v>46181</v>
      </c>
      <c r="AF145" s="10">
        <v>1294.23</v>
      </c>
      <c r="AG145" s="7">
        <v>74</v>
      </c>
      <c r="AH145" s="8" t="s">
        <v>130</v>
      </c>
      <c r="AI145" s="8" t="s">
        <v>138</v>
      </c>
      <c r="AJ145" s="8" t="s">
        <v>139</v>
      </c>
      <c r="AK145" s="8"/>
      <c r="AL145" s="7"/>
      <c r="AM145" s="8" t="s">
        <v>157</v>
      </c>
      <c r="AN145" s="8" t="s">
        <v>158</v>
      </c>
      <c r="AO145" s="9">
        <v>46171</v>
      </c>
    </row>
    <row r="146" spans="1:41" x14ac:dyDescent="0.25">
      <c r="A146" s="5" t="str">
        <f>IFERROR(IF(INDEX([5]ORTHO!$A$2:$A$24,MATCH($D146,[5]ORTHO!$D$2:$D$24,0))="","",INDEX([5]ORTHO!$A$2:$A$24,MATCH($D146,[5]ORTHO!$D$2:$D$24,0))),"")</f>
        <v>Denied</v>
      </c>
      <c r="B146" s="5" t="str">
        <f>IFERROR(IF(INDEX([5]ORTHO!$B$2:$B$24,MATCH($D146,[5]ORTHO!$D$2:$D$24,0))="","",INDEX([5]ORTHO!$B$2:$B$24,MATCH($D146,[5]ORTHO!$D$2:$D$24,0))),"")</f>
        <v>Filed reconsideration with desicion ID # D606429361 - PIQ-89227438</v>
      </c>
      <c r="C146" s="6">
        <f>IFERROR(IF(INDEX([5]ORTHO!$C$2:$C$24,MATCH($D146,[5]ORTHO!$D$2:$D$24,0))="","",INDEX([5]ORTHO!$C$2:$C$24,MATCH($D146,[5]ORTHO!$D$2:$D$24,0))),"")</f>
        <v>46219</v>
      </c>
      <c r="D146" s="7">
        <v>563202144</v>
      </c>
      <c r="E146" s="8" t="s">
        <v>551</v>
      </c>
      <c r="F146" s="9">
        <v>46169</v>
      </c>
      <c r="G146" s="8" t="s">
        <v>114</v>
      </c>
      <c r="H146" s="8" t="s">
        <v>114</v>
      </c>
      <c r="I146" s="8" t="s">
        <v>69</v>
      </c>
      <c r="J146" s="8" t="s">
        <v>552</v>
      </c>
      <c r="K146" s="6">
        <f>IFERROR(IF(INDEX([5]ORTHO!$K$2:$K$24,MATCH($D146,[5]ORTHO!$D$2:$D$24,0))="","",INDEX([5]ORTHO!$K$2:$K$24,MATCH($D146,[5]ORTHO!$D$2:$D$24,0))),"")</f>
        <v>46250</v>
      </c>
      <c r="L146" s="11">
        <f ca="1">IF($O146="","",$O146-TODAY())</f>
        <v>-45</v>
      </c>
      <c r="M146" s="11">
        <f ca="1">IF(AND(TRIM($A146)="Finalized",$K146&lt;&gt;""),"",IF($C146="","",$C146+180-TODAY()))</f>
        <v>95</v>
      </c>
      <c r="N146" s="11">
        <f ca="1">IF(AND(TRIM($A146)="Finalized",$K146&lt;&gt;""),"",IF($C146="","",$C146+365-TODAY()))</f>
        <v>280</v>
      </c>
      <c r="O146" s="9">
        <f>IF(AND(TRIM($A146)="Finalized",$K146&lt;&gt;""),"",DATE(2026,8,25))</f>
        <v>46259</v>
      </c>
      <c r="P146" s="8" t="s">
        <v>86</v>
      </c>
      <c r="Q146" s="8" t="s">
        <v>116</v>
      </c>
      <c r="R146" s="8" t="s">
        <v>117</v>
      </c>
      <c r="S146" s="8" t="s">
        <v>74</v>
      </c>
      <c r="T146" s="8" t="s">
        <v>73</v>
      </c>
      <c r="U146" s="8" t="s">
        <v>74</v>
      </c>
      <c r="V146" s="8" t="s">
        <v>365</v>
      </c>
      <c r="W146" s="8" t="s">
        <v>76</v>
      </c>
      <c r="X146" s="8"/>
      <c r="Y146" s="8"/>
      <c r="Z146" s="8"/>
      <c r="AA146" s="8" t="s">
        <v>77</v>
      </c>
      <c r="AB146" s="10">
        <v>11163.74</v>
      </c>
      <c r="AC146" s="10">
        <v>0</v>
      </c>
      <c r="AD146" s="10">
        <v>0</v>
      </c>
      <c r="AE146" s="9">
        <v>46219</v>
      </c>
      <c r="AF146" s="10">
        <v>11163.74</v>
      </c>
      <c r="AG146" s="7">
        <v>73</v>
      </c>
      <c r="AH146" s="8" t="s">
        <v>308</v>
      </c>
      <c r="AI146" s="8" t="s">
        <v>285</v>
      </c>
      <c r="AJ146" s="8" t="s">
        <v>395</v>
      </c>
      <c r="AK146" s="8" t="s">
        <v>553</v>
      </c>
      <c r="AL146" s="7"/>
      <c r="AM146" s="8" t="s">
        <v>165</v>
      </c>
      <c r="AN146" s="8" t="s">
        <v>109</v>
      </c>
      <c r="AO146" s="9">
        <v>46177</v>
      </c>
    </row>
    <row r="147" spans="1:41" x14ac:dyDescent="0.25">
      <c r="A147" s="5" t="str">
        <f>IFERROR(IF(INDEX([5]US!$A$2:$A$19,MATCH($D147,[5]US!$D$2:$D$19,0))="","",INDEX([5]US!$A$2:$A$19,MATCH($D147,[5]US!$D$2:$D$19,0))),"")</f>
        <v>Denied</v>
      </c>
      <c r="B147" s="5" t="str">
        <f>IFERROR(IF(INDEX([5]US!$B$2:$B$19,MATCH($D147,[5]US!$D$2:$D$19,0))="","",INDEX([5]US!$B$2:$B$19,MATCH($D147,[5]US!$D$2:$D$19,0))),"")</f>
        <v>Edited dx for 93970, delete 93923, and resubmitted</v>
      </c>
      <c r="C147" s="6">
        <f>IFERROR(IF(INDEX([5]US!$C$2:$C$19,MATCH($D147,[5]US!$D$2:$D$19,0))="","",INDEX([5]US!$C$2:$C$19,MATCH($D147,[5]US!$D$2:$D$19,0))),"")</f>
        <v>46177</v>
      </c>
      <c r="D147" s="7">
        <v>560713422</v>
      </c>
      <c r="E147" s="8" t="s">
        <v>554</v>
      </c>
      <c r="F147" s="9">
        <v>46169</v>
      </c>
      <c r="G147" s="8" t="s">
        <v>174</v>
      </c>
      <c r="H147" s="8" t="s">
        <v>174</v>
      </c>
      <c r="I147" s="8" t="s">
        <v>69</v>
      </c>
      <c r="J147" s="8" t="s">
        <v>262</v>
      </c>
      <c r="K147" s="6">
        <f>IFERROR(IF(INDEX([5]US!$K$2:$K$19,MATCH($D147,[5]US!$D$2:$D$19,0))="","",INDEX([5]US!$K$2:$K$19,MATCH($D147,[5]US!$D$2:$D$19,0))),"")</f>
        <v>46251</v>
      </c>
      <c r="L147" s="11">
        <f ca="1">IF($O147="","",$O147-TODAY())</f>
        <v>-45</v>
      </c>
      <c r="M147" s="11">
        <f ca="1">IF(AND(TRIM($A147)="Finalized",$K147&lt;&gt;""),"",IF($F147="","",$F147+90-TODAY()))</f>
        <v>-45</v>
      </c>
      <c r="N147" s="11">
        <f ca="1">IF(AND(TRIM($A147)="Finalized",$K147&lt;&gt;""),"",IF($C147="","",$C147+180-TODAY()))</f>
        <v>53</v>
      </c>
      <c r="O147" s="9">
        <f>IF(AND(TRIM($A147)="Finalized",$K147&lt;&gt;""),"",DATE(2026,8,25))</f>
        <v>46259</v>
      </c>
      <c r="P147" s="8" t="s">
        <v>86</v>
      </c>
      <c r="Q147" s="8" t="s">
        <v>144</v>
      </c>
      <c r="R147" s="8" t="s">
        <v>86</v>
      </c>
      <c r="S147" s="8" t="s">
        <v>88</v>
      </c>
      <c r="T147" s="8" t="s">
        <v>117</v>
      </c>
      <c r="U147" s="8" t="s">
        <v>74</v>
      </c>
      <c r="V147" s="8" t="s">
        <v>365</v>
      </c>
      <c r="W147" s="8" t="s">
        <v>129</v>
      </c>
      <c r="X147" s="8"/>
      <c r="Y147" s="8"/>
      <c r="Z147" s="8"/>
      <c r="AA147" s="8" t="s">
        <v>77</v>
      </c>
      <c r="AB147" s="10">
        <v>2173.29</v>
      </c>
      <c r="AC147" s="10">
        <v>0</v>
      </c>
      <c r="AD147" s="10">
        <v>0</v>
      </c>
      <c r="AE147" s="9">
        <v>46177</v>
      </c>
      <c r="AF147" s="10">
        <v>2173.29</v>
      </c>
      <c r="AG147" s="7">
        <v>73</v>
      </c>
      <c r="AH147" s="8" t="s">
        <v>555</v>
      </c>
      <c r="AI147" s="8" t="s">
        <v>264</v>
      </c>
      <c r="AJ147" s="8" t="s">
        <v>79</v>
      </c>
      <c r="AK147" s="8" t="s">
        <v>330</v>
      </c>
      <c r="AL147" s="7"/>
      <c r="AM147" s="8" t="s">
        <v>165</v>
      </c>
      <c r="AN147" s="8" t="s">
        <v>95</v>
      </c>
      <c r="AO147" s="9">
        <v>46171</v>
      </c>
    </row>
    <row r="148" spans="1:41" x14ac:dyDescent="0.25">
      <c r="A148" s="5" t="str">
        <f>IFERROR(IF(INDEX([6]DME!$A$2:$A$51,MATCH($D148,[6]DME!$D$2:$D$51,0))="","",INDEX([6]DME!$A$2:$A$51,MATCH($D148,[6]DME!$D$2:$D$51,0))),"")</f>
        <v>Denied</v>
      </c>
      <c r="B148" s="5" t="str">
        <f>IFERROR(IF(INDEX([6]DME!$B$2:$B$51,MATCH($D148,[6]DME!$D$2:$D$51,0))="","",INDEX([6]DME!$B$2:$B$51,MATCH($D148,[6]DME!$D$2:$D$51,0))),"")</f>
        <v>Uploaded MR - Dispute ID PDXEFY2R66 - Rep Ria U said we needed to send medical records - Ref # CALLXZ3KC79Y</v>
      </c>
      <c r="C148" s="6">
        <f>IFERROR(IF(INDEX([6]DME!$C$2:$C$51,MATCH($D148,[6]DME!$D$2:$D$51,0))="","",INDEX([6]DME!$C$2:$C$51,MATCH($D148,[6]DME!$D$2:$D$51,0))),"")</f>
        <v>46211</v>
      </c>
      <c r="D148" s="7">
        <v>564111540</v>
      </c>
      <c r="E148" s="8" t="s">
        <v>556</v>
      </c>
      <c r="F148" s="9">
        <v>46199</v>
      </c>
      <c r="G148" s="8" t="s">
        <v>363</v>
      </c>
      <c r="H148" s="8" t="s">
        <v>363</v>
      </c>
      <c r="I148" s="8" t="s">
        <v>83</v>
      </c>
      <c r="J148" s="8" t="s">
        <v>382</v>
      </c>
      <c r="K148" s="6">
        <f>IFERROR(IF(INDEX([6]DME!$K$2:$K$51,MATCH($D148,[6]DME!$D$2:$D$51,0))="","",INDEX([6]DME!$K$2:$K$51,MATCH($D148,[6]DME!$D$2:$D$51,0))),"")</f>
        <v>46254</v>
      </c>
      <c r="L148" s="11">
        <f ca="1">IF($O148="","",$O148-TODAY())</f>
        <v>-45</v>
      </c>
      <c r="M148" s="11">
        <f ca="1">IF(AND(TRIM($A148)="Finalized",$K148&lt;&gt;""),"",IF($C148="","",$C148+365-TODAY()))</f>
        <v>272</v>
      </c>
      <c r="N148" s="11">
        <f ca="1">IF(AND(TRIM($A148)="Finalized",$K148&lt;&gt;""),"",IF($C148="","",$C148+90-TODAY()))</f>
        <v>-3</v>
      </c>
      <c r="O148" s="9">
        <f>IF(AND(TRIM($A148)="Finalized",$K148&lt;&gt;""),"",DATE(2026,8,25))</f>
        <v>46259</v>
      </c>
      <c r="P148" s="8" t="s">
        <v>71</v>
      </c>
      <c r="Q148" s="8" t="s">
        <v>364</v>
      </c>
      <c r="R148" s="8" t="s">
        <v>73</v>
      </c>
      <c r="S148" s="8" t="s">
        <v>74</v>
      </c>
      <c r="T148" s="8" t="s">
        <v>86</v>
      </c>
      <c r="U148" s="8" t="s">
        <v>74</v>
      </c>
      <c r="V148" s="8" t="s">
        <v>455</v>
      </c>
      <c r="W148" s="8" t="s">
        <v>89</v>
      </c>
      <c r="X148" s="8" t="s">
        <v>244</v>
      </c>
      <c r="Y148" s="8"/>
      <c r="Z148" s="8"/>
      <c r="AA148" s="8" t="s">
        <v>91</v>
      </c>
      <c r="AB148" s="10">
        <v>36353.800000000003</v>
      </c>
      <c r="AC148" s="10">
        <v>0</v>
      </c>
      <c r="AD148" s="10">
        <v>0</v>
      </c>
      <c r="AE148" s="9">
        <v>46211</v>
      </c>
      <c r="AF148" s="10">
        <v>36353.800000000003</v>
      </c>
      <c r="AG148" s="7">
        <v>43</v>
      </c>
      <c r="AH148" s="8" t="s">
        <v>92</v>
      </c>
      <c r="AI148" s="8" t="s">
        <v>145</v>
      </c>
      <c r="AJ148" s="8"/>
      <c r="AK148" s="8"/>
      <c r="AL148" s="7"/>
      <c r="AM148" s="8" t="s">
        <v>383</v>
      </c>
      <c r="AN148" s="8" t="s">
        <v>191</v>
      </c>
      <c r="AO148" s="9">
        <v>46205</v>
      </c>
    </row>
    <row r="149" spans="1:41" x14ac:dyDescent="0.25">
      <c r="A149" s="5" t="str">
        <f>IFERROR(IF(INDEX([4]US!$A$2:$A$23,MATCH($D149,[4]US!$D$2:$D$23,0))="","",INDEX([4]US!$A$2:$A$23,MATCH($D149,[4]US!$D$2:$D$23,0))),"")</f>
        <v>Pending</v>
      </c>
      <c r="B149" s="5" t="str">
        <f>IFERROR(IF(INDEX([4]US!$B$2:$B$23,MATCH($D149,[4]US!$D$2:$D$23,0))="","",INDEX([4]US!$B$2:$B$23,MATCH($D149,[4]US!$D$2:$D$23,0))),"")</f>
        <v>Billed 93923 separately on claim 568675091</v>
      </c>
      <c r="C149" s="6">
        <f>IFERROR(IF(INDEX([4]US!$C$2:$C$23,MATCH($D149,[4]US!$D$2:$D$23,0))="","",INDEX([4]US!$C$2:$C$23,MATCH($D149,[4]US!$D$2:$D$23,0))),"")</f>
        <v>46164</v>
      </c>
      <c r="D149" s="7">
        <v>558643131</v>
      </c>
      <c r="E149" s="8" t="s">
        <v>559</v>
      </c>
      <c r="F149" s="9">
        <v>46140</v>
      </c>
      <c r="G149" s="8" t="s">
        <v>462</v>
      </c>
      <c r="H149" s="8" t="s">
        <v>462</v>
      </c>
      <c r="I149" s="8" t="s">
        <v>69</v>
      </c>
      <c r="J149" s="8" t="s">
        <v>378</v>
      </c>
      <c r="K149" s="6">
        <f>IFERROR(IF(INDEX([4]US!$K$2:$K$23,MATCH($D149,[4]US!$D$2:$D$23,0))="","",INDEX([4]US!$K$2:$K$23,MATCH($D149,[4]US!$D$2:$D$23,0))),"")</f>
        <v>46248</v>
      </c>
      <c r="L149" s="11">
        <f ca="1">IF($O149="","",$O149-TODAY())</f>
        <v>-44</v>
      </c>
      <c r="M149" s="11">
        <f ca="1">IF(AND(TRIM($A149)="Finalized",$K149&lt;&gt;""),"",IF($C149="","",$C149+180-TODAY()))</f>
        <v>40</v>
      </c>
      <c r="N149" s="11">
        <f ca="1">IF(AND(TRIM($A149)="Finalized",$K149&lt;&gt;""),"",IF($C149="","",$C149+180-TODAY()))</f>
        <v>40</v>
      </c>
      <c r="O149" s="9">
        <f>IF(AND(TRIM($A149)="Finalized",$K149&lt;&gt;""),"",DATE(2026,8,26))</f>
        <v>46260</v>
      </c>
      <c r="P149" s="8" t="s">
        <v>208</v>
      </c>
      <c r="Q149" s="8" t="s">
        <v>209</v>
      </c>
      <c r="R149" s="8" t="s">
        <v>117</v>
      </c>
      <c r="S149" s="8" t="s">
        <v>74</v>
      </c>
      <c r="T149" s="8" t="s">
        <v>117</v>
      </c>
      <c r="U149" s="8" t="s">
        <v>74</v>
      </c>
      <c r="V149" s="8" t="s">
        <v>339</v>
      </c>
      <c r="W149" s="8" t="s">
        <v>129</v>
      </c>
      <c r="X149" s="8"/>
      <c r="Y149" s="8"/>
      <c r="Z149" s="8"/>
      <c r="AA149" s="8" t="s">
        <v>77</v>
      </c>
      <c r="AB149" s="10">
        <v>879.06</v>
      </c>
      <c r="AC149" s="10">
        <v>0</v>
      </c>
      <c r="AD149" s="10">
        <v>0</v>
      </c>
      <c r="AE149" s="9">
        <v>46164</v>
      </c>
      <c r="AF149" s="10">
        <v>879.06</v>
      </c>
      <c r="AG149" s="7">
        <v>102</v>
      </c>
      <c r="AH149" s="8" t="s">
        <v>318</v>
      </c>
      <c r="AI149" s="8" t="s">
        <v>498</v>
      </c>
      <c r="AJ149" s="8" t="s">
        <v>560</v>
      </c>
      <c r="AK149" s="8"/>
      <c r="AL149" s="7"/>
      <c r="AM149" s="8" t="s">
        <v>157</v>
      </c>
      <c r="AN149" s="8" t="s">
        <v>158</v>
      </c>
      <c r="AO149" s="9">
        <v>46147</v>
      </c>
    </row>
    <row r="150" spans="1:41" x14ac:dyDescent="0.25">
      <c r="A150" s="5" t="str">
        <f>IFERROR(IF(INDEX([5]BH!$A$2:$A$33,MATCH($D150,[5]BH!$D$2:$D$33,0))="","",INDEX([5]BH!$A$2:$A$33,MATCH($D150,[5]BH!$D$2:$D$33,0))),"")</f>
        <v>Denied</v>
      </c>
      <c r="B150" s="5" t="str">
        <f>IFERROR(IF(INDEX([5]BH!$B$2:$B$33,MATCH($D150,[5]BH!$D$2:$D$33,0))="","",INDEX([5]BH!$B$2:$B$33,MATCH($D150,[5]BH!$D$2:$D$33,0))),"")</f>
        <v>We have to wait for claim on DOS 02/20/2026 approval to reprocess</v>
      </c>
      <c r="C150" s="6">
        <f>IFERROR(IF(INDEX([5]BH!$C$2:$C$33,MATCH($D150,[5]BH!$D$2:$D$33,0))="","",INDEX([5]BH!$C$2:$C$33,MATCH($D150,[5]BH!$D$2:$D$33,0))),"")</f>
        <v>46191</v>
      </c>
      <c r="D150" s="7">
        <v>560664762</v>
      </c>
      <c r="E150" s="8" t="s">
        <v>246</v>
      </c>
      <c r="F150" s="9">
        <v>46171</v>
      </c>
      <c r="G150" s="8" t="s">
        <v>134</v>
      </c>
      <c r="H150" s="8" t="s">
        <v>134</v>
      </c>
      <c r="I150" s="8" t="s">
        <v>69</v>
      </c>
      <c r="J150" s="8" t="s">
        <v>220</v>
      </c>
      <c r="K150" s="6">
        <f>IFERROR(IF(INDEX([5]BH!$K$2:$K$33,MATCH($D150,[5]BH!$D$2:$D$33,0))="","",INDEX([5]BH!$K$2:$K$33,MATCH($D150,[5]BH!$D$2:$D$33,0))),"")</f>
        <v>46245</v>
      </c>
      <c r="L150" s="11">
        <f ca="1">IF($O150="","",$O150-TODAY())</f>
        <v>-43</v>
      </c>
      <c r="M150" s="11">
        <f ca="1">IF(AND(TRIM($A150)="Finalized",$K150&lt;&gt;""),"",IF($C150="","",$C150+365-TODAY()))</f>
        <v>252</v>
      </c>
      <c r="N150" s="11">
        <f ca="1">IF(AND(TRIM($A150)="Finalized",$K150&lt;&gt;""),"",IF($C150="","",$C150+365-TODAY()))</f>
        <v>252</v>
      </c>
      <c r="O150" s="9">
        <f>IF(AND(TRIM($A150)="Finalized",$K150&lt;&gt;""),"",DATE(2026,8,27))</f>
        <v>46261</v>
      </c>
      <c r="P150" s="8" t="s">
        <v>86</v>
      </c>
      <c r="Q150" s="8" t="s">
        <v>136</v>
      </c>
      <c r="R150" s="8" t="s">
        <v>73</v>
      </c>
      <c r="S150" s="8" t="s">
        <v>74</v>
      </c>
      <c r="T150" s="8" t="s">
        <v>73</v>
      </c>
      <c r="U150" s="8" t="s">
        <v>74</v>
      </c>
      <c r="V150" s="8" t="s">
        <v>365</v>
      </c>
      <c r="W150" s="8" t="s">
        <v>118</v>
      </c>
      <c r="X150" s="8"/>
      <c r="Y150" s="8"/>
      <c r="Z150" s="8"/>
      <c r="AA150" s="8" t="s">
        <v>77</v>
      </c>
      <c r="AB150" s="10">
        <v>1372.91</v>
      </c>
      <c r="AC150" s="10">
        <v>0</v>
      </c>
      <c r="AD150" s="10">
        <v>0</v>
      </c>
      <c r="AE150" s="9">
        <v>46191</v>
      </c>
      <c r="AF150" s="10">
        <v>1372.91</v>
      </c>
      <c r="AG150" s="7">
        <v>71</v>
      </c>
      <c r="AH150" s="8" t="s">
        <v>161</v>
      </c>
      <c r="AI150" s="8"/>
      <c r="AJ150" s="8"/>
      <c r="AK150" s="8"/>
      <c r="AL150" s="7"/>
      <c r="AM150" s="8" t="s">
        <v>157</v>
      </c>
      <c r="AN150" s="8" t="s">
        <v>158</v>
      </c>
      <c r="AO150" s="9">
        <v>46182</v>
      </c>
    </row>
    <row r="151" spans="1:41" x14ac:dyDescent="0.25">
      <c r="A151" s="5" t="str">
        <f>IFERROR(IF(INDEX([4]US!$A$2:$A$23,MATCH($D151,[4]US!$D$2:$D$23,0))="","",INDEX([4]US!$A$2:$A$23,MATCH($D151,[4]US!$D$2:$D$23,0))),"")</f>
        <v>Pending</v>
      </c>
      <c r="B151" s="5" t="str">
        <f>IFERROR(IF(INDEX([4]US!$B$2:$B$23,MATCH($D151,[4]US!$D$2:$D$23,0))="","",INDEX([4]US!$B$2:$B$23,MATCH($D151,[4]US!$D$2:$D$23,0))),"")</f>
        <v>Billed 93923 separately on claim 568676394</v>
      </c>
      <c r="C151" s="6">
        <f>IFERROR(IF(INDEX([4]US!$C$2:$C$23,MATCH($D151,[4]US!$D$2:$D$23,0))="","",INDEX([4]US!$C$2:$C$23,MATCH($D151,[4]US!$D$2:$D$23,0))),"")</f>
        <v>46185</v>
      </c>
      <c r="D151" s="7">
        <v>558643311</v>
      </c>
      <c r="E151" s="8" t="s">
        <v>561</v>
      </c>
      <c r="F151" s="9">
        <v>46141</v>
      </c>
      <c r="G151" s="8" t="s">
        <v>402</v>
      </c>
      <c r="H151" s="8" t="s">
        <v>402</v>
      </c>
      <c r="I151" s="8" t="s">
        <v>69</v>
      </c>
      <c r="J151" s="8" t="s">
        <v>378</v>
      </c>
      <c r="K151" s="6">
        <f>IFERROR(IF(INDEX([4]US!$K$2:$K$23,MATCH($D151,[4]US!$D$2:$D$23,0))="","",INDEX([4]US!$K$2:$K$23,MATCH($D151,[4]US!$D$2:$D$23,0))),"")</f>
        <v>46248</v>
      </c>
      <c r="L151" s="11">
        <f ca="1">IF($O151="","",$O151-TODAY())</f>
        <v>-43</v>
      </c>
      <c r="M151" s="11">
        <f ca="1">IF(AND(TRIM($A151)="Finalized",$K151&lt;&gt;""),"",IF($C151="","",$C151+180-TODAY()))</f>
        <v>61</v>
      </c>
      <c r="N151" s="11">
        <f ca="1">IF(AND(TRIM($A151)="Finalized",$K151&lt;&gt;""),"",IF($C151="","",$C151+180-TODAY()))</f>
        <v>61</v>
      </c>
      <c r="O151" s="9">
        <f>IF(AND(TRIM($A151)="Finalized",$K151&lt;&gt;""),"",DATE(2026,8,27))</f>
        <v>46261</v>
      </c>
      <c r="P151" s="8" t="s">
        <v>208</v>
      </c>
      <c r="Q151" s="8" t="s">
        <v>379</v>
      </c>
      <c r="R151" s="8" t="s">
        <v>117</v>
      </c>
      <c r="S151" s="8" t="s">
        <v>74</v>
      </c>
      <c r="T151" s="8" t="s">
        <v>117</v>
      </c>
      <c r="U151" s="8" t="s">
        <v>74</v>
      </c>
      <c r="V151" s="8" t="s">
        <v>339</v>
      </c>
      <c r="W151" s="8" t="s">
        <v>129</v>
      </c>
      <c r="X151" s="8"/>
      <c r="Y151" s="8"/>
      <c r="Z151" s="8"/>
      <c r="AA151" s="8" t="s">
        <v>77</v>
      </c>
      <c r="AB151" s="10">
        <v>879.06</v>
      </c>
      <c r="AC151" s="10">
        <v>0</v>
      </c>
      <c r="AD151" s="10">
        <v>0</v>
      </c>
      <c r="AE151" s="9">
        <v>46185</v>
      </c>
      <c r="AF151" s="10">
        <v>879.06</v>
      </c>
      <c r="AG151" s="7">
        <v>101</v>
      </c>
      <c r="AH151" s="8" t="s">
        <v>130</v>
      </c>
      <c r="AI151" s="8" t="s">
        <v>175</v>
      </c>
      <c r="AJ151" s="8"/>
      <c r="AK151" s="8"/>
      <c r="AL151" s="7"/>
      <c r="AM151" s="8" t="s">
        <v>165</v>
      </c>
      <c r="AN151" s="8" t="s">
        <v>95</v>
      </c>
      <c r="AO151" s="9">
        <v>46147</v>
      </c>
    </row>
    <row r="152" spans="1:41" x14ac:dyDescent="0.25">
      <c r="A152" s="5" t="str">
        <f>IFERROR(IF(INDEX([4]US!$A$2:$A$23,MATCH($D152,[4]US!$D$2:$D$23,0))="","",INDEX([4]US!$A$2:$A$23,MATCH($D152,[4]US!$D$2:$D$23,0))),"")</f>
        <v>Pending</v>
      </c>
      <c r="B152" s="5" t="str">
        <f>IFERROR(IF(INDEX([4]US!$B$2:$B$23,MATCH($D152,[4]US!$D$2:$D$23,0))="","",INDEX([4]US!$B$2:$B$23,MATCH($D152,[4]US!$D$2:$D$23,0))),"")</f>
        <v>Filed seperately claim on portal for 93923 - Claim Id: 851510753 - Confirmation ID is 843229305</v>
      </c>
      <c r="C152" s="6" t="str">
        <f>IFERROR(IF(INDEX([4]US!$C$2:$C$23,MATCH($D152,[4]US!$D$2:$D$23,0))="","",INDEX([4]US!$C$2:$C$23,MATCH($D152,[4]US!$D$2:$D$23,0))),"")</f>
        <v/>
      </c>
      <c r="D152" s="7">
        <v>558643526</v>
      </c>
      <c r="E152" s="8" t="s">
        <v>562</v>
      </c>
      <c r="F152" s="9">
        <v>46142</v>
      </c>
      <c r="G152" s="8" t="s">
        <v>459</v>
      </c>
      <c r="H152" s="8" t="s">
        <v>459</v>
      </c>
      <c r="I152" s="8" t="s">
        <v>69</v>
      </c>
      <c r="J152" s="8" t="s">
        <v>378</v>
      </c>
      <c r="K152" s="6">
        <f>IFERROR(IF(INDEX([4]US!$K$2:$K$23,MATCH($D152,[4]US!$D$2:$D$23,0))="","",INDEX([4]US!$K$2:$K$23,MATCH($D152,[4]US!$D$2:$D$23,0))),"")</f>
        <v>46248</v>
      </c>
      <c r="L152" s="11">
        <f ca="1">IF($O152="","",$O152-TODAY())</f>
        <v>-42</v>
      </c>
      <c r="M152" s="11">
        <f ca="1">IF(AND(TRIM($A152)="Finalized",$K152&lt;&gt;""),"",IF($F152="","",$F152+365-TODAY()))</f>
        <v>203</v>
      </c>
      <c r="N152" s="11" t="str">
        <f ca="1">IF(AND(TRIM($A152)="Finalized",$K152&lt;&gt;""),"",IF($C152="","",$C152+180-TODAY()))</f>
        <v/>
      </c>
      <c r="O152" s="9">
        <f>IF(AND(TRIM($A152)="Finalized",$K152&lt;&gt;""),"",DATE(2026,8,28))</f>
        <v>46262</v>
      </c>
      <c r="P152" s="8" t="s">
        <v>208</v>
      </c>
      <c r="Q152" s="8" t="s">
        <v>459</v>
      </c>
      <c r="R152" s="8" t="s">
        <v>73</v>
      </c>
      <c r="S152" s="8" t="s">
        <v>88</v>
      </c>
      <c r="T152" s="8" t="s">
        <v>117</v>
      </c>
      <c r="U152" s="8" t="s">
        <v>74</v>
      </c>
      <c r="V152" s="8" t="s">
        <v>339</v>
      </c>
      <c r="W152" s="8" t="s">
        <v>129</v>
      </c>
      <c r="X152" s="8"/>
      <c r="Y152" s="8"/>
      <c r="Z152" s="8"/>
      <c r="AA152" s="8" t="s">
        <v>77</v>
      </c>
      <c r="AB152" s="10">
        <v>879.06</v>
      </c>
      <c r="AC152" s="10">
        <v>0</v>
      </c>
      <c r="AD152" s="10">
        <v>0</v>
      </c>
      <c r="AE152" s="9"/>
      <c r="AF152" s="10">
        <v>879.06</v>
      </c>
      <c r="AG152" s="7">
        <v>100</v>
      </c>
      <c r="AH152" s="8" t="s">
        <v>92</v>
      </c>
      <c r="AI152" s="8" t="s">
        <v>309</v>
      </c>
      <c r="AJ152" s="8"/>
      <c r="AK152" s="8"/>
      <c r="AL152" s="7"/>
      <c r="AM152" s="8" t="s">
        <v>131</v>
      </c>
      <c r="AN152" s="8" t="s">
        <v>350</v>
      </c>
      <c r="AO152" s="9">
        <v>46148</v>
      </c>
    </row>
    <row r="153" spans="1:41" x14ac:dyDescent="0.25">
      <c r="A153" s="5" t="str">
        <f>IFERROR(IF(INDEX([5]ORTHO!$A$2:$A$24,MATCH($D153,[5]ORTHO!$D$2:$D$24,0))="","",INDEX([5]ORTHO!$A$2:$A$24,MATCH($D153,[5]ORTHO!$D$2:$D$24,0))),"")</f>
        <v>Denied</v>
      </c>
      <c r="B153" s="5" t="str">
        <f>IFERROR(IF(INDEX([5]ORTHO!$B$2:$B$24,MATCH($D153,[5]ORTHO!$D$2:$D$24,0))="","",INDEX([5]ORTHO!$B$2:$B$24,MATCH($D153,[5]ORTHO!$D$2:$D$24,0))),"")</f>
        <v>Changed POS and location, used 24 instead of 11, updated location to ASAP SURGERY CENTERS NORTH VALLEY, and resubmitted</v>
      </c>
      <c r="C153" s="6">
        <f>IFERROR(IF(INDEX([5]ORTHO!$C$2:$C$24,MATCH($D153,[5]ORTHO!$D$2:$D$24,0))="","",INDEX([5]ORTHO!$C$2:$C$24,MATCH($D153,[5]ORTHO!$D$2:$D$24,0))),"")</f>
        <v>46189</v>
      </c>
      <c r="D153" s="7">
        <v>561591684</v>
      </c>
      <c r="E153" s="8" t="s">
        <v>563</v>
      </c>
      <c r="F153" s="9">
        <v>46143</v>
      </c>
      <c r="G153" s="8" t="s">
        <v>462</v>
      </c>
      <c r="H153" s="8" t="s">
        <v>462</v>
      </c>
      <c r="I153" s="8" t="s">
        <v>69</v>
      </c>
      <c r="J153" s="8" t="s">
        <v>181</v>
      </c>
      <c r="K153" s="6">
        <f>IFERROR(IF(INDEX([5]ORTHO!$K$2:$K$24,MATCH($D153,[5]ORTHO!$D$2:$D$24,0))="","",INDEX([5]ORTHO!$K$2:$K$24,MATCH($D153,[5]ORTHO!$D$2:$D$24,0))),"")</f>
        <v>46250</v>
      </c>
      <c r="L153" s="11">
        <f ca="1">IF($O153="","",$O153-TODAY())</f>
        <v>-41</v>
      </c>
      <c r="M153" s="11">
        <f ca="1">IF(AND(TRIM($A153)="Finalized",$K153&lt;&gt;""),"",IF($C153="","",$C153+180-TODAY()))</f>
        <v>65</v>
      </c>
      <c r="N153" s="11">
        <f ca="1">IF(AND(TRIM($A153)="Finalized",$K153&lt;&gt;""),"",IF($C153="","",$C153+180-TODAY()))</f>
        <v>65</v>
      </c>
      <c r="O153" s="9">
        <f>IF(AND(TRIM($A153)="Finalized",$K153&lt;&gt;""),"",DATE(2026,8,29))</f>
        <v>46263</v>
      </c>
      <c r="P153" s="8" t="s">
        <v>208</v>
      </c>
      <c r="Q153" s="8" t="s">
        <v>209</v>
      </c>
      <c r="R153" s="8" t="s">
        <v>117</v>
      </c>
      <c r="S153" s="8" t="s">
        <v>74</v>
      </c>
      <c r="T153" s="8" t="s">
        <v>117</v>
      </c>
      <c r="U153" s="8" t="s">
        <v>74</v>
      </c>
      <c r="V153" s="8" t="s">
        <v>365</v>
      </c>
      <c r="W153" s="8" t="s">
        <v>76</v>
      </c>
      <c r="X153" s="8" t="s">
        <v>153</v>
      </c>
      <c r="Y153" s="8"/>
      <c r="Z153" s="8"/>
      <c r="AA153" s="8" t="s">
        <v>77</v>
      </c>
      <c r="AB153" s="10">
        <v>5614.63</v>
      </c>
      <c r="AC153" s="10">
        <v>0</v>
      </c>
      <c r="AD153" s="10">
        <v>0</v>
      </c>
      <c r="AE153" s="9">
        <v>46189</v>
      </c>
      <c r="AF153" s="10">
        <v>5614.63</v>
      </c>
      <c r="AG153" s="7">
        <v>99</v>
      </c>
      <c r="AH153" s="8" t="s">
        <v>182</v>
      </c>
      <c r="AI153" s="8"/>
      <c r="AJ153" s="8"/>
      <c r="AK153" s="8"/>
      <c r="AL153" s="7"/>
      <c r="AM153" s="8" t="s">
        <v>278</v>
      </c>
      <c r="AN153" s="8" t="s">
        <v>132</v>
      </c>
      <c r="AO153" s="9">
        <v>46181</v>
      </c>
    </row>
    <row r="154" spans="1:41" x14ac:dyDescent="0.25">
      <c r="A154" s="5" t="str">
        <f>IFERROR(IF(INDEX([6]GAE!$A$2:$A$23,MATCH($D154,[6]GAE!$D$2:$D$23,0))="","",INDEX([6]GAE!$A$2:$A$23,MATCH($D154,[6]GAE!$D$2:$D$23,0))),"")</f>
        <v>PAID</v>
      </c>
      <c r="B154" s="5" t="str">
        <f>IFERROR(IF(INDEX([6]GAE!$B$2:$B$23,MATCH($D154,[6]GAE!$D$2:$D$23,0))="","",INDEX([6]GAE!$B$2:$B$23,MATCH($D154,[6]GAE!$D$2:$D$23,0))),"")</f>
        <v>PENDING POSTING</v>
      </c>
      <c r="C154" s="6">
        <f>IFERROR(IF(INDEX([6]GAE!$C$2:$C$23,MATCH($D154,[6]GAE!$D$2:$D$23,0))="","",INDEX([6]GAE!$C$2:$C$23,MATCH($D154,[6]GAE!$D$2:$D$23,0))),"")</f>
        <v>46203</v>
      </c>
      <c r="D154" s="7">
        <v>562932517</v>
      </c>
      <c r="E154" s="8" t="s">
        <v>564</v>
      </c>
      <c r="F154" s="9">
        <v>46174</v>
      </c>
      <c r="G154" s="8" t="s">
        <v>123</v>
      </c>
      <c r="H154" s="8" t="s">
        <v>123</v>
      </c>
      <c r="I154" s="8" t="s">
        <v>69</v>
      </c>
      <c r="J154" s="8" t="s">
        <v>565</v>
      </c>
      <c r="K154" s="6">
        <f>IFERROR(IF(INDEX([6]GAE!$K$2:$K$23,MATCH($D154,[6]GAE!$D$2:$D$23,0))="","",INDEX([6]GAE!$K$2:$K$23,MATCH($D154,[6]GAE!$D$2:$D$23,0))),"")</f>
        <v>46203</v>
      </c>
      <c r="L154" s="11">
        <f ca="1">IF($O154="","",$O154-TODAY())</f>
        <v>-40</v>
      </c>
      <c r="M154" s="11">
        <f ca="1">IF(AND(TRIM($A154)="Finalized",$K154&lt;&gt;""),"",IF($F154="","",$F154+90-TODAY()))</f>
        <v>-40</v>
      </c>
      <c r="N154" s="11">
        <f ca="1">IF(AND(TRIM($A154)="Finalized",$K154&lt;&gt;""),"",IF($C154="","",$C154+365-TODAY()))</f>
        <v>264</v>
      </c>
      <c r="O154" s="9">
        <f>IF(AND(TRIM($A154)="Finalized",$K154&lt;&gt;""),"",DATE(2026,8,30))</f>
        <v>46264</v>
      </c>
      <c r="P154" s="8" t="s">
        <v>86</v>
      </c>
      <c r="Q154" s="8" t="s">
        <v>125</v>
      </c>
      <c r="R154" s="8" t="s">
        <v>86</v>
      </c>
      <c r="S154" s="8" t="s">
        <v>88</v>
      </c>
      <c r="T154" s="8" t="s">
        <v>73</v>
      </c>
      <c r="U154" s="8" t="s">
        <v>74</v>
      </c>
      <c r="V154" s="8" t="s">
        <v>455</v>
      </c>
      <c r="W154" s="8" t="s">
        <v>101</v>
      </c>
      <c r="X154" s="8" t="s">
        <v>359</v>
      </c>
      <c r="Y154" s="8" t="s">
        <v>258</v>
      </c>
      <c r="Z154" s="8" t="s">
        <v>103</v>
      </c>
      <c r="AA154" s="8" t="s">
        <v>566</v>
      </c>
      <c r="AB154" s="10">
        <v>70557.69</v>
      </c>
      <c r="AC154" s="10">
        <v>0</v>
      </c>
      <c r="AD154" s="10">
        <v>0</v>
      </c>
      <c r="AE154" s="9"/>
      <c r="AF154" s="10">
        <v>70557.69</v>
      </c>
      <c r="AG154" s="7">
        <v>68</v>
      </c>
      <c r="AH154" s="8" t="s">
        <v>105</v>
      </c>
      <c r="AI154" s="8" t="s">
        <v>106</v>
      </c>
      <c r="AJ154" s="8" t="s">
        <v>107</v>
      </c>
      <c r="AK154" s="8"/>
      <c r="AL154" s="7"/>
      <c r="AM154" s="8" t="s">
        <v>108</v>
      </c>
      <c r="AN154" s="8" t="s">
        <v>81</v>
      </c>
      <c r="AO154" s="9">
        <v>46193</v>
      </c>
    </row>
    <row r="155" spans="1:41" x14ac:dyDescent="0.25">
      <c r="A155" s="5" t="str">
        <f>IFERROR(IF(INDEX([6]GAE!$A$2:$A$23,MATCH($D155,[6]GAE!$D$2:$D$23,0))="","",INDEX([6]GAE!$A$2:$A$23,MATCH($D155,[6]GAE!$D$2:$D$23,0))),"")</f>
        <v>Denied</v>
      </c>
      <c r="B155" s="5" t="str">
        <f>IFERROR(IF(INDEX([6]GAE!$B$2:$B$23,MATCH($D155,[6]GAE!$D$2:$D$23,0))="","",INDEX([6]GAE!$B$2:$B$23,MATCH($D155,[6]GAE!$D$2:$D$23,0))),"")</f>
        <v>Filed reconsideration with MR for 76937 - PIQ-90417618 - DND 76937 Remark: N163 Medical record does not support code billed per the code definition - Jess uploaded MR</v>
      </c>
      <c r="C155" s="6">
        <f>IFERROR(IF(INDEX([6]GAE!$C$2:$C$23,MATCH($D155,[6]GAE!$D$2:$D$23,0))="","",INDEX([6]GAE!$C$2:$C$23,MATCH($D155,[6]GAE!$D$2:$D$23,0))),"")</f>
        <v>46254</v>
      </c>
      <c r="D155" s="7">
        <v>565100484</v>
      </c>
      <c r="E155" s="8" t="s">
        <v>567</v>
      </c>
      <c r="F155" s="9">
        <v>46174</v>
      </c>
      <c r="G155" s="8" t="s">
        <v>237</v>
      </c>
      <c r="H155" s="8" t="s">
        <v>237</v>
      </c>
      <c r="I155" s="8" t="s">
        <v>69</v>
      </c>
      <c r="J155" s="8" t="s">
        <v>568</v>
      </c>
      <c r="K155" s="6">
        <f>IFERROR(IF(INDEX([6]GAE!$K$2:$K$23,MATCH($D155,[6]GAE!$D$2:$D$23,0))="","",INDEX([6]GAE!$K$2:$K$23,MATCH($D155,[6]GAE!$D$2:$D$23,0))),"")</f>
        <v>46270</v>
      </c>
      <c r="L155" s="11">
        <f ca="1">IF($O155="","",$O155-TODAY())</f>
        <v>-40</v>
      </c>
      <c r="M155" s="11">
        <f ca="1">IF(AND(TRIM($A155)="Finalized",$K155&lt;&gt;""),"",IF($C155="","",$C155+180-TODAY()))</f>
        <v>130</v>
      </c>
      <c r="N155" s="11">
        <f ca="1">IF(AND(TRIM($A155)="Finalized",$K155&lt;&gt;""),"",IF($C155="","",$C155+365-TODAY()))</f>
        <v>315</v>
      </c>
      <c r="O155" s="9">
        <f>IF(AND(TRIM($A155)="Finalized",$K155&lt;&gt;""),"",DATE(2026,8,30))</f>
        <v>46264</v>
      </c>
      <c r="P155" s="8" t="s">
        <v>86</v>
      </c>
      <c r="Q155" s="8" t="s">
        <v>239</v>
      </c>
      <c r="R155" s="8" t="s">
        <v>117</v>
      </c>
      <c r="S155" s="8" t="s">
        <v>74</v>
      </c>
      <c r="T155" s="8" t="s">
        <v>73</v>
      </c>
      <c r="U155" s="8" t="s">
        <v>74</v>
      </c>
      <c r="V155" s="8" t="s">
        <v>455</v>
      </c>
      <c r="W155" s="8" t="s">
        <v>101</v>
      </c>
      <c r="X155" s="8" t="s">
        <v>257</v>
      </c>
      <c r="Y155" s="8" t="s">
        <v>258</v>
      </c>
      <c r="Z155" s="8" t="s">
        <v>103</v>
      </c>
      <c r="AA155" s="8" t="s">
        <v>569</v>
      </c>
      <c r="AB155" s="10">
        <v>69078.8</v>
      </c>
      <c r="AC155" s="10">
        <v>0</v>
      </c>
      <c r="AD155" s="10">
        <v>0</v>
      </c>
      <c r="AE155" s="9"/>
      <c r="AF155" s="10">
        <v>69078.8</v>
      </c>
      <c r="AG155" s="7">
        <v>68</v>
      </c>
      <c r="AH155" s="8" t="s">
        <v>105</v>
      </c>
      <c r="AI155" s="8" t="s">
        <v>106</v>
      </c>
      <c r="AJ155" s="8" t="s">
        <v>107</v>
      </c>
      <c r="AK155" s="8"/>
      <c r="AL155" s="7"/>
      <c r="AM155" s="8" t="s">
        <v>108</v>
      </c>
      <c r="AN155" s="8" t="s">
        <v>81</v>
      </c>
      <c r="AO155" s="9">
        <v>46216</v>
      </c>
    </row>
    <row r="156" spans="1:41" x14ac:dyDescent="0.25">
      <c r="A156" s="5" t="str">
        <f>IFERROR(IF(INDEX([6]ORTHO!$A$2:$A$39,MATCH($D156,[6]ORTHO!$D$2:$D$39,0))="","",INDEX([6]ORTHO!$A$2:$A$39,MATCH($D156,[6]ORTHO!$D$2:$D$39,0))),"")</f>
        <v>Denied</v>
      </c>
      <c r="B156" s="5" t="str">
        <f>IFERROR(IF(INDEX([6]ORTHO!$B$2:$B$39,MATCH($D156,[6]ORTHO!$D$2:$D$39,0))="","",INDEX([6]ORTHO!$B$2:$B$39,MATCH($D156,[6]ORTHO!$D$2:$D$39,0))),"")</f>
        <v>Uploaded MR - PIQ-90435209</v>
      </c>
      <c r="C156" s="6">
        <f>IFERROR(IF(INDEX([6]ORTHO!$C$2:$C$39,MATCH($D156,[6]ORTHO!$D$2:$D$39,0))="","",INDEX([6]ORTHO!$C$2:$C$39,MATCH($D156,[6]ORTHO!$D$2:$D$39,0))),"")</f>
        <v>46256</v>
      </c>
      <c r="D156" s="7">
        <v>562557056</v>
      </c>
      <c r="E156" s="8" t="s">
        <v>571</v>
      </c>
      <c r="F156" s="9">
        <v>46174</v>
      </c>
      <c r="G156" s="8" t="s">
        <v>148</v>
      </c>
      <c r="H156" s="8" t="s">
        <v>148</v>
      </c>
      <c r="I156" s="8" t="s">
        <v>185</v>
      </c>
      <c r="J156" s="8" t="s">
        <v>344</v>
      </c>
      <c r="K156" s="6">
        <f>IFERROR(IF(INDEX([6]ORTHO!$K$2:$K$39,MATCH($D156,[6]ORTHO!$D$2:$D$39,0))="","",INDEX([6]ORTHO!$K$2:$K$39,MATCH($D156,[6]ORTHO!$D$2:$D$39,0))),"")</f>
        <v>46272</v>
      </c>
      <c r="L156" s="11">
        <f ca="1">IF($O156="","",$O156-TODAY())</f>
        <v>-40</v>
      </c>
      <c r="M156" s="11">
        <f ca="1">IF(AND(TRIM($A156)="Finalized",$K156&lt;&gt;""),"",IF($C156="","",$C156+180-TODAY()))</f>
        <v>132</v>
      </c>
      <c r="N156" s="11">
        <f ca="1">IF(AND(TRIM($A156)="Finalized",$K156&lt;&gt;""),"",IF($C156="","",$C156+365-TODAY()))</f>
        <v>317</v>
      </c>
      <c r="O156" s="9">
        <f>IF(AND(TRIM($A156)="Finalized",$K156&lt;&gt;""),"",DATE(2026,8,30))</f>
        <v>46264</v>
      </c>
      <c r="P156" s="8" t="s">
        <v>86</v>
      </c>
      <c r="Q156" s="8" t="s">
        <v>152</v>
      </c>
      <c r="R156" s="8" t="s">
        <v>117</v>
      </c>
      <c r="S156" s="8" t="s">
        <v>74</v>
      </c>
      <c r="T156" s="8" t="s">
        <v>73</v>
      </c>
      <c r="U156" s="8" t="s">
        <v>74</v>
      </c>
      <c r="V156" s="8" t="s">
        <v>455</v>
      </c>
      <c r="W156" s="8" t="s">
        <v>76</v>
      </c>
      <c r="X156" s="8"/>
      <c r="Y156" s="8"/>
      <c r="Z156" s="8"/>
      <c r="AA156" s="8" t="s">
        <v>77</v>
      </c>
      <c r="AB156" s="10">
        <v>9056.39</v>
      </c>
      <c r="AC156" s="10">
        <v>0</v>
      </c>
      <c r="AD156" s="10">
        <v>0</v>
      </c>
      <c r="AE156" s="9"/>
      <c r="AF156" s="10">
        <v>9056.39</v>
      </c>
      <c r="AG156" s="7">
        <v>68</v>
      </c>
      <c r="AH156" s="8" t="s">
        <v>233</v>
      </c>
      <c r="AI156" s="8" t="s">
        <v>145</v>
      </c>
      <c r="AJ156" s="8" t="s">
        <v>215</v>
      </c>
      <c r="AK156" s="8" t="s">
        <v>270</v>
      </c>
      <c r="AL156" s="7"/>
      <c r="AM156" s="8" t="s">
        <v>272</v>
      </c>
      <c r="AN156" s="8" t="s">
        <v>109</v>
      </c>
      <c r="AO156" s="9">
        <v>46190</v>
      </c>
    </row>
    <row r="157" spans="1:41" x14ac:dyDescent="0.25">
      <c r="A157" s="5" t="str">
        <f>IFERROR(IF(INDEX([6]US!$A$2:$A$22,MATCH($D157,[6]US!$D$2:$D$22,0))="","",INDEX([6]US!$A$2:$A$22,MATCH($D157,[6]US!$D$2:$D$22,0))),"")</f>
        <v>Denied</v>
      </c>
      <c r="B157" s="5" t="str">
        <f>IFERROR(IF(INDEX([6]US!$B$2:$B$22,MATCH($D157,[6]US!$D$2:$D$22,0))="","",INDEX([6]US!$B$2:$B$22,MATCH($D157,[6]US!$D$2:$D$22,0))),"")</f>
        <v>Edited dx codes for 93970 - Included dxs I83893, R600, and resubmitted</v>
      </c>
      <c r="C157" s="6">
        <f>IFERROR(IF(INDEX([6]US!$C$2:$C$22,MATCH($D157,[6]US!$D$2:$D$22,0))="","",INDEX([6]US!$C$2:$C$22,MATCH($D157,[6]US!$D$2:$D$22,0))),"")</f>
        <v>46203</v>
      </c>
      <c r="D157" s="7">
        <v>570988442</v>
      </c>
      <c r="E157" s="8" t="s">
        <v>578</v>
      </c>
      <c r="F157" s="9">
        <v>46176</v>
      </c>
      <c r="G157" s="8" t="s">
        <v>174</v>
      </c>
      <c r="H157" s="8" t="s">
        <v>174</v>
      </c>
      <c r="I157" s="8" t="s">
        <v>69</v>
      </c>
      <c r="J157" s="8" t="s">
        <v>135</v>
      </c>
      <c r="K157" s="6">
        <f>IFERROR(IF(INDEX([6]US!$K$2:$K$22,MATCH($D157,[6]US!$D$2:$D$22,0))="","",INDEX([6]US!$K$2:$K$22,MATCH($D157,[6]US!$D$2:$D$22,0))),"")</f>
        <v>46271</v>
      </c>
      <c r="L157" s="11">
        <f ca="1">IF($O157="","",$O157-TODAY())</f>
        <v>-38</v>
      </c>
      <c r="M157" s="11">
        <f ca="1">IF(AND(TRIM($A157)="Finalized",$K157&lt;&gt;""),"",IF($F157="","",$F157+90-TODAY()))</f>
        <v>-38</v>
      </c>
      <c r="N157" s="11">
        <f ca="1">IF(AND(TRIM($A157)="Finalized",$K157&lt;&gt;""),"",IF($C157="","",$C157+180-TODAY()))</f>
        <v>79</v>
      </c>
      <c r="O157" s="9">
        <f>IF(AND(TRIM($A157)="Finalized",$K157&lt;&gt;""),"",DATE(2026,9,1))</f>
        <v>46266</v>
      </c>
      <c r="P157" s="8" t="s">
        <v>86</v>
      </c>
      <c r="Q157" s="8" t="s">
        <v>144</v>
      </c>
      <c r="R157" s="8" t="s">
        <v>86</v>
      </c>
      <c r="S157" s="8" t="s">
        <v>88</v>
      </c>
      <c r="T157" s="8" t="s">
        <v>117</v>
      </c>
      <c r="U157" s="8" t="s">
        <v>74</v>
      </c>
      <c r="V157" s="8" t="s">
        <v>455</v>
      </c>
      <c r="W157" s="8" t="s">
        <v>129</v>
      </c>
      <c r="X157" s="8"/>
      <c r="Y157" s="8"/>
      <c r="Z157" s="8"/>
      <c r="AA157" s="8" t="s">
        <v>77</v>
      </c>
      <c r="AB157" s="10">
        <v>1294.23</v>
      </c>
      <c r="AC157" s="10">
        <v>0</v>
      </c>
      <c r="AD157" s="10">
        <v>0</v>
      </c>
      <c r="AE157" s="9">
        <v>46203</v>
      </c>
      <c r="AF157" s="10">
        <v>1294.23</v>
      </c>
      <c r="AG157" s="7">
        <v>66</v>
      </c>
      <c r="AH157" s="8" t="s">
        <v>130</v>
      </c>
      <c r="AI157" s="8" t="s">
        <v>579</v>
      </c>
      <c r="AJ157" s="8"/>
      <c r="AK157" s="8"/>
      <c r="AL157" s="7"/>
      <c r="AM157" s="8" t="s">
        <v>165</v>
      </c>
      <c r="AN157" s="8" t="s">
        <v>95</v>
      </c>
      <c r="AO157" s="9">
        <v>46195</v>
      </c>
    </row>
    <row r="158" spans="1:41" x14ac:dyDescent="0.25">
      <c r="A158" s="5" t="str">
        <f>IFERROR(IF(INDEX([6]BH!$A$2:$A$82,MATCH($D158,[6]BH!$D$2:$D$82,0))="","",INDEX([6]BH!$A$2:$A$82,MATCH($D158,[6]BH!$D$2:$D$82,0))),"")</f>
        <v>Pending</v>
      </c>
      <c r="B158" s="5" t="str">
        <f>IFERROR(IF(INDEX([6]BH!$B$2:$B$82,MATCH($D158,[6]BH!$D$2:$D$82,0))="","",INDEX([6]BH!$B$2:$B$82,MATCH($D158,[6]BH!$D$2:$D$82,0))),"")</f>
        <v>secondary</v>
      </c>
      <c r="C158" s="6">
        <f>IFERROR(IF(INDEX([6]BH!$C$2:$C$82,MATCH($D158,[6]BH!$D$2:$D$82,0))="","",INDEX([6]BH!$C$2:$C$82,MATCH($D158,[6]BH!$D$2:$D$82,0))),"")</f>
        <v>46225</v>
      </c>
      <c r="D158" s="7">
        <v>561646092</v>
      </c>
      <c r="E158" s="8" t="s">
        <v>581</v>
      </c>
      <c r="F158" s="9">
        <v>46177</v>
      </c>
      <c r="G158" s="8" t="s">
        <v>370</v>
      </c>
      <c r="H158" s="8" t="s">
        <v>97</v>
      </c>
      <c r="I158" s="8" t="s">
        <v>370</v>
      </c>
      <c r="J158" s="8" t="s">
        <v>333</v>
      </c>
      <c r="K158" s="6">
        <f>IFERROR(IF(INDEX([6]BH!$K$2:$K$82,MATCH($D158,[6]BH!$D$2:$D$82,0))="","",INDEX([6]BH!$K$2:$K$82,MATCH($D158,[6]BH!$D$2:$D$82,0))),"")</f>
        <v>46248</v>
      </c>
      <c r="L158" s="11">
        <f ca="1">IF($O158="","",$O158-TODAY())</f>
        <v>-37</v>
      </c>
      <c r="M158" s="11">
        <f ca="1">IF(AND(TRIM($A158)="Finalized",$K158&lt;&gt;""),"",IF($F158="","",$F158+90-TODAY()))</f>
        <v>-37</v>
      </c>
      <c r="N158" s="11">
        <f ca="1">IF(AND(TRIM($A158)="Finalized",$K158&lt;&gt;""),"",IF($C158="","",$C158+540-TODAY()))</f>
        <v>461</v>
      </c>
      <c r="O158" s="9">
        <f>IF(AND(TRIM($A158)="Finalized",$K158&lt;&gt;""),"",DATE(2026,9,2))</f>
        <v>46267</v>
      </c>
      <c r="P158" s="8" t="s">
        <v>86</v>
      </c>
      <c r="Q158" s="8" t="s">
        <v>99</v>
      </c>
      <c r="R158" s="8" t="s">
        <v>86</v>
      </c>
      <c r="S158" s="8" t="s">
        <v>88</v>
      </c>
      <c r="T158" s="8" t="s">
        <v>100</v>
      </c>
      <c r="U158" s="8" t="s">
        <v>74</v>
      </c>
      <c r="V158" s="8" t="s">
        <v>455</v>
      </c>
      <c r="W158" s="8" t="s">
        <v>118</v>
      </c>
      <c r="X158" s="8"/>
      <c r="Y158" s="8"/>
      <c r="Z158" s="8"/>
      <c r="AA158" s="8" t="s">
        <v>77</v>
      </c>
      <c r="AB158" s="10">
        <v>1029.98</v>
      </c>
      <c r="AC158" s="10">
        <v>883.53</v>
      </c>
      <c r="AD158" s="10">
        <v>121.45</v>
      </c>
      <c r="AE158" s="9">
        <v>46225</v>
      </c>
      <c r="AF158" s="10">
        <v>25</v>
      </c>
      <c r="AG158" s="7">
        <v>65</v>
      </c>
      <c r="AH158" s="8" t="s">
        <v>179</v>
      </c>
      <c r="AI158" s="8" t="s">
        <v>530</v>
      </c>
      <c r="AJ158" s="8"/>
      <c r="AK158" s="8"/>
      <c r="AL158" s="7" t="s">
        <v>582</v>
      </c>
      <c r="AM158" s="8" t="s">
        <v>154</v>
      </c>
      <c r="AN158" s="8" t="s">
        <v>132</v>
      </c>
      <c r="AO158" s="9">
        <v>46217</v>
      </c>
    </row>
    <row r="159" spans="1:41" x14ac:dyDescent="0.25">
      <c r="A159" s="5" t="str">
        <f>IFERROR(IF(INDEX([6]ORTHO!$A$2:$A$39,MATCH($D159,[6]ORTHO!$D$2:$D$39,0))="","",INDEX([6]ORTHO!$A$2:$A$39,MATCH($D159,[6]ORTHO!$D$2:$D$39,0))),"")</f>
        <v>Denied</v>
      </c>
      <c r="B159" s="5" t="str">
        <f>IFERROR(IF(INDEX([6]ORTHO!$B$2:$B$39,MATCH($D159,[6]ORTHO!$D$2:$D$39,0))="","",INDEX([6]ORTHO!$B$2:$B$39,MATCH($D159,[6]ORTHO!$D$2:$D$39,0))),"")</f>
        <v>Uploaded MR - PIQ-90435089</v>
      </c>
      <c r="C159" s="6">
        <f>IFERROR(IF(INDEX([6]ORTHO!$C$2:$C$39,MATCH($D159,[6]ORTHO!$D$2:$D$39,0))="","",INDEX([6]ORTHO!$C$2:$C$39,MATCH($D159,[6]ORTHO!$D$2:$D$39,0))),"")</f>
        <v>46254</v>
      </c>
      <c r="D159" s="7">
        <v>562559783</v>
      </c>
      <c r="E159" s="8" t="s">
        <v>584</v>
      </c>
      <c r="F159" s="9">
        <v>46177</v>
      </c>
      <c r="G159" s="8" t="s">
        <v>148</v>
      </c>
      <c r="H159" s="8" t="s">
        <v>148</v>
      </c>
      <c r="I159" s="8" t="s">
        <v>69</v>
      </c>
      <c r="J159" s="8" t="s">
        <v>219</v>
      </c>
      <c r="K159" s="6">
        <f>IFERROR(IF(INDEX([6]ORTHO!$K$2:$K$39,MATCH($D159,[6]ORTHO!$D$2:$D$39,0))="","",INDEX([6]ORTHO!$K$2:$K$39,MATCH($D159,[6]ORTHO!$D$2:$D$39,0))),"")</f>
        <v>46272</v>
      </c>
      <c r="L159" s="11">
        <f ca="1">IF($O159="","",$O159-TODAY())</f>
        <v>-37</v>
      </c>
      <c r="M159" s="11">
        <f ca="1">IF(AND(TRIM($A159)="Finalized",$K159&lt;&gt;""),"",IF($C159="","",$C159+180-TODAY()))</f>
        <v>130</v>
      </c>
      <c r="N159" s="11">
        <f ca="1">IF(AND(TRIM($A159)="Finalized",$K159&lt;&gt;""),"",IF($C159="","",$C159+365-TODAY()))</f>
        <v>315</v>
      </c>
      <c r="O159" s="9">
        <f>IF(AND(TRIM($A159)="Finalized",$K159&lt;&gt;""),"",DATE(2026,9,2))</f>
        <v>46267</v>
      </c>
      <c r="P159" s="8" t="s">
        <v>86</v>
      </c>
      <c r="Q159" s="8" t="s">
        <v>152</v>
      </c>
      <c r="R159" s="8" t="s">
        <v>117</v>
      </c>
      <c r="S159" s="8" t="s">
        <v>74</v>
      </c>
      <c r="T159" s="8" t="s">
        <v>73</v>
      </c>
      <c r="U159" s="8" t="s">
        <v>74</v>
      </c>
      <c r="V159" s="8" t="s">
        <v>455</v>
      </c>
      <c r="W159" s="8" t="s">
        <v>76</v>
      </c>
      <c r="X159" s="8"/>
      <c r="Y159" s="8"/>
      <c r="Z159" s="8"/>
      <c r="AA159" s="8" t="s">
        <v>77</v>
      </c>
      <c r="AB159" s="10">
        <v>9056.39</v>
      </c>
      <c r="AC159" s="10">
        <v>0</v>
      </c>
      <c r="AD159" s="10">
        <v>0</v>
      </c>
      <c r="AE159" s="9">
        <v>46197</v>
      </c>
      <c r="AF159" s="10">
        <v>9056.39</v>
      </c>
      <c r="AG159" s="7">
        <v>65</v>
      </c>
      <c r="AH159" s="8" t="s">
        <v>145</v>
      </c>
      <c r="AI159" s="8" t="s">
        <v>270</v>
      </c>
      <c r="AJ159" s="8" t="s">
        <v>79</v>
      </c>
      <c r="AK159" s="8" t="s">
        <v>585</v>
      </c>
      <c r="AL159" s="7"/>
      <c r="AM159" s="8" t="s">
        <v>272</v>
      </c>
      <c r="AN159" s="8" t="s">
        <v>109</v>
      </c>
      <c r="AO159" s="9">
        <v>46190</v>
      </c>
    </row>
    <row r="160" spans="1:41" x14ac:dyDescent="0.25">
      <c r="A160" s="5" t="str">
        <f>IFERROR(IF(INDEX([6]US!$A$2:$A$22,MATCH($D160,[6]US!$D$2:$D$22,0))="","",INDEX([6]US!$A$2:$A$22,MATCH($D160,[6]US!$D$2:$D$22,0))),"")</f>
        <v>Pending</v>
      </c>
      <c r="B160" s="5" t="str">
        <f>IFERROR(IF(INDEX([6]US!$B$2:$B$22,MATCH($D160,[6]US!$D$2:$D$22,0))="","",INDEX([6]US!$B$2:$B$22,MATCH($D160,[6]US!$D$2:$D$22,0))),"")</f>
        <v>Uploaded MR - PIQ-90672316</v>
      </c>
      <c r="C160" s="6" t="str">
        <f>IFERROR(IF(INDEX([6]US!$C$2:$C$22,MATCH($D160,[6]US!$D$2:$D$22,0))="","",INDEX([6]US!$C$2:$C$22,MATCH($D160,[6]US!$D$2:$D$22,0))),"")</f>
        <v/>
      </c>
      <c r="D160" s="7">
        <v>563023143</v>
      </c>
      <c r="E160" s="8" t="s">
        <v>140</v>
      </c>
      <c r="F160" s="9">
        <v>46177</v>
      </c>
      <c r="G160" s="8" t="s">
        <v>114</v>
      </c>
      <c r="H160" s="8" t="s">
        <v>114</v>
      </c>
      <c r="I160" s="8" t="s">
        <v>69</v>
      </c>
      <c r="J160" s="8" t="s">
        <v>135</v>
      </c>
      <c r="K160" s="6">
        <f>IFERROR(IF(INDEX([6]US!$K$2:$K$22,MATCH($D160,[6]US!$D$2:$D$22,0))="","",INDEX([6]US!$K$2:$K$22,MATCH($D160,[6]US!$D$2:$D$22,0))),"")</f>
        <v>46275</v>
      </c>
      <c r="L160" s="11">
        <f ca="1">IF($O160="","",$O160-TODAY())</f>
        <v>-37</v>
      </c>
      <c r="M160" s="11" t="str">
        <f ca="1">IF(AND(TRIM($A160)="Finalized",$K160&lt;&gt;""),"",IF($C160="","",$C160+180-TODAY()))</f>
        <v/>
      </c>
      <c r="N160" s="11" t="str">
        <f ca="1">IF(AND(TRIM($A160)="Finalized",$K160&lt;&gt;""),"",IF($C160="","",$C160+365-TODAY()))</f>
        <v/>
      </c>
      <c r="O160" s="9">
        <f>IF(AND(TRIM($A160)="Finalized",$K160&lt;&gt;""),"",DATE(2026,9,2))</f>
        <v>46267</v>
      </c>
      <c r="P160" s="8" t="s">
        <v>86</v>
      </c>
      <c r="Q160" s="8" t="s">
        <v>116</v>
      </c>
      <c r="R160" s="8" t="s">
        <v>117</v>
      </c>
      <c r="S160" s="8" t="s">
        <v>74</v>
      </c>
      <c r="T160" s="8" t="s">
        <v>73</v>
      </c>
      <c r="U160" s="8" t="s">
        <v>74</v>
      </c>
      <c r="V160" s="8" t="s">
        <v>455</v>
      </c>
      <c r="W160" s="8" t="s">
        <v>129</v>
      </c>
      <c r="X160" s="8"/>
      <c r="Y160" s="8"/>
      <c r="Z160" s="8"/>
      <c r="AA160" s="8" t="s">
        <v>77</v>
      </c>
      <c r="AB160" s="10">
        <v>1294.23</v>
      </c>
      <c r="AC160" s="10">
        <v>0</v>
      </c>
      <c r="AD160" s="10">
        <v>0</v>
      </c>
      <c r="AE160" s="9"/>
      <c r="AF160" s="10">
        <v>1294.23</v>
      </c>
      <c r="AG160" s="7">
        <v>65</v>
      </c>
      <c r="AH160" s="8" t="s">
        <v>368</v>
      </c>
      <c r="AI160" s="8" t="s">
        <v>139</v>
      </c>
      <c r="AJ160" s="8"/>
      <c r="AK160" s="8"/>
      <c r="AL160" s="7"/>
      <c r="AM160" s="8" t="s">
        <v>131</v>
      </c>
      <c r="AN160" s="8" t="s">
        <v>350</v>
      </c>
      <c r="AO160" s="9">
        <v>46195</v>
      </c>
    </row>
    <row r="161" spans="1:41" x14ac:dyDescent="0.25">
      <c r="A161" s="5" t="str">
        <f>IFERROR(IF(INDEX([6]DME!$A$2:$A$51,MATCH($D161,[6]DME!$D$2:$D$51,0))="","",INDEX([6]DME!$A$2:$A$51,MATCH($D161,[6]DME!$D$2:$D$51,0))),"")</f>
        <v>Under Review</v>
      </c>
      <c r="B161" s="5" t="str">
        <f>IFERROR(IF(INDEX([6]DME!$B$2:$B$51,MATCH($D161,[6]DME!$D$2:$D$51,0))="","",INDEX([6]DME!$B$2:$B$51,MATCH($D161,[6]DME!$D$2:$D$51,0))),"")</f>
        <v>Still processing - check again on 09/16/2026</v>
      </c>
      <c r="C161" s="6" t="str">
        <f>IFERROR(IF(INDEX([6]DME!$C$2:$C$51,MATCH($D161,[6]DME!$D$2:$D$51,0))="","",INDEX([6]DME!$C$2:$C$51,MATCH($D161,[6]DME!$D$2:$D$51,0))),"")</f>
        <v/>
      </c>
      <c r="D161" s="7">
        <v>564662813</v>
      </c>
      <c r="E161" s="8" t="s">
        <v>587</v>
      </c>
      <c r="F161" s="9">
        <v>46178</v>
      </c>
      <c r="G161" s="8" t="s">
        <v>174</v>
      </c>
      <c r="H161" s="8" t="s">
        <v>174</v>
      </c>
      <c r="I161" s="8" t="s">
        <v>69</v>
      </c>
      <c r="J161" s="8" t="s">
        <v>243</v>
      </c>
      <c r="K161" s="6" t="str">
        <f>IFERROR(IF(INDEX([6]DME!$K$2:$K$51,MATCH($D161,[6]DME!$D$2:$D$51,0))="","",INDEX([6]DME!$K$2:$K$51,MATCH($D161,[6]DME!$D$2:$D$51,0))),"")</f>
        <v/>
      </c>
      <c r="L161" s="11">
        <f ca="1">IF($O161="","",$O161-TODAY())</f>
        <v>-36</v>
      </c>
      <c r="M161" s="11">
        <f ca="1">IF(AND(TRIM($A161)="Finalized",$K161&lt;&gt;""),"",IF($F161="","",$F161+90-TODAY()))</f>
        <v>-36</v>
      </c>
      <c r="N161" s="11" t="str">
        <f ca="1">IF(AND(TRIM($A161)="Finalized",$K161&lt;&gt;""),"",IF($C161="","",$C161+180-TODAY()))</f>
        <v/>
      </c>
      <c r="O161" s="9">
        <f>IF(AND(TRIM($A161)="Finalized",$K161&lt;&gt;""),"",DATE(2026,9,3))</f>
        <v>46268</v>
      </c>
      <c r="P161" s="8" t="s">
        <v>86</v>
      </c>
      <c r="Q161" s="8" t="s">
        <v>144</v>
      </c>
      <c r="R161" s="8" t="s">
        <v>86</v>
      </c>
      <c r="S161" s="8" t="s">
        <v>88</v>
      </c>
      <c r="T161" s="8" t="s">
        <v>117</v>
      </c>
      <c r="U161" s="8" t="s">
        <v>74</v>
      </c>
      <c r="V161" s="8" t="s">
        <v>455</v>
      </c>
      <c r="W161" s="8" t="s">
        <v>89</v>
      </c>
      <c r="X161" s="8" t="s">
        <v>244</v>
      </c>
      <c r="Y161" s="8"/>
      <c r="Z161" s="8"/>
      <c r="AA161" s="8" t="s">
        <v>91</v>
      </c>
      <c r="AB161" s="10">
        <v>5916.4</v>
      </c>
      <c r="AC161" s="10">
        <v>0</v>
      </c>
      <c r="AD161" s="10">
        <v>0</v>
      </c>
      <c r="AE161" s="9"/>
      <c r="AF161" s="10">
        <v>5916.4</v>
      </c>
      <c r="AG161" s="7">
        <v>64</v>
      </c>
      <c r="AH161" s="8" t="s">
        <v>92</v>
      </c>
      <c r="AI161" s="8" t="s">
        <v>145</v>
      </c>
      <c r="AJ161" s="8"/>
      <c r="AK161" s="8"/>
      <c r="AL161" s="7"/>
      <c r="AM161" s="8" t="s">
        <v>383</v>
      </c>
      <c r="AN161" s="8" t="s">
        <v>191</v>
      </c>
      <c r="AO161" s="9">
        <v>46211</v>
      </c>
    </row>
    <row r="162" spans="1:41" x14ac:dyDescent="0.25">
      <c r="A162" s="5" t="str">
        <f>IFERROR(IF(INDEX([5]US!$A$2:$A$19,MATCH($D162,[5]US!$D$2:$D$19,0))="","",INDEX([5]US!$A$2:$A$19,MATCH($D162,[5]US!$D$2:$D$19,0))),"")</f>
        <v>Denied</v>
      </c>
      <c r="B162" s="5" t="str">
        <f>IFERROR(IF(INDEX([5]US!$B$2:$B$19,MATCH($D162,[5]US!$D$2:$D$19,0))="","",INDEX([5]US!$B$2:$B$19,MATCH($D162,[5]US!$D$2:$D$19,0))),"")</f>
        <v>Added mod XU, and resubmitted</v>
      </c>
      <c r="C162" s="6">
        <f>IFERROR(IF(INDEX([5]US!$C$2:$C$19,MATCH($D162,[5]US!$D$2:$D$19,0))="","",INDEX([5]US!$C$2:$C$19,MATCH($D162,[5]US!$D$2:$D$19,0))),"")</f>
        <v>46182</v>
      </c>
      <c r="D162" s="7">
        <v>560058820</v>
      </c>
      <c r="E162" s="8" t="s">
        <v>588</v>
      </c>
      <c r="F162" s="9">
        <v>46149</v>
      </c>
      <c r="G162" s="8" t="s">
        <v>462</v>
      </c>
      <c r="H162" s="8" t="s">
        <v>462</v>
      </c>
      <c r="I162" s="8" t="s">
        <v>69</v>
      </c>
      <c r="J162" s="8" t="s">
        <v>492</v>
      </c>
      <c r="K162" s="6">
        <f>IFERROR(IF(INDEX([5]US!$K$2:$K$19,MATCH($D162,[5]US!$D$2:$D$19,0))="","",INDEX([5]US!$K$2:$K$19,MATCH($D162,[5]US!$D$2:$D$19,0))),"")</f>
        <v>46252</v>
      </c>
      <c r="L162" s="11">
        <f ca="1">IF($O162="","",$O162-TODAY())</f>
        <v>-35</v>
      </c>
      <c r="M162" s="11">
        <f ca="1">IF(AND(TRIM($A162)="Finalized",$K162&lt;&gt;""),"",IF($C162="","",$C162+180-TODAY()))</f>
        <v>58</v>
      </c>
      <c r="N162" s="11">
        <f ca="1">IF(AND(TRIM($A162)="Finalized",$K162&lt;&gt;""),"",IF($C162="","",$C162+180-TODAY()))</f>
        <v>58</v>
      </c>
      <c r="O162" s="9">
        <f>IF(AND(TRIM($A162)="Finalized",$K162&lt;&gt;""),"",DATE(2026,9,4))</f>
        <v>46269</v>
      </c>
      <c r="P162" s="8" t="s">
        <v>208</v>
      </c>
      <c r="Q162" s="8" t="s">
        <v>209</v>
      </c>
      <c r="R162" s="8" t="s">
        <v>117</v>
      </c>
      <c r="S162" s="8" t="s">
        <v>74</v>
      </c>
      <c r="T162" s="8" t="s">
        <v>117</v>
      </c>
      <c r="U162" s="8" t="s">
        <v>74</v>
      </c>
      <c r="V162" s="8" t="s">
        <v>365</v>
      </c>
      <c r="W162" s="8" t="s">
        <v>129</v>
      </c>
      <c r="X162" s="8"/>
      <c r="Y162" s="8"/>
      <c r="Z162" s="8"/>
      <c r="AA162" s="8" t="s">
        <v>77</v>
      </c>
      <c r="AB162" s="10">
        <v>2528.2600000000002</v>
      </c>
      <c r="AC162" s="10">
        <v>0</v>
      </c>
      <c r="AD162" s="10">
        <v>0</v>
      </c>
      <c r="AE162" s="9"/>
      <c r="AF162" s="10">
        <v>2528.2600000000002</v>
      </c>
      <c r="AG162" s="7">
        <v>93</v>
      </c>
      <c r="AH162" s="8" t="s">
        <v>79</v>
      </c>
      <c r="AI162" s="8" t="s">
        <v>138</v>
      </c>
      <c r="AJ162" s="8" t="s">
        <v>537</v>
      </c>
      <c r="AK162" s="8"/>
      <c r="AL162" s="7"/>
      <c r="AM162" s="8" t="s">
        <v>131</v>
      </c>
      <c r="AN162" s="8" t="s">
        <v>350</v>
      </c>
      <c r="AO162" s="9">
        <v>46164</v>
      </c>
    </row>
    <row r="163" spans="1:41" x14ac:dyDescent="0.25">
      <c r="A163" s="5" t="str">
        <f>IFERROR(IF(INDEX([6]GAE!$A$2:$A$23,MATCH($D163,[6]GAE!$D$2:$D$23,0))="","",INDEX([6]GAE!$A$2:$A$23,MATCH($D163,[6]GAE!$D$2:$D$23,0))),"")</f>
        <v>PAID</v>
      </c>
      <c r="B163" s="5" t="str">
        <f>IFERROR(IF(INDEX([6]GAE!$B$2:$B$23,MATCH($D163,[6]GAE!$D$2:$D$23,0))="","",INDEX([6]GAE!$B$2:$B$23,MATCH($D163,[6]GAE!$D$2:$D$23,0))),"")</f>
        <v>PENDING POSTING</v>
      </c>
      <c r="C163" s="6">
        <f>IFERROR(IF(INDEX([6]GAE!$C$2:$C$23,MATCH($D163,[6]GAE!$D$2:$D$23,0))="","",INDEX([6]GAE!$C$2:$C$23,MATCH($D163,[6]GAE!$D$2:$D$23,0))),"")</f>
        <v>46224</v>
      </c>
      <c r="D163" s="7">
        <v>569910853</v>
      </c>
      <c r="E163" s="8" t="s">
        <v>589</v>
      </c>
      <c r="F163" s="9">
        <v>46181</v>
      </c>
      <c r="G163" s="8" t="s">
        <v>148</v>
      </c>
      <c r="H163" s="8" t="s">
        <v>148</v>
      </c>
      <c r="I163" s="8" t="s">
        <v>69</v>
      </c>
      <c r="J163" s="8" t="s">
        <v>590</v>
      </c>
      <c r="K163" s="6">
        <f>IFERROR(IF(INDEX([6]GAE!$K$2:$K$23,MATCH($D163,[6]GAE!$D$2:$D$23,0))="","",INDEX([6]GAE!$K$2:$K$23,MATCH($D163,[6]GAE!$D$2:$D$23,0))),"")</f>
        <v>46260</v>
      </c>
      <c r="L163" s="11">
        <f ca="1">IF($O163="","",$O163-TODAY())</f>
        <v>-33</v>
      </c>
      <c r="M163" s="11">
        <f ca="1">IF(AND(TRIM($A163)="Finalized",$K163&lt;&gt;""),"",IF($C163="","",$C163+180-TODAY()))</f>
        <v>100</v>
      </c>
      <c r="N163" s="11">
        <f ca="1">IF(AND(TRIM($A163)="Finalized",$K163&lt;&gt;""),"",IF($C163="","",$C163+365-TODAY()))</f>
        <v>285</v>
      </c>
      <c r="O163" s="9">
        <f>IF(AND(TRIM($A163)="Finalized",$K163&lt;&gt;""),"",DATE(2026,9,6))</f>
        <v>46271</v>
      </c>
      <c r="P163" s="8" t="s">
        <v>86</v>
      </c>
      <c r="Q163" s="8" t="s">
        <v>152</v>
      </c>
      <c r="R163" s="8" t="s">
        <v>117</v>
      </c>
      <c r="S163" s="8" t="s">
        <v>74</v>
      </c>
      <c r="T163" s="8" t="s">
        <v>73</v>
      </c>
      <c r="U163" s="8" t="s">
        <v>74</v>
      </c>
      <c r="V163" s="8" t="s">
        <v>455</v>
      </c>
      <c r="W163" s="8" t="s">
        <v>101</v>
      </c>
      <c r="X163" s="8" t="s">
        <v>228</v>
      </c>
      <c r="Y163" s="8" t="s">
        <v>153</v>
      </c>
      <c r="Z163" s="8"/>
      <c r="AA163" s="8" t="s">
        <v>457</v>
      </c>
      <c r="AB163" s="10">
        <v>70557.69</v>
      </c>
      <c r="AC163" s="10">
        <v>0</v>
      </c>
      <c r="AD163" s="10">
        <v>0</v>
      </c>
      <c r="AE163" s="9">
        <v>46224</v>
      </c>
      <c r="AF163" s="10">
        <v>70557.69</v>
      </c>
      <c r="AG163" s="7">
        <v>61</v>
      </c>
      <c r="AH163" s="8" t="s">
        <v>329</v>
      </c>
      <c r="AI163" s="8" t="s">
        <v>106</v>
      </c>
      <c r="AJ163" s="8" t="s">
        <v>361</v>
      </c>
      <c r="AK163" s="8"/>
      <c r="AL163" s="7"/>
      <c r="AM163" s="8" t="s">
        <v>108</v>
      </c>
      <c r="AN163" s="8" t="s">
        <v>132</v>
      </c>
      <c r="AO163" s="9">
        <v>46216</v>
      </c>
    </row>
    <row r="164" spans="1:41" x14ac:dyDescent="0.25">
      <c r="A164" s="5" t="str">
        <f>IFERROR(IF(INDEX([6]ORTHO!$A$2:$A$39,MATCH($D164,[6]ORTHO!$D$2:$D$39,0))="","",INDEX([6]ORTHO!$A$2:$A$39,MATCH($D164,[6]ORTHO!$D$2:$D$39,0))),"")</f>
        <v>Pending</v>
      </c>
      <c r="B164" s="5" t="str">
        <f>IFERROR(IF(INDEX([6]ORTHO!$B$2:$B$39,MATCH($D164,[6]ORTHO!$D$2:$D$39,0))="","",INDEX([6]ORTHO!$B$2:$B$39,MATCH($D164,[6]ORTHO!$D$2:$D$39,0))),"")</f>
        <v>Deleted service line 20936, and resubmitted</v>
      </c>
      <c r="C164" s="6" t="str">
        <f>IFERROR(IF(INDEX([6]ORTHO!$C$2:$C$39,MATCH($D164,[6]ORTHO!$D$2:$D$39,0))="","",INDEX([6]ORTHO!$C$2:$C$39,MATCH($D164,[6]ORTHO!$D$2:$D$39,0))),"")</f>
        <v/>
      </c>
      <c r="D164" s="7">
        <v>570979198</v>
      </c>
      <c r="E164" s="8" t="s">
        <v>591</v>
      </c>
      <c r="F164" s="9">
        <v>46181</v>
      </c>
      <c r="G164" s="8" t="s">
        <v>134</v>
      </c>
      <c r="H164" s="8" t="s">
        <v>134</v>
      </c>
      <c r="I164" s="8" t="s">
        <v>69</v>
      </c>
      <c r="J164" s="8" t="s">
        <v>592</v>
      </c>
      <c r="K164" s="6">
        <f>IFERROR(IF(INDEX([6]ORTHO!$K$2:$K$39,MATCH($D164,[6]ORTHO!$D$2:$D$39,0))="","",INDEX([6]ORTHO!$K$2:$K$39,MATCH($D164,[6]ORTHO!$D$2:$D$39,0))),"")</f>
        <v>46270</v>
      </c>
      <c r="L164" s="11">
        <f ca="1">IF($O164="","",$O164-TODAY())</f>
        <v>-33</v>
      </c>
      <c r="M164" s="11" t="str">
        <f ca="1">IF(AND(TRIM($A164)="Finalized",$K164&lt;&gt;""),"",IF($C164="","",$C164+365-TODAY()))</f>
        <v/>
      </c>
      <c r="N164" s="11" t="str">
        <f ca="1">IF(AND(TRIM($A164)="Finalized",$K164&lt;&gt;""),"",IF($C164="","",$C164+365-TODAY()))</f>
        <v/>
      </c>
      <c r="O164" s="9">
        <f>IF(AND(TRIM($A164)="Finalized",$K164&lt;&gt;""),"",DATE(2026,9,6))</f>
        <v>46271</v>
      </c>
      <c r="P164" s="8" t="s">
        <v>86</v>
      </c>
      <c r="Q164" s="8" t="s">
        <v>136</v>
      </c>
      <c r="R164" s="8" t="s">
        <v>73</v>
      </c>
      <c r="S164" s="8" t="s">
        <v>74</v>
      </c>
      <c r="T164" s="8" t="s">
        <v>73</v>
      </c>
      <c r="U164" s="8" t="s">
        <v>74</v>
      </c>
      <c r="V164" s="8" t="s">
        <v>455</v>
      </c>
      <c r="W164" s="8" t="s">
        <v>76</v>
      </c>
      <c r="X164" s="8" t="s">
        <v>102</v>
      </c>
      <c r="Y164" s="8"/>
      <c r="Z164" s="8"/>
      <c r="AA164" s="8" t="s">
        <v>77</v>
      </c>
      <c r="AB164" s="10">
        <v>20158.46</v>
      </c>
      <c r="AC164" s="10">
        <v>0</v>
      </c>
      <c r="AD164" s="10">
        <v>0</v>
      </c>
      <c r="AE164" s="9"/>
      <c r="AF164" s="10">
        <v>20158.46</v>
      </c>
      <c r="AG164" s="7">
        <v>61</v>
      </c>
      <c r="AH164" s="8" t="s">
        <v>593</v>
      </c>
      <c r="AI164" s="8" t="s">
        <v>594</v>
      </c>
      <c r="AJ164" s="8" t="s">
        <v>595</v>
      </c>
      <c r="AK164" s="8" t="s">
        <v>395</v>
      </c>
      <c r="AL164" s="7"/>
      <c r="AM164" s="8" t="s">
        <v>272</v>
      </c>
      <c r="AN164" s="8" t="s">
        <v>109</v>
      </c>
      <c r="AO164" s="9">
        <v>46190</v>
      </c>
    </row>
    <row r="165" spans="1:41" x14ac:dyDescent="0.25">
      <c r="A165" s="5" t="str">
        <f>IFERROR(IF(INDEX([6]ORTHO!$A$2:$A$39,MATCH($D165,[6]ORTHO!$D$2:$D$39,0))="","",INDEX([6]ORTHO!$A$2:$A$39,MATCH($D165,[6]ORTHO!$D$2:$D$39,0))),"")</f>
        <v>Denied</v>
      </c>
      <c r="B165" s="5" t="str">
        <f>IFERROR(IF(INDEX([6]ORTHO!$B$2:$B$39,MATCH($D165,[6]ORTHO!$D$2:$D$39,0))="","",INDEX([6]ORTHO!$B$2:$B$39,MATCH($D165,[6]ORTHO!$D$2:$D$39,0))),"")</f>
        <v>Uploaded MR on portal - Request ID: 36199963</v>
      </c>
      <c r="C165" s="6">
        <f>IFERROR(IF(INDEX([6]ORTHO!$C$2:$C$39,MATCH($D165,[6]ORTHO!$D$2:$D$39,0))="","",INDEX([6]ORTHO!$C$2:$C$39,MATCH($D165,[6]ORTHO!$D$2:$D$39,0))),"")</f>
        <v>46236</v>
      </c>
      <c r="D165" s="7">
        <v>562578639</v>
      </c>
      <c r="E165" s="8" t="s">
        <v>596</v>
      </c>
      <c r="F165" s="9">
        <v>46181</v>
      </c>
      <c r="G165" s="8" t="s">
        <v>97</v>
      </c>
      <c r="H165" s="8" t="s">
        <v>97</v>
      </c>
      <c r="I165" s="8" t="s">
        <v>69</v>
      </c>
      <c r="J165" s="8" t="s">
        <v>597</v>
      </c>
      <c r="K165" s="6">
        <f>IFERROR(IF(INDEX([6]ORTHO!$K$2:$K$39,MATCH($D165,[6]ORTHO!$D$2:$D$39,0))="","",INDEX([6]ORTHO!$K$2:$K$39,MATCH($D165,[6]ORTHO!$D$2:$D$39,0))),"")</f>
        <v>46270</v>
      </c>
      <c r="L165" s="11">
        <f ca="1">IF($O165="","",$O165-TODAY())</f>
        <v>-33</v>
      </c>
      <c r="M165" s="11">
        <f ca="1">IF(AND(TRIM($A165)="Finalized",$K165&lt;&gt;""),"",IF($F165="","",$F165+90-TODAY()))</f>
        <v>-33</v>
      </c>
      <c r="N165" s="11">
        <f ca="1">IF(AND(TRIM($A165)="Finalized",$K165&lt;&gt;""),"",IF($C165="","",$C165+540-TODAY()))</f>
        <v>472</v>
      </c>
      <c r="O165" s="9">
        <f>IF(AND(TRIM($A165)="Finalized",$K165&lt;&gt;""),"",DATE(2026,9,6))</f>
        <v>46271</v>
      </c>
      <c r="P165" s="8" t="s">
        <v>86</v>
      </c>
      <c r="Q165" s="8" t="s">
        <v>99</v>
      </c>
      <c r="R165" s="8" t="s">
        <v>86</v>
      </c>
      <c r="S165" s="8" t="s">
        <v>88</v>
      </c>
      <c r="T165" s="8" t="s">
        <v>100</v>
      </c>
      <c r="U165" s="8" t="s">
        <v>74</v>
      </c>
      <c r="V165" s="8" t="s">
        <v>455</v>
      </c>
      <c r="W165" s="8" t="s">
        <v>76</v>
      </c>
      <c r="X165" s="8" t="s">
        <v>102</v>
      </c>
      <c r="Y165" s="8" t="s">
        <v>153</v>
      </c>
      <c r="Z165" s="8"/>
      <c r="AA165" s="8" t="s">
        <v>77</v>
      </c>
      <c r="AB165" s="10">
        <v>25252.06</v>
      </c>
      <c r="AC165" s="10">
        <v>0</v>
      </c>
      <c r="AD165" s="10">
        <v>0</v>
      </c>
      <c r="AE165" s="9"/>
      <c r="AF165" s="10">
        <v>25252.06</v>
      </c>
      <c r="AG165" s="7">
        <v>61</v>
      </c>
      <c r="AH165" s="8" t="s">
        <v>79</v>
      </c>
      <c r="AI165" s="8" t="s">
        <v>145</v>
      </c>
      <c r="AJ165" s="8" t="s">
        <v>598</v>
      </c>
      <c r="AK165" s="8" t="s">
        <v>233</v>
      </c>
      <c r="AL165" s="7"/>
      <c r="AM165" s="8" t="s">
        <v>272</v>
      </c>
      <c r="AN165" s="8" t="s">
        <v>109</v>
      </c>
      <c r="AO165" s="9">
        <v>46190</v>
      </c>
    </row>
    <row r="166" spans="1:41" x14ac:dyDescent="0.25">
      <c r="A166" s="5" t="str">
        <f>IFERROR(IF(INDEX([6]GAE!$A$2:$A$23,MATCH($D166,[6]GAE!$D$2:$D$23,0))="","",INDEX([6]GAE!$A$2:$A$23,MATCH($D166,[6]GAE!$D$2:$D$23,0))),"")</f>
        <v>Denied</v>
      </c>
      <c r="B166" s="5" t="str">
        <f>IFERROR(IF(INDEX([6]GAE!$B$2:$B$23,MATCH($D166,[6]GAE!$D$2:$D$23,0))="","",INDEX([6]GAE!$B$2:$B$23,MATCH($D166,[6]GAE!$D$2:$D$23,0))),"")</f>
        <v>Uploaded MR - PIQ-90417669</v>
      </c>
      <c r="C166" s="6">
        <f>IFERROR(IF(INDEX([6]GAE!$C$2:$C$23,MATCH($D166,[6]GAE!$D$2:$D$23,0))="","",INDEX([6]GAE!$C$2:$C$23,MATCH($D166,[6]GAE!$D$2:$D$23,0))),"")</f>
        <v>46268</v>
      </c>
      <c r="D166" s="7">
        <v>565101780</v>
      </c>
      <c r="E166" s="8" t="s">
        <v>599</v>
      </c>
      <c r="F166" s="9">
        <v>46181</v>
      </c>
      <c r="G166" s="8" t="s">
        <v>237</v>
      </c>
      <c r="H166" s="8" t="s">
        <v>237</v>
      </c>
      <c r="I166" s="8" t="s">
        <v>69</v>
      </c>
      <c r="J166" s="8" t="s">
        <v>600</v>
      </c>
      <c r="K166" s="6">
        <f>IFERROR(IF(INDEX([6]GAE!$K$2:$K$23,MATCH($D166,[6]GAE!$D$2:$D$23,0))="","",INDEX([6]GAE!$K$2:$K$23,MATCH($D166,[6]GAE!$D$2:$D$23,0))),"")</f>
        <v>46270</v>
      </c>
      <c r="L166" s="11">
        <f ca="1">IF($O166="","",$O166-TODAY())</f>
        <v>-33</v>
      </c>
      <c r="M166" s="11">
        <f ca="1">IF(AND(TRIM($A166)="Finalized",$K166&lt;&gt;""),"",IF($C166="","",$C166+180-TODAY()))</f>
        <v>144</v>
      </c>
      <c r="N166" s="11">
        <f ca="1">IF(AND(TRIM($A166)="Finalized",$K166&lt;&gt;""),"",IF($C166="","",$C166+365-TODAY()))</f>
        <v>329</v>
      </c>
      <c r="O166" s="9">
        <f>IF(AND(TRIM($A166)="Finalized",$K166&lt;&gt;""),"",DATE(2026,9,6))</f>
        <v>46271</v>
      </c>
      <c r="P166" s="8" t="s">
        <v>86</v>
      </c>
      <c r="Q166" s="8" t="s">
        <v>239</v>
      </c>
      <c r="R166" s="8" t="s">
        <v>117</v>
      </c>
      <c r="S166" s="8" t="s">
        <v>74</v>
      </c>
      <c r="T166" s="8" t="s">
        <v>73</v>
      </c>
      <c r="U166" s="8" t="s">
        <v>74</v>
      </c>
      <c r="V166" s="8" t="s">
        <v>455</v>
      </c>
      <c r="W166" s="8" t="s">
        <v>101</v>
      </c>
      <c r="X166" s="8" t="s">
        <v>359</v>
      </c>
      <c r="Y166" s="8" t="s">
        <v>360</v>
      </c>
      <c r="Z166" s="8" t="s">
        <v>153</v>
      </c>
      <c r="AA166" s="8" t="s">
        <v>601</v>
      </c>
      <c r="AB166" s="10">
        <v>73204.81</v>
      </c>
      <c r="AC166" s="10">
        <v>0</v>
      </c>
      <c r="AD166" s="10">
        <v>0</v>
      </c>
      <c r="AE166" s="9"/>
      <c r="AF166" s="10">
        <v>73204.81</v>
      </c>
      <c r="AG166" s="7">
        <v>61</v>
      </c>
      <c r="AH166" s="8" t="s">
        <v>329</v>
      </c>
      <c r="AI166" s="8" t="s">
        <v>106</v>
      </c>
      <c r="AJ166" s="8" t="s">
        <v>361</v>
      </c>
      <c r="AK166" s="8"/>
      <c r="AL166" s="7"/>
      <c r="AM166" s="8" t="s">
        <v>108</v>
      </c>
      <c r="AN166" s="8" t="s">
        <v>109</v>
      </c>
      <c r="AO166" s="9">
        <v>46216</v>
      </c>
    </row>
    <row r="167" spans="1:41" x14ac:dyDescent="0.25">
      <c r="A167" s="5" t="str">
        <f>IFERROR(IF(INDEX([6]GAE!$A$2:$A$23,MATCH($D167,[6]GAE!$D$2:$D$23,0))="","",INDEX([6]GAE!$A$2:$A$23,MATCH($D167,[6]GAE!$D$2:$D$23,0))),"")</f>
        <v>Denied</v>
      </c>
      <c r="B167" s="5" t="str">
        <f>IFERROR(IF(INDEX([6]GAE!$B$2:$B$23,MATCH($D167,[6]GAE!$D$2:$D$23,0))="","",INDEX([6]GAE!$B$2:$B$23,MATCH($D167,[6]GAE!$D$2:$D$23,0))),"")</f>
        <v>Added mod RT to 36245, edited dxs order, and resubmitted</v>
      </c>
      <c r="C167" s="6">
        <f>IFERROR(IF(INDEX([6]GAE!$C$2:$C$23,MATCH($D167,[6]GAE!$D$2:$D$23,0))="","",INDEX([6]GAE!$C$2:$C$23,MATCH($D167,[6]GAE!$D$2:$D$23,0))),"")</f>
        <v>46225</v>
      </c>
      <c r="D167" s="7">
        <v>570979060</v>
      </c>
      <c r="E167" s="8" t="s">
        <v>602</v>
      </c>
      <c r="F167" s="9">
        <v>46181</v>
      </c>
      <c r="G167" s="8" t="s">
        <v>174</v>
      </c>
      <c r="H167" s="8" t="s">
        <v>174</v>
      </c>
      <c r="I167" s="8" t="s">
        <v>69</v>
      </c>
      <c r="J167" s="8" t="s">
        <v>603</v>
      </c>
      <c r="K167" s="6">
        <f>IFERROR(IF(INDEX([6]GAE!$K$2:$K$23,MATCH($D167,[6]GAE!$D$2:$D$23,0))="","",INDEX([6]GAE!$K$2:$K$23,MATCH($D167,[6]GAE!$D$2:$D$23,0))),"")</f>
        <v>46270</v>
      </c>
      <c r="L167" s="11">
        <f ca="1">IF($O167="","",$O167-TODAY())</f>
        <v>-33</v>
      </c>
      <c r="M167" s="11">
        <f ca="1">IF(AND(TRIM($A167)="Finalized",$K167&lt;&gt;""),"",IF($F167="","",$F167+90-TODAY()))</f>
        <v>-33</v>
      </c>
      <c r="N167" s="11">
        <f ca="1">IF(AND(TRIM($A167)="Finalized",$K167&lt;&gt;""),"",IF($C167="","",$C167+180-TODAY()))</f>
        <v>101</v>
      </c>
      <c r="O167" s="9">
        <f>IF(AND(TRIM($A167)="Finalized",$K167&lt;&gt;""),"",DATE(2026,9,6))</f>
        <v>46271</v>
      </c>
      <c r="P167" s="8" t="s">
        <v>86</v>
      </c>
      <c r="Q167" s="8" t="s">
        <v>144</v>
      </c>
      <c r="R167" s="8" t="s">
        <v>86</v>
      </c>
      <c r="S167" s="8" t="s">
        <v>88</v>
      </c>
      <c r="T167" s="8" t="s">
        <v>117</v>
      </c>
      <c r="U167" s="8" t="s">
        <v>74</v>
      </c>
      <c r="V167" s="8" t="s">
        <v>455</v>
      </c>
      <c r="W167" s="8" t="s">
        <v>101</v>
      </c>
      <c r="X167" s="8" t="s">
        <v>359</v>
      </c>
      <c r="Y167" s="8" t="s">
        <v>258</v>
      </c>
      <c r="Z167" s="8" t="s">
        <v>103</v>
      </c>
      <c r="AA167" s="8" t="s">
        <v>604</v>
      </c>
      <c r="AB167" s="10">
        <v>21123.69</v>
      </c>
      <c r="AC167" s="10">
        <v>0</v>
      </c>
      <c r="AD167" s="10">
        <v>0</v>
      </c>
      <c r="AE167" s="9">
        <v>46225</v>
      </c>
      <c r="AF167" s="10">
        <v>21123.69</v>
      </c>
      <c r="AG167" s="7">
        <v>61</v>
      </c>
      <c r="AH167" s="8" t="s">
        <v>105</v>
      </c>
      <c r="AI167" s="8" t="s">
        <v>106</v>
      </c>
      <c r="AJ167" s="8" t="s">
        <v>107</v>
      </c>
      <c r="AK167" s="8"/>
      <c r="AL167" s="7"/>
      <c r="AM167" s="8" t="s">
        <v>108</v>
      </c>
      <c r="AN167" s="8" t="s">
        <v>109</v>
      </c>
      <c r="AO167" s="9">
        <v>46216</v>
      </c>
    </row>
    <row r="168" spans="1:41" x14ac:dyDescent="0.25">
      <c r="A168" s="5" t="str">
        <f>IFERROR(IF(INDEX([6]DME!$A$2:$A$51,MATCH($D168,[6]DME!$D$2:$D$51,0))="","",INDEX([6]DME!$A$2:$A$51,MATCH($D168,[6]DME!$D$2:$D$51,0))),"")</f>
        <v>PAID</v>
      </c>
      <c r="B168" s="5" t="str">
        <f>IFERROR(IF(INDEX([6]DME!$B$2:$B$51,MATCH($D168,[6]DME!$D$2:$D$51,0))="","",INDEX([6]DME!$B$2:$B$51,MATCH($D168,[6]DME!$D$2:$D$51,0))),"")</f>
        <v xml:space="preserve">Pending check </v>
      </c>
      <c r="C168" s="6">
        <f>IFERROR(IF(INDEX([6]DME!$C$2:$C$51,MATCH($D168,[6]DME!$D$2:$D$51,0))="","",INDEX([6]DME!$C$2:$C$51,MATCH($D168,[6]DME!$D$2:$D$51,0))),"")</f>
        <v>46281</v>
      </c>
      <c r="D168" s="7">
        <v>562623275</v>
      </c>
      <c r="E168" s="8" t="s">
        <v>605</v>
      </c>
      <c r="F168" s="9">
        <v>46181</v>
      </c>
      <c r="G168" s="8" t="s">
        <v>123</v>
      </c>
      <c r="H168" s="8" t="s">
        <v>123</v>
      </c>
      <c r="I168" s="8" t="s">
        <v>69</v>
      </c>
      <c r="J168" s="8" t="s">
        <v>85</v>
      </c>
      <c r="K168" s="6">
        <f>IFERROR(IF(INDEX([6]DME!$K$2:$K$51,MATCH($D168,[6]DME!$D$2:$D$51,0))="","",INDEX([6]DME!$K$2:$K$51,MATCH($D168,[6]DME!$D$2:$D$51,0))),"")</f>
        <v>46274</v>
      </c>
      <c r="L168" s="11">
        <f ca="1">IF($O168="","",$O168-TODAY())</f>
        <v>-33</v>
      </c>
      <c r="M168" s="11">
        <f ca="1">IF(AND(TRIM($A168)="Finalized",$K168&lt;&gt;""),"",IF($F168="","",$F168+90-TODAY()))</f>
        <v>-33</v>
      </c>
      <c r="N168" s="11">
        <f ca="1">IF(AND(TRIM($A168)="Finalized",$K168&lt;&gt;""),"",IF($C168="","",$C168+365-TODAY()))</f>
        <v>342</v>
      </c>
      <c r="O168" s="9">
        <f>IF(AND(TRIM($A168)="Finalized",$K168&lt;&gt;""),"",DATE(2026,9,6))</f>
        <v>46271</v>
      </c>
      <c r="P168" s="8" t="s">
        <v>86</v>
      </c>
      <c r="Q168" s="8" t="s">
        <v>125</v>
      </c>
      <c r="R168" s="8" t="s">
        <v>86</v>
      </c>
      <c r="S168" s="8" t="s">
        <v>88</v>
      </c>
      <c r="T168" s="8" t="s">
        <v>73</v>
      </c>
      <c r="U168" s="8" t="s">
        <v>74</v>
      </c>
      <c r="V168" s="8" t="s">
        <v>455</v>
      </c>
      <c r="W168" s="8" t="s">
        <v>89</v>
      </c>
      <c r="X168" s="8" t="s">
        <v>90</v>
      </c>
      <c r="Y168" s="8"/>
      <c r="Z168" s="8"/>
      <c r="AA168" s="8" t="s">
        <v>91</v>
      </c>
      <c r="AB168" s="10">
        <v>36353.800000000003</v>
      </c>
      <c r="AC168" s="10">
        <v>0</v>
      </c>
      <c r="AD168" s="10">
        <v>0</v>
      </c>
      <c r="AE168" s="9"/>
      <c r="AF168" s="10">
        <v>36353.800000000003</v>
      </c>
      <c r="AG168" s="7">
        <v>61</v>
      </c>
      <c r="AH168" s="8" t="s">
        <v>92</v>
      </c>
      <c r="AI168" s="8"/>
      <c r="AJ168" s="8"/>
      <c r="AK168" s="8"/>
      <c r="AL168" s="7"/>
      <c r="AM168" s="8" t="s">
        <v>306</v>
      </c>
      <c r="AN168" s="8" t="s">
        <v>132</v>
      </c>
      <c r="AO168" s="9">
        <v>46274</v>
      </c>
    </row>
    <row r="169" spans="1:41" x14ac:dyDescent="0.25">
      <c r="A169" s="5" t="str">
        <f>IFERROR(IF(INDEX([6]ORTHO!$A$2:$A$39,MATCH($D169,[6]ORTHO!$D$2:$D$39,0))="","",INDEX([6]ORTHO!$A$2:$A$39,MATCH($D169,[6]ORTHO!$D$2:$D$39,0))),"")</f>
        <v>Under Review</v>
      </c>
      <c r="B169" s="5" t="str">
        <f>IFERROR(IF(INDEX([6]ORTHO!$B$2:$B$39,MATCH($D169,[6]ORTHO!$D$2:$D$39,0))="","",INDEX([6]ORTHO!$B$2:$B$39,MATCH($D169,[6]ORTHO!$D$2:$D$39,0))),"")</f>
        <v>Call ins to get bar code letter if needed and insights on denials</v>
      </c>
      <c r="C169" s="6">
        <f>IFERROR(IF(INDEX([6]ORTHO!$C$2:$C$39,MATCH($D169,[6]ORTHO!$D$2:$D$39,0))="","",INDEX([6]ORTHO!$C$2:$C$39,MATCH($D169,[6]ORTHO!$D$2:$D$39,0))),"")</f>
        <v>46197</v>
      </c>
      <c r="D169" s="7">
        <v>562573309</v>
      </c>
      <c r="E169" s="8" t="s">
        <v>606</v>
      </c>
      <c r="F169" s="9">
        <v>46181</v>
      </c>
      <c r="G169" s="8" t="s">
        <v>123</v>
      </c>
      <c r="H169" s="8" t="s">
        <v>123</v>
      </c>
      <c r="I169" s="8" t="s">
        <v>69</v>
      </c>
      <c r="J169" s="8" t="s">
        <v>552</v>
      </c>
      <c r="K169" s="6" t="str">
        <f>IFERROR(IF(INDEX([6]ORTHO!$K$2:$K$39,MATCH($D169,[6]ORTHO!$D$2:$D$39,0))="","",INDEX([6]ORTHO!$K$2:$K$39,MATCH($D169,[6]ORTHO!$D$2:$D$39,0))),"")</f>
        <v/>
      </c>
      <c r="L169" s="11">
        <f ca="1">IF($O169="","",$O169-TODAY())</f>
        <v>-33</v>
      </c>
      <c r="M169" s="11">
        <f ca="1">IF(AND(TRIM($A169)="Finalized",$K169&lt;&gt;""),"",IF($F169="","",$F169+90-TODAY()))</f>
        <v>-33</v>
      </c>
      <c r="N169" s="11">
        <f ca="1">IF(AND(TRIM($A169)="Finalized",$K169&lt;&gt;""),"",IF($C169="","",$C169+365-TODAY()))</f>
        <v>258</v>
      </c>
      <c r="O169" s="9">
        <f>IF(AND(TRIM($A169)="Finalized",$K169&lt;&gt;""),"",DATE(2026,9,6))</f>
        <v>46271</v>
      </c>
      <c r="P169" s="8" t="s">
        <v>86</v>
      </c>
      <c r="Q169" s="8" t="s">
        <v>125</v>
      </c>
      <c r="R169" s="8" t="s">
        <v>86</v>
      </c>
      <c r="S169" s="8" t="s">
        <v>88</v>
      </c>
      <c r="T169" s="8" t="s">
        <v>73</v>
      </c>
      <c r="U169" s="8" t="s">
        <v>74</v>
      </c>
      <c r="V169" s="8" t="s">
        <v>455</v>
      </c>
      <c r="W169" s="8" t="s">
        <v>76</v>
      </c>
      <c r="X169" s="8"/>
      <c r="Y169" s="8"/>
      <c r="Z169" s="8"/>
      <c r="AA169" s="8" t="s">
        <v>77</v>
      </c>
      <c r="AB169" s="10">
        <v>11163.74</v>
      </c>
      <c r="AC169" s="10">
        <v>0</v>
      </c>
      <c r="AD169" s="10">
        <v>0</v>
      </c>
      <c r="AE169" s="9">
        <v>46197</v>
      </c>
      <c r="AF169" s="10">
        <v>11163.74</v>
      </c>
      <c r="AG169" s="7">
        <v>61</v>
      </c>
      <c r="AH169" s="8" t="s">
        <v>308</v>
      </c>
      <c r="AI169" s="8" t="s">
        <v>442</v>
      </c>
      <c r="AJ169" s="8" t="s">
        <v>285</v>
      </c>
      <c r="AK169" s="8" t="s">
        <v>395</v>
      </c>
      <c r="AL169" s="7"/>
      <c r="AM169" s="8" t="s">
        <v>165</v>
      </c>
      <c r="AN169" s="8" t="s">
        <v>109</v>
      </c>
      <c r="AO169" s="9">
        <v>46190</v>
      </c>
    </row>
    <row r="170" spans="1:41" x14ac:dyDescent="0.25">
      <c r="A170" s="5" t="str">
        <f>IFERROR(IF(INDEX([6]BH!$A$2:$A$82,MATCH($D170,[6]BH!$D$2:$D$82,0))="","",INDEX([6]BH!$A$2:$A$82,MATCH($D170,[6]BH!$D$2:$D$82,0))),"")</f>
        <v>Denied</v>
      </c>
      <c r="B170" s="5" t="str">
        <f>IFERROR(IF(INDEX([6]BH!$B$2:$B$82,MATCH($D170,[6]BH!$D$2:$D$82,0))="","",INDEX([6]BH!$B$2:$B$82,MATCH($D170,[6]BH!$D$2:$D$82,0))),"")</f>
        <v>Added Date of Current Illness, claim note, and resubmitted - Prior CoCM on DOS 03/05/2026</v>
      </c>
      <c r="C170" s="6">
        <f>IFERROR(IF(INDEX([6]BH!$C$2:$C$82,MATCH($D170,[6]BH!$D$2:$D$82,0))="","",INDEX([6]BH!$C$2:$C$82,MATCH($D170,[6]BH!$D$2:$D$82,0))),"")</f>
        <v>46231</v>
      </c>
      <c r="D170" s="7">
        <v>570976486</v>
      </c>
      <c r="E170" s="8" t="s">
        <v>273</v>
      </c>
      <c r="F170" s="9">
        <v>46182</v>
      </c>
      <c r="G170" s="8" t="s">
        <v>134</v>
      </c>
      <c r="H170" s="8" t="s">
        <v>134</v>
      </c>
      <c r="I170" s="8" t="s">
        <v>69</v>
      </c>
      <c r="J170" s="8" t="s">
        <v>220</v>
      </c>
      <c r="K170" s="6">
        <f>IFERROR(IF(INDEX([6]BH!$K$2:$K$82,MATCH($D170,[6]BH!$D$2:$D$82,0))="","",INDEX([6]BH!$K$2:$K$82,MATCH($D170,[6]BH!$D$2:$D$82,0))),"")</f>
        <v>46270</v>
      </c>
      <c r="L170" s="11">
        <f ca="1">IF($O170="","",$O170-TODAY())</f>
        <v>-32</v>
      </c>
      <c r="M170" s="11">
        <f ca="1">IF(AND(TRIM($A170)="Finalized",$K170&lt;&gt;""),"",IF($C170="","",$C170+365-TODAY()))</f>
        <v>292</v>
      </c>
      <c r="N170" s="11">
        <f ca="1">IF(AND(TRIM($A170)="Finalized",$K170&lt;&gt;""),"",IF($C170="","",$C170+365-TODAY()))</f>
        <v>292</v>
      </c>
      <c r="O170" s="9">
        <f>IF(AND(TRIM($A170)="Finalized",$K170&lt;&gt;""),"",DATE(2026,9,7))</f>
        <v>46272</v>
      </c>
      <c r="P170" s="8" t="s">
        <v>86</v>
      </c>
      <c r="Q170" s="8" t="s">
        <v>136</v>
      </c>
      <c r="R170" s="8" t="s">
        <v>73</v>
      </c>
      <c r="S170" s="8" t="s">
        <v>74</v>
      </c>
      <c r="T170" s="8" t="s">
        <v>73</v>
      </c>
      <c r="U170" s="8" t="s">
        <v>74</v>
      </c>
      <c r="V170" s="8" t="s">
        <v>455</v>
      </c>
      <c r="W170" s="8" t="s">
        <v>118</v>
      </c>
      <c r="X170" s="8"/>
      <c r="Y170" s="8"/>
      <c r="Z170" s="8"/>
      <c r="AA170" s="8" t="s">
        <v>77</v>
      </c>
      <c r="AB170" s="10">
        <v>1372.91</v>
      </c>
      <c r="AC170" s="10">
        <v>0</v>
      </c>
      <c r="AD170" s="10">
        <v>0</v>
      </c>
      <c r="AE170" s="9"/>
      <c r="AF170" s="10">
        <v>1372.91</v>
      </c>
      <c r="AG170" s="7">
        <v>60</v>
      </c>
      <c r="AH170" s="8" t="s">
        <v>161</v>
      </c>
      <c r="AI170" s="8"/>
      <c r="AJ170" s="8"/>
      <c r="AK170" s="8"/>
      <c r="AL170" s="7"/>
      <c r="AM170" s="8" t="s">
        <v>157</v>
      </c>
      <c r="AN170" s="8" t="s">
        <v>121</v>
      </c>
      <c r="AO170" s="9">
        <v>46217</v>
      </c>
    </row>
    <row r="171" spans="1:41" x14ac:dyDescent="0.25">
      <c r="A171" s="5" t="str">
        <f>IFERROR(IF(INDEX([6]DME!$A$2:$A$51,MATCH($D171,[6]DME!$D$2:$D$51,0))="","",INDEX([6]DME!$A$2:$A$51,MATCH($D171,[6]DME!$D$2:$D$51,0))),"")</f>
        <v>Denied</v>
      </c>
      <c r="B171" s="5" t="str">
        <f>IFERROR(IF(INDEX([6]DME!$B$2:$B$51,MATCH($D171,[6]DME!$D$2:$D$51,0))="","",INDEX([6]DME!$B$2:$B$51,MATCH($D171,[6]DME!$D$2:$D$51,0))),"")</f>
        <v>Filed reconsideration with MR - PIQ-90417169</v>
      </c>
      <c r="C171" s="6">
        <f>IFERROR(IF(INDEX([6]DME!$C$2:$C$51,MATCH($D171,[6]DME!$D$2:$D$51,0))="","",INDEX([6]DME!$C$2:$C$51,MATCH($D171,[6]DME!$D$2:$D$51,0))),"")</f>
        <v>46239</v>
      </c>
      <c r="D171" s="7">
        <v>562698907</v>
      </c>
      <c r="E171" s="8" t="s">
        <v>607</v>
      </c>
      <c r="F171" s="9">
        <v>46182</v>
      </c>
      <c r="G171" s="8" t="s">
        <v>148</v>
      </c>
      <c r="H171" s="8" t="s">
        <v>148</v>
      </c>
      <c r="I171" s="8" t="s">
        <v>69</v>
      </c>
      <c r="J171" s="8" t="s">
        <v>289</v>
      </c>
      <c r="K171" s="6">
        <f>IFERROR(IF(INDEX([6]DME!$K$2:$K$51,MATCH($D171,[6]DME!$D$2:$D$51,0))="","",INDEX([6]DME!$K$2:$K$51,MATCH($D171,[6]DME!$D$2:$D$51,0))),"")</f>
        <v>46270</v>
      </c>
      <c r="L171" s="11">
        <f ca="1">IF($O171="","",$O171-TODAY())</f>
        <v>-32</v>
      </c>
      <c r="M171" s="11">
        <f ca="1">IF(AND(TRIM($A171)="Finalized",$K171&lt;&gt;""),"",IF($C171="","",$C171+180-TODAY()))</f>
        <v>115</v>
      </c>
      <c r="N171" s="11">
        <f ca="1">IF(AND(TRIM($A171)="Finalized",$K171&lt;&gt;""),"",IF($C171="","",$C171+365-TODAY()))</f>
        <v>300</v>
      </c>
      <c r="O171" s="9">
        <f>IF(AND(TRIM($A171)="Finalized",$K171&lt;&gt;""),"",DATE(2026,9,7))</f>
        <v>46272</v>
      </c>
      <c r="P171" s="8" t="s">
        <v>86</v>
      </c>
      <c r="Q171" s="8" t="s">
        <v>152</v>
      </c>
      <c r="R171" s="8" t="s">
        <v>117</v>
      </c>
      <c r="S171" s="8" t="s">
        <v>74</v>
      </c>
      <c r="T171" s="8" t="s">
        <v>73</v>
      </c>
      <c r="U171" s="8" t="s">
        <v>74</v>
      </c>
      <c r="V171" s="8" t="s">
        <v>455</v>
      </c>
      <c r="W171" s="8" t="s">
        <v>89</v>
      </c>
      <c r="X171" s="8" t="s">
        <v>290</v>
      </c>
      <c r="Y171" s="8"/>
      <c r="Z171" s="8"/>
      <c r="AA171" s="8" t="s">
        <v>77</v>
      </c>
      <c r="AB171" s="10">
        <v>6392.96</v>
      </c>
      <c r="AC171" s="10">
        <v>0</v>
      </c>
      <c r="AD171" s="10">
        <v>0</v>
      </c>
      <c r="AE171" s="9">
        <v>46202</v>
      </c>
      <c r="AF171" s="10">
        <v>6392.96</v>
      </c>
      <c r="AG171" s="7">
        <v>60</v>
      </c>
      <c r="AH171" s="8" t="s">
        <v>79</v>
      </c>
      <c r="AI171" s="8" t="s">
        <v>318</v>
      </c>
      <c r="AJ171" s="8"/>
      <c r="AK171" s="8"/>
      <c r="AL171" s="7"/>
      <c r="AM171" s="8" t="s">
        <v>399</v>
      </c>
      <c r="AN171" s="8" t="s">
        <v>132</v>
      </c>
      <c r="AO171" s="9">
        <v>46191</v>
      </c>
    </row>
    <row r="172" spans="1:41" x14ac:dyDescent="0.25">
      <c r="A172" s="5" t="str">
        <f>IFERROR(IF(INDEX([6]US!$A$2:$A$22,MATCH($D172,[6]US!$D$2:$D$22,0))="","",INDEX([6]US!$A$2:$A$22,MATCH($D172,[6]US!$D$2:$D$22,0))),"")</f>
        <v>Denied</v>
      </c>
      <c r="B172" s="5" t="str">
        <f>IFERROR(IF(INDEX([6]US!$B$2:$B$22,MATCH($D172,[6]US!$D$2:$D$22,0))="","",INDEX([6]US!$B$2:$B$22,MATCH($D172,[6]US!$D$2:$D$22,0))),"")</f>
        <v>Uploaded MR - PIQ-90420851</v>
      </c>
      <c r="C172" s="6">
        <f>IFERROR(IF(INDEX([6]US!$C$2:$C$22,MATCH($D172,[6]US!$D$2:$D$22,0))="","",INDEX([6]US!$C$2:$C$22,MATCH($D172,[6]US!$D$2:$D$22,0))),"")</f>
        <v>46247</v>
      </c>
      <c r="D172" s="7">
        <v>563060686</v>
      </c>
      <c r="E172" s="8" t="s">
        <v>608</v>
      </c>
      <c r="F172" s="9">
        <v>46182</v>
      </c>
      <c r="G172" s="8" t="s">
        <v>237</v>
      </c>
      <c r="H172" s="8" t="s">
        <v>237</v>
      </c>
      <c r="I172" s="8" t="s">
        <v>69</v>
      </c>
      <c r="J172" s="8" t="s">
        <v>371</v>
      </c>
      <c r="K172" s="6">
        <f>IFERROR(IF(INDEX([6]US!$K$2:$K$22,MATCH($D172,[6]US!$D$2:$D$22,0))="","",INDEX([6]US!$K$2:$K$22,MATCH($D172,[6]US!$D$2:$D$22,0))),"")</f>
        <v>46271</v>
      </c>
      <c r="L172" s="11">
        <f ca="1">IF($O172="","",$O172-TODAY())</f>
        <v>-32</v>
      </c>
      <c r="M172" s="11">
        <f ca="1">IF(AND(TRIM($A172)="Finalized",$K172&lt;&gt;""),"",IF($C172="","",$C172+180-TODAY()))</f>
        <v>123</v>
      </c>
      <c r="N172" s="11">
        <f ca="1">IF(AND(TRIM($A172)="Finalized",$K172&lt;&gt;""),"",IF($C172="","",$C172+365-TODAY()))</f>
        <v>308</v>
      </c>
      <c r="O172" s="9">
        <f>IF(AND(TRIM($A172)="Finalized",$K172&lt;&gt;""),"",DATE(2026,9,7))</f>
        <v>46272</v>
      </c>
      <c r="P172" s="8" t="s">
        <v>86</v>
      </c>
      <c r="Q172" s="8" t="s">
        <v>239</v>
      </c>
      <c r="R172" s="8" t="s">
        <v>117</v>
      </c>
      <c r="S172" s="8" t="s">
        <v>74</v>
      </c>
      <c r="T172" s="8" t="s">
        <v>73</v>
      </c>
      <c r="U172" s="8" t="s">
        <v>74</v>
      </c>
      <c r="V172" s="8" t="s">
        <v>455</v>
      </c>
      <c r="W172" s="8" t="s">
        <v>129</v>
      </c>
      <c r="X172" s="8"/>
      <c r="Y172" s="8"/>
      <c r="Z172" s="8"/>
      <c r="AA172" s="8" t="s">
        <v>77</v>
      </c>
      <c r="AB172" s="10">
        <v>3822.49</v>
      </c>
      <c r="AC172" s="10">
        <v>0</v>
      </c>
      <c r="AD172" s="10">
        <v>0</v>
      </c>
      <c r="AE172" s="9"/>
      <c r="AF172" s="10">
        <v>3822.49</v>
      </c>
      <c r="AG172" s="7">
        <v>60</v>
      </c>
      <c r="AH172" s="8" t="s">
        <v>149</v>
      </c>
      <c r="AI172" s="8" t="s">
        <v>609</v>
      </c>
      <c r="AJ172" s="8" t="s">
        <v>610</v>
      </c>
      <c r="AK172" s="8" t="s">
        <v>611</v>
      </c>
      <c r="AL172" s="7"/>
      <c r="AM172" s="8" t="s">
        <v>157</v>
      </c>
      <c r="AN172" s="8" t="s">
        <v>158</v>
      </c>
      <c r="AO172" s="9">
        <v>46195</v>
      </c>
    </row>
    <row r="173" spans="1:41" x14ac:dyDescent="0.25">
      <c r="A173" s="5" t="str">
        <f>IFERROR(IF(INDEX([6]BH!$A$2:$A$82,MATCH($D173,[6]BH!$D$2:$D$82,0))="","",INDEX([6]BH!$A$2:$A$82,MATCH($D173,[6]BH!$D$2:$D$82,0))),"")</f>
        <v>Denied</v>
      </c>
      <c r="B173" s="5" t="str">
        <f>IFERROR(IF(INDEX([6]BH!$B$2:$B$82,MATCH($D173,[6]BH!$D$2:$D$82,0))="","",INDEX([6]BH!$B$2:$B$82,MATCH($D173,[6]BH!$D$2:$D$82,0))),"")</f>
        <v>Added mod 24, and resubmitted</v>
      </c>
      <c r="C173" s="6">
        <f>IFERROR(IF(INDEX([6]BH!$C$2:$C$82,MATCH($D173,[6]BH!$D$2:$D$82,0))="","",INDEX([6]BH!$C$2:$C$82,MATCH($D173,[6]BH!$D$2:$D$82,0))),"")</f>
        <v>46220</v>
      </c>
      <c r="D173" s="7">
        <v>571031540</v>
      </c>
      <c r="E173" s="8" t="s">
        <v>616</v>
      </c>
      <c r="F173" s="9">
        <v>46183</v>
      </c>
      <c r="G173" s="8" t="s">
        <v>148</v>
      </c>
      <c r="H173" s="8" t="s">
        <v>148</v>
      </c>
      <c r="I173" s="8" t="s">
        <v>69</v>
      </c>
      <c r="J173" s="8" t="s">
        <v>220</v>
      </c>
      <c r="K173" s="6">
        <f>IFERROR(IF(INDEX([6]BH!$K$2:$K$82,MATCH($D173,[6]BH!$D$2:$D$82,0))="","",INDEX([6]BH!$K$2:$K$82,MATCH($D173,[6]BH!$D$2:$D$82,0))),"")</f>
        <v>46272</v>
      </c>
      <c r="L173" s="11">
        <f ca="1">IF($O173="","",$O173-TODAY())</f>
        <v>-31</v>
      </c>
      <c r="M173" s="11">
        <f ca="1">IF(AND(TRIM($A173)="Finalized",$K173&lt;&gt;""),"",IF($C173="","",$C173+180-TODAY()))</f>
        <v>96</v>
      </c>
      <c r="N173" s="11">
        <f ca="1">IF(AND(TRIM($A173)="Finalized",$K173&lt;&gt;""),"",IF($C173="","",$C173+365-TODAY()))</f>
        <v>281</v>
      </c>
      <c r="O173" s="9">
        <f>IF(AND(TRIM($A173)="Finalized",$K173&lt;&gt;""),"",DATE(2026,9,8))</f>
        <v>46273</v>
      </c>
      <c r="P173" s="8" t="s">
        <v>86</v>
      </c>
      <c r="Q173" s="8" t="s">
        <v>152</v>
      </c>
      <c r="R173" s="8" t="s">
        <v>117</v>
      </c>
      <c r="S173" s="8" t="s">
        <v>74</v>
      </c>
      <c r="T173" s="8" t="s">
        <v>73</v>
      </c>
      <c r="U173" s="8" t="s">
        <v>74</v>
      </c>
      <c r="V173" s="8" t="s">
        <v>455</v>
      </c>
      <c r="W173" s="8" t="s">
        <v>118</v>
      </c>
      <c r="X173" s="8"/>
      <c r="Y173" s="8"/>
      <c r="Z173" s="8"/>
      <c r="AA173" s="8" t="s">
        <v>77</v>
      </c>
      <c r="AB173" s="10">
        <v>1372.91</v>
      </c>
      <c r="AC173" s="10">
        <v>0</v>
      </c>
      <c r="AD173" s="10">
        <v>0</v>
      </c>
      <c r="AE173" s="9">
        <v>46224</v>
      </c>
      <c r="AF173" s="10">
        <v>1372.91</v>
      </c>
      <c r="AG173" s="7">
        <v>59</v>
      </c>
      <c r="AH173" s="8" t="s">
        <v>201</v>
      </c>
      <c r="AI173" s="8"/>
      <c r="AJ173" s="8"/>
      <c r="AK173" s="8"/>
      <c r="AL173" s="7"/>
      <c r="AM173" s="8" t="s">
        <v>131</v>
      </c>
      <c r="AN173" s="8" t="s">
        <v>132</v>
      </c>
      <c r="AO173" s="9">
        <v>46217</v>
      </c>
    </row>
    <row r="174" spans="1:41" x14ac:dyDescent="0.25">
      <c r="A174" s="5" t="str">
        <f>IFERROR(IF(INDEX([6]US!$A$2:$A$22,MATCH($D174,[6]US!$D$2:$D$22,0))="","",INDEX([6]US!$A$2:$A$22,MATCH($D174,[6]US!$D$2:$D$22,0))),"")</f>
        <v>Denied</v>
      </c>
      <c r="B174" s="5" t="str">
        <f>IFERROR(IF(INDEX([6]US!$B$2:$B$22,MATCH($D174,[6]US!$D$2:$D$22,0))="","",INDEX([6]US!$B$2:$B$22,MATCH($D174,[6]US!$D$2:$D$22,0))),"")</f>
        <v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
      <c r="C174" s="6">
        <f>IFERROR(IF(INDEX([6]US!$C$2:$C$22,MATCH($D174,[6]US!$D$2:$D$22,0))="","",INDEX([6]US!$C$2:$C$22,MATCH($D174,[6]US!$D$2:$D$22,0))),"")</f>
        <v>46204</v>
      </c>
      <c r="D174" s="7">
        <v>563063291</v>
      </c>
      <c r="E174" s="8" t="s">
        <v>617</v>
      </c>
      <c r="F174" s="9">
        <v>46183</v>
      </c>
      <c r="G174" s="8" t="s">
        <v>123</v>
      </c>
      <c r="H174" s="8" t="s">
        <v>123</v>
      </c>
      <c r="I174" s="8" t="s">
        <v>69</v>
      </c>
      <c r="J174" s="8" t="s">
        <v>618</v>
      </c>
      <c r="K174" s="6">
        <f>IFERROR(IF(INDEX([6]US!$K$2:$K$22,MATCH($D174,[6]US!$D$2:$D$22,0))="","",INDEX([6]US!$K$2:$K$22,MATCH($D174,[6]US!$D$2:$D$22,0))),"")</f>
        <v>46300</v>
      </c>
      <c r="L174" s="11">
        <f ca="1">IF($O174="","",$O174-TODAY())</f>
        <v>-31</v>
      </c>
      <c r="M174" s="11">
        <f ca="1">IF(AND(TRIM($A174)="Finalized",$K174&lt;&gt;""),"",IF($F174="","",$F174+90-TODAY()))</f>
        <v>-31</v>
      </c>
      <c r="N174" s="11">
        <f ca="1">IF(AND(TRIM($A174)="Finalized",$K174&lt;&gt;""),"",IF($C174="","",$C174+365-TODAY()))</f>
        <v>265</v>
      </c>
      <c r="O174" s="9">
        <f>IF(AND(TRIM($A174)="Finalized",$K174&lt;&gt;""),"",DATE(2026,9,8))</f>
        <v>46273</v>
      </c>
      <c r="P174" s="8" t="s">
        <v>86</v>
      </c>
      <c r="Q174" s="8" t="s">
        <v>125</v>
      </c>
      <c r="R174" s="8" t="s">
        <v>86</v>
      </c>
      <c r="S174" s="8" t="s">
        <v>88</v>
      </c>
      <c r="T174" s="8" t="s">
        <v>73</v>
      </c>
      <c r="U174" s="8" t="s">
        <v>74</v>
      </c>
      <c r="V174" s="8" t="s">
        <v>455</v>
      </c>
      <c r="W174" s="8" t="s">
        <v>129</v>
      </c>
      <c r="X174" s="8"/>
      <c r="Y174" s="8"/>
      <c r="Z174" s="8"/>
      <c r="AA174" s="8" t="s">
        <v>77</v>
      </c>
      <c r="AB174" s="10">
        <v>2528.2600000000002</v>
      </c>
      <c r="AC174" s="10">
        <v>0</v>
      </c>
      <c r="AD174" s="10">
        <v>0</v>
      </c>
      <c r="AE174" s="9">
        <v>46204</v>
      </c>
      <c r="AF174" s="10">
        <v>2528.2600000000002</v>
      </c>
      <c r="AG174" s="7">
        <v>59</v>
      </c>
      <c r="AH174" s="8" t="s">
        <v>137</v>
      </c>
      <c r="AI174" s="8"/>
      <c r="AJ174" s="8"/>
      <c r="AK174" s="8"/>
      <c r="AL174" s="7"/>
      <c r="AM174" s="8" t="s">
        <v>165</v>
      </c>
      <c r="AN174" s="8" t="s">
        <v>95</v>
      </c>
      <c r="AO174" s="9">
        <v>46195</v>
      </c>
    </row>
    <row r="175" spans="1:41" x14ac:dyDescent="0.25">
      <c r="A175" s="5" t="str">
        <f>IFERROR(IF(INDEX([6]ORTHO!$A$2:$A$39,MATCH($D175,[6]ORTHO!$D$2:$D$39,0))="","",INDEX([6]ORTHO!$A$2:$A$39,MATCH($D175,[6]ORTHO!$D$2:$D$39,0))),"")</f>
        <v>Under Review</v>
      </c>
      <c r="B175" s="5" t="str">
        <f>IFERROR(IF(INDEX([6]ORTHO!$B$2:$B$39,MATCH($D175,[6]ORTHO!$D$2:$D$39,0))="","",INDEX([6]ORTHO!$B$2:$B$39,MATCH($D175,[6]ORTHO!$D$2:$D$39,0))),"")</f>
        <v>Call ins to get bar code letter if needed and insights on denials</v>
      </c>
      <c r="C175" s="6">
        <f>IFERROR(IF(INDEX([6]ORTHO!$C$2:$C$39,MATCH($D175,[6]ORTHO!$D$2:$D$39,0))="","",INDEX([6]ORTHO!$C$2:$C$39,MATCH($D175,[6]ORTHO!$D$2:$D$39,0))),"")</f>
        <v>46197</v>
      </c>
      <c r="D175" s="7">
        <v>562086355</v>
      </c>
      <c r="E175" s="8" t="s">
        <v>621</v>
      </c>
      <c r="F175" s="9">
        <v>46184</v>
      </c>
      <c r="G175" s="8" t="s">
        <v>123</v>
      </c>
      <c r="H175" s="8" t="s">
        <v>123</v>
      </c>
      <c r="I175" s="8" t="s">
        <v>69</v>
      </c>
      <c r="J175" s="8" t="s">
        <v>70</v>
      </c>
      <c r="K175" s="6" t="str">
        <f>IFERROR(IF(INDEX([6]ORTHO!$K$2:$K$39,MATCH($D175,[6]ORTHO!$D$2:$D$39,0))="","",INDEX([6]ORTHO!$K$2:$K$39,MATCH($D175,[6]ORTHO!$D$2:$D$39,0))),"")</f>
        <v/>
      </c>
      <c r="L175" s="11">
        <f ca="1">IF($O175="","",$O175-TODAY())</f>
        <v>-30</v>
      </c>
      <c r="M175" s="11">
        <f ca="1">IF(AND(TRIM($A175)="Finalized",$K175&lt;&gt;""),"",IF($F175="","",$F175+90-TODAY()))</f>
        <v>-30</v>
      </c>
      <c r="N175" s="11">
        <f ca="1">IF(AND(TRIM($A175)="Finalized",$K175&lt;&gt;""),"",IF($C175="","",$C175+365-TODAY()))</f>
        <v>258</v>
      </c>
      <c r="O175" s="9">
        <f>IF(AND(TRIM($A175)="Finalized",$K175&lt;&gt;""),"",DATE(2026,9,9))</f>
        <v>46274</v>
      </c>
      <c r="P175" s="8" t="s">
        <v>86</v>
      </c>
      <c r="Q175" s="8" t="s">
        <v>125</v>
      </c>
      <c r="R175" s="8" t="s">
        <v>86</v>
      </c>
      <c r="S175" s="8" t="s">
        <v>88</v>
      </c>
      <c r="T175" s="8" t="s">
        <v>73</v>
      </c>
      <c r="U175" s="8" t="s">
        <v>74</v>
      </c>
      <c r="V175" s="8" t="s">
        <v>455</v>
      </c>
      <c r="W175" s="8" t="s">
        <v>76</v>
      </c>
      <c r="X175" s="8"/>
      <c r="Y175" s="8"/>
      <c r="Z175" s="8"/>
      <c r="AA175" s="8" t="s">
        <v>77</v>
      </c>
      <c r="AB175" s="10">
        <v>2493.33</v>
      </c>
      <c r="AC175" s="10">
        <v>0</v>
      </c>
      <c r="AD175" s="10">
        <v>0</v>
      </c>
      <c r="AE175" s="9">
        <v>46197</v>
      </c>
      <c r="AF175" s="10">
        <v>2493.33</v>
      </c>
      <c r="AG175" s="7">
        <v>58</v>
      </c>
      <c r="AH175" s="8" t="s">
        <v>149</v>
      </c>
      <c r="AI175" s="8" t="s">
        <v>92</v>
      </c>
      <c r="AJ175" s="8"/>
      <c r="AK175" s="8"/>
      <c r="AL175" s="7"/>
      <c r="AM175" s="8" t="s">
        <v>157</v>
      </c>
      <c r="AN175" s="8" t="s">
        <v>81</v>
      </c>
      <c r="AO175" s="9">
        <v>46188</v>
      </c>
    </row>
    <row r="176" spans="1:41" x14ac:dyDescent="0.25">
      <c r="A176" s="5" t="str">
        <f>IFERROR(IF(INDEX([6]ORTHO!$A$2:$A$39,MATCH($D176,[6]ORTHO!$D$2:$D$39,0))="","",INDEX([6]ORTHO!$A$2:$A$39,MATCH($D176,[6]ORTHO!$D$2:$D$39,0))),"")</f>
        <v>Denied</v>
      </c>
      <c r="B176" s="5" t="str">
        <f>IFERROR(IF(INDEX([6]ORTHO!$B$2:$B$39,MATCH($D176,[6]ORTHO!$D$2:$D$39,0))="","",INDEX([6]ORTHO!$B$2:$B$39,MATCH($D176,[6]ORTHO!$D$2:$D$39,0))),"")</f>
        <v>Added mods 79 and RT, and resubmitted - DND 27279 Remark N525 These services are not covered when performed within the global period of another service - Proc is included in the global period of HxProc 27279+LT on Claim ID RC3153710000 Line ID 1 on date of service 04/16/2026</v>
      </c>
      <c r="C176" s="6">
        <f>IFERROR(IF(INDEX([6]ORTHO!$C$2:$C$39,MATCH($D176,[6]ORTHO!$D$2:$D$39,0))="","",INDEX([6]ORTHO!$C$2:$C$39,MATCH($D176,[6]ORTHO!$D$2:$D$39,0))),"")</f>
        <v>46197</v>
      </c>
      <c r="D176" s="7">
        <v>570992408</v>
      </c>
      <c r="E176" s="8" t="s">
        <v>408</v>
      </c>
      <c r="F176" s="9">
        <v>46185</v>
      </c>
      <c r="G176" s="8" t="s">
        <v>148</v>
      </c>
      <c r="H176" s="8" t="s">
        <v>148</v>
      </c>
      <c r="I176" s="8" t="s">
        <v>69</v>
      </c>
      <c r="J176" s="8" t="s">
        <v>622</v>
      </c>
      <c r="K176" s="6">
        <f>IFERROR(IF(INDEX([6]ORTHO!$K$2:$K$39,MATCH($D176,[6]ORTHO!$D$2:$D$39,0))="","",INDEX([6]ORTHO!$K$2:$K$39,MATCH($D176,[6]ORTHO!$D$2:$D$39,0))),"")</f>
        <v>46271</v>
      </c>
      <c r="L176" s="11">
        <f ca="1">IF($O176="","",$O176-TODAY())</f>
        <v>-29</v>
      </c>
      <c r="M176" s="11">
        <f ca="1">IF(AND(TRIM($A176)="Finalized",$K176&lt;&gt;""),"",IF($C176="","",$C176+180-TODAY()))</f>
        <v>73</v>
      </c>
      <c r="N176" s="11">
        <f ca="1">IF(AND(TRIM($A176)="Finalized",$K176&lt;&gt;""),"",IF($C176="","",$C176+365-TODAY()))</f>
        <v>258</v>
      </c>
      <c r="O176" s="9">
        <f>IF(AND(TRIM($A176)="Finalized",$K176&lt;&gt;""),"",DATE(2026,9,10))</f>
        <v>46275</v>
      </c>
      <c r="P176" s="8" t="s">
        <v>86</v>
      </c>
      <c r="Q176" s="8" t="s">
        <v>152</v>
      </c>
      <c r="R176" s="8" t="s">
        <v>117</v>
      </c>
      <c r="S176" s="8" t="s">
        <v>74</v>
      </c>
      <c r="T176" s="8" t="s">
        <v>73</v>
      </c>
      <c r="U176" s="8" t="s">
        <v>74</v>
      </c>
      <c r="V176" s="8" t="s">
        <v>455</v>
      </c>
      <c r="W176" s="8" t="s">
        <v>76</v>
      </c>
      <c r="X176" s="8"/>
      <c r="Y176" s="8"/>
      <c r="Z176" s="8"/>
      <c r="AA176" s="8" t="s">
        <v>77</v>
      </c>
      <c r="AB176" s="10">
        <v>5614.63</v>
      </c>
      <c r="AC176" s="10">
        <v>0</v>
      </c>
      <c r="AD176" s="10">
        <v>0</v>
      </c>
      <c r="AE176" s="9">
        <v>46197</v>
      </c>
      <c r="AF176" s="10">
        <v>5614.63</v>
      </c>
      <c r="AG176" s="7">
        <v>57</v>
      </c>
      <c r="AH176" s="8" t="s">
        <v>182</v>
      </c>
      <c r="AI176" s="8"/>
      <c r="AJ176" s="8"/>
      <c r="AK176" s="8"/>
      <c r="AL176" s="7"/>
      <c r="AM176" s="8" t="s">
        <v>154</v>
      </c>
      <c r="AN176" s="8" t="s">
        <v>109</v>
      </c>
      <c r="AO176" s="9">
        <v>46189</v>
      </c>
    </row>
    <row r="177" spans="1:41" x14ac:dyDescent="0.25">
      <c r="A177" s="5" t="str">
        <f>IFERROR(IF(INDEX([6]DME!$A$2:$A$51,MATCH($D177,[6]DME!$D$2:$D$51,0))="","",INDEX([6]DME!$A$2:$A$51,MATCH($D177,[6]DME!$D$2:$D$51,0))),"")</f>
        <v>Under Review</v>
      </c>
      <c r="B177" s="5" t="str">
        <f>IFERROR(IF(INDEX([6]DME!$B$2:$B$51,MATCH($D177,[6]DME!$D$2:$D$51,0))="","",INDEX([6]DME!$B$2:$B$51,MATCH($D177,[6]DME!$D$2:$D$51,0))),"")</f>
        <v xml:space="preserve">Waiting for bcbs alabama portal access - Jess sent MR throught fax </v>
      </c>
      <c r="C177" s="6">
        <f>IFERROR(IF(INDEX([6]DME!$C$2:$C$51,MATCH($D177,[6]DME!$D$2:$D$51,0))="","",INDEX([6]DME!$C$2:$C$51,MATCH($D177,[6]DME!$D$2:$D$51,0))),"")</f>
        <v>46204</v>
      </c>
      <c r="D177" s="7">
        <v>562572005</v>
      </c>
      <c r="E177" s="8" t="s">
        <v>606</v>
      </c>
      <c r="F177" s="9">
        <v>46185</v>
      </c>
      <c r="G177" s="8" t="s">
        <v>123</v>
      </c>
      <c r="H177" s="8" t="s">
        <v>123</v>
      </c>
      <c r="I177" s="8" t="s">
        <v>69</v>
      </c>
      <c r="J177" s="8" t="s">
        <v>243</v>
      </c>
      <c r="K177" s="6" t="str">
        <f>IFERROR(IF(INDEX([6]DME!$K$2:$K$51,MATCH($D177,[6]DME!$D$2:$D$51,0))="","",INDEX([6]DME!$K$2:$K$51,MATCH($D177,[6]DME!$D$2:$D$51,0))),"")</f>
        <v/>
      </c>
      <c r="L177" s="11">
        <f ca="1">IF($O177="","",$O177-TODAY())</f>
        <v>-29</v>
      </c>
      <c r="M177" s="11">
        <f ca="1">IF(AND(TRIM($A177)="Finalized",$K177&lt;&gt;""),"",IF($F177="","",$F177+90-TODAY()))</f>
        <v>-29</v>
      </c>
      <c r="N177" s="11">
        <f ca="1">IF(AND(TRIM($A177)="Finalized",$K177&lt;&gt;""),"",IF($C177="","",$C177+365-TODAY()))</f>
        <v>265</v>
      </c>
      <c r="O177" s="9">
        <f>IF(AND(TRIM($A177)="Finalized",$K177&lt;&gt;""),"",DATE(2026,9,10))</f>
        <v>46275</v>
      </c>
      <c r="P177" s="8" t="s">
        <v>86</v>
      </c>
      <c r="Q177" s="8" t="s">
        <v>125</v>
      </c>
      <c r="R177" s="8" t="s">
        <v>86</v>
      </c>
      <c r="S177" s="8" t="s">
        <v>88</v>
      </c>
      <c r="T177" s="8" t="s">
        <v>73</v>
      </c>
      <c r="U177" s="8" t="s">
        <v>74</v>
      </c>
      <c r="V177" s="8" t="s">
        <v>455</v>
      </c>
      <c r="W177" s="8" t="s">
        <v>89</v>
      </c>
      <c r="X177" s="8" t="s">
        <v>244</v>
      </c>
      <c r="Y177" s="8"/>
      <c r="Z177" s="8"/>
      <c r="AA177" s="8" t="s">
        <v>91</v>
      </c>
      <c r="AB177" s="10">
        <v>5916.4</v>
      </c>
      <c r="AC177" s="10">
        <v>0</v>
      </c>
      <c r="AD177" s="10">
        <v>0</v>
      </c>
      <c r="AE177" s="9">
        <v>46204</v>
      </c>
      <c r="AF177" s="10">
        <v>5916.4</v>
      </c>
      <c r="AG177" s="7">
        <v>57</v>
      </c>
      <c r="AH177" s="8" t="s">
        <v>92</v>
      </c>
      <c r="AI177" s="8"/>
      <c r="AJ177" s="8"/>
      <c r="AK177" s="8"/>
      <c r="AL177" s="7"/>
      <c r="AM177" s="8" t="s">
        <v>520</v>
      </c>
      <c r="AN177" s="8" t="s">
        <v>198</v>
      </c>
      <c r="AO177" s="9">
        <v>46190</v>
      </c>
    </row>
    <row r="178" spans="1:41" x14ac:dyDescent="0.25">
      <c r="A178" s="5" t="str">
        <f>IFERROR(IF(INDEX([5]ORTHO!$A$2:$A$24,MATCH($D178,[5]ORTHO!$D$2:$D$24,0))="","",INDEX([5]ORTHO!$A$2:$A$24,MATCH($D178,[5]ORTHO!$D$2:$D$24,0))),"")</f>
        <v>Pending</v>
      </c>
      <c r="B178" s="5" t="str">
        <f>IFERROR(IF(INDEX([5]ORTHO!$B$2:$B$24,MATCH($D178,[5]ORTHO!$D$2:$D$24,0))="","",INDEX([5]ORTHO!$B$2:$B$24,MATCH($D178,[5]ORTHO!$D$2:$D$24,0))),"")</f>
        <v xml:space="preserve">Claim not found - Resubmitted - Asked April to print </v>
      </c>
      <c r="C178" s="6">
        <f>IFERROR(IF(INDEX([5]ORTHO!$C$2:$C$24,MATCH($D178,[5]ORTHO!$D$2:$D$24,0))="","",INDEX([5]ORTHO!$C$2:$C$24,MATCH($D178,[5]ORTHO!$D$2:$D$24,0))),"")</f>
        <v>46184</v>
      </c>
      <c r="D178" s="7">
        <v>568765283</v>
      </c>
      <c r="E178" s="8" t="s">
        <v>623</v>
      </c>
      <c r="F178" s="9">
        <v>46156</v>
      </c>
      <c r="G178" s="8" t="s">
        <v>222</v>
      </c>
      <c r="H178" s="8" t="s">
        <v>222</v>
      </c>
      <c r="I178" s="8" t="s">
        <v>69</v>
      </c>
      <c r="J178" s="8" t="s">
        <v>624</v>
      </c>
      <c r="K178" s="6">
        <f>IFERROR(IF(INDEX([5]ORTHO!$K$2:$K$24,MATCH($D178,[5]ORTHO!$D$2:$D$24,0))="","",INDEX([5]ORTHO!$K$2:$K$24,MATCH($D178,[5]ORTHO!$D$2:$D$24,0))),"")</f>
        <v>46250</v>
      </c>
      <c r="L178" s="11">
        <f ca="1">IF($O178="","",$O178-TODAY())</f>
        <v>-28</v>
      </c>
      <c r="M178" s="11">
        <f ca="1">IF(AND(TRIM($A178)="Finalized",$K178&lt;&gt;""),"",IF($C178="","",$C178+365-TODAY()))</f>
        <v>245</v>
      </c>
      <c r="N178" s="11">
        <f ca="1">IF(AND(TRIM($A178)="Finalized",$K178&lt;&gt;""),"",IF($C178="","",$C178+90-TODAY()))</f>
        <v>-30</v>
      </c>
      <c r="O178" s="9">
        <f>IF(AND(TRIM($A178)="Finalized",$K178&lt;&gt;""),"",DATE(2026,9,11))</f>
        <v>46276</v>
      </c>
      <c r="P178" s="8" t="s">
        <v>208</v>
      </c>
      <c r="Q178" s="8" t="s">
        <v>224</v>
      </c>
      <c r="R178" s="8" t="s">
        <v>73</v>
      </c>
      <c r="S178" s="8" t="s">
        <v>74</v>
      </c>
      <c r="T178" s="8" t="s">
        <v>86</v>
      </c>
      <c r="U178" s="8" t="s">
        <v>74</v>
      </c>
      <c r="V178" s="8" t="s">
        <v>365</v>
      </c>
      <c r="W178" s="8" t="s">
        <v>76</v>
      </c>
      <c r="X178" s="8"/>
      <c r="Y178" s="8"/>
      <c r="Z178" s="8"/>
      <c r="AA178" s="8" t="s">
        <v>77</v>
      </c>
      <c r="AB178" s="10">
        <v>8277.57</v>
      </c>
      <c r="AC178" s="10">
        <v>0</v>
      </c>
      <c r="AD178" s="10">
        <v>0</v>
      </c>
      <c r="AE178" s="9">
        <v>46184</v>
      </c>
      <c r="AF178" s="10">
        <v>8277.57</v>
      </c>
      <c r="AG178" s="7">
        <v>86</v>
      </c>
      <c r="AH178" s="8" t="s">
        <v>78</v>
      </c>
      <c r="AI178" s="8" t="s">
        <v>625</v>
      </c>
      <c r="AJ178" s="8"/>
      <c r="AK178" s="8"/>
      <c r="AL178" s="7"/>
      <c r="AM178" s="8" t="s">
        <v>217</v>
      </c>
      <c r="AN178" s="8" t="s">
        <v>109</v>
      </c>
      <c r="AO178" s="9">
        <v>46161</v>
      </c>
    </row>
    <row r="179" spans="1:41" x14ac:dyDescent="0.25">
      <c r="A179" s="5" t="str">
        <f>IFERROR(IF(INDEX([6]BH!$A$2:$A$82,MATCH($D179,[6]BH!$D$2:$D$82,0))="","",INDEX([6]BH!$A$2:$A$82,MATCH($D179,[6]BH!$D$2:$D$82,0))),"")</f>
        <v>Pending</v>
      </c>
      <c r="B179" s="5" t="str">
        <f>IFERROR(IF(INDEX([6]BH!$B$2:$B$82,MATCH($D179,[6]BH!$D$2:$D$82,0))="","",INDEX([6]BH!$B$2:$B$82,MATCH($D179,[6]BH!$D$2:$D$82,0))),"")</f>
        <v xml:space="preserve">Jess uploaded MR </v>
      </c>
      <c r="C179" s="6" t="str">
        <f>IFERROR(IF(INDEX([6]BH!$C$2:$C$82,MATCH($D179,[6]BH!$D$2:$D$82,0))="","",INDEX([6]BH!$C$2:$C$82,MATCH($D179,[6]BH!$D$2:$D$82,0))),"")</f>
        <v/>
      </c>
      <c r="D179" s="7">
        <v>562534504</v>
      </c>
      <c r="E179" s="8" t="s">
        <v>631</v>
      </c>
      <c r="F179" s="9">
        <v>46189</v>
      </c>
      <c r="G179" s="8" t="s">
        <v>237</v>
      </c>
      <c r="H179" s="8" t="s">
        <v>237</v>
      </c>
      <c r="I179" s="8" t="s">
        <v>69</v>
      </c>
      <c r="J179" s="8" t="s">
        <v>195</v>
      </c>
      <c r="K179" s="6">
        <f>IFERROR(IF(INDEX([6]BH!$K$2:$K$82,MATCH($D179,[6]BH!$D$2:$D$82,0))="","",INDEX([6]BH!$K$2:$K$82,MATCH($D179,[6]BH!$D$2:$D$82,0))),"")</f>
        <v>46279</v>
      </c>
      <c r="L179" s="11">
        <f ca="1">IF($O179="","",$O179-TODAY())</f>
        <v>-25</v>
      </c>
      <c r="M179" s="11" t="str">
        <f ca="1">IF(AND(TRIM($A179)="Finalized",$K179&lt;&gt;""),"",IF($C179="","",$C179+180-TODAY()))</f>
        <v/>
      </c>
      <c r="N179" s="11" t="str">
        <f ca="1">IF(AND(TRIM($A179)="Finalized",$K179&lt;&gt;""),"",IF($C179="","",$C179+365-TODAY()))</f>
        <v/>
      </c>
      <c r="O179" s="9">
        <f>IF(AND(TRIM($A179)="Finalized",$K179&lt;&gt;""),"",DATE(2026,9,14))</f>
        <v>46279</v>
      </c>
      <c r="P179" s="8" t="s">
        <v>86</v>
      </c>
      <c r="Q179" s="8" t="s">
        <v>239</v>
      </c>
      <c r="R179" s="8" t="s">
        <v>117</v>
      </c>
      <c r="S179" s="8" t="s">
        <v>74</v>
      </c>
      <c r="T179" s="8" t="s">
        <v>73</v>
      </c>
      <c r="U179" s="8" t="s">
        <v>74</v>
      </c>
      <c r="V179" s="8" t="s">
        <v>455</v>
      </c>
      <c r="W179" s="8" t="s">
        <v>118</v>
      </c>
      <c r="X179" s="8"/>
      <c r="Y179" s="8"/>
      <c r="Z179" s="8"/>
      <c r="AA179" s="8" t="s">
        <v>77</v>
      </c>
      <c r="AB179" s="10">
        <v>1426.25</v>
      </c>
      <c r="AC179" s="10">
        <v>0</v>
      </c>
      <c r="AD179" s="10">
        <v>0</v>
      </c>
      <c r="AE179" s="9"/>
      <c r="AF179" s="10">
        <v>1426.25</v>
      </c>
      <c r="AG179" s="7">
        <v>53</v>
      </c>
      <c r="AH179" s="8" t="s">
        <v>119</v>
      </c>
      <c r="AI179" s="8"/>
      <c r="AJ179" s="8"/>
      <c r="AK179" s="8"/>
      <c r="AL179" s="7"/>
      <c r="AM179" s="8" t="s">
        <v>399</v>
      </c>
      <c r="AN179" s="8" t="s">
        <v>632</v>
      </c>
      <c r="AO179" s="9">
        <v>46274</v>
      </c>
    </row>
    <row r="180" spans="1:41" x14ac:dyDescent="0.25">
      <c r="A180" s="5" t="str">
        <f>IFERROR(IF(INDEX([6]BH!$A$2:$A$82,MATCH($D180,[6]BH!$D$2:$D$82,0))="","",INDEX([6]BH!$A$2:$A$82,MATCH($D180,[6]BH!$D$2:$D$82,0))),"")</f>
        <v>Under Review</v>
      </c>
      <c r="B180" s="5" t="str">
        <f>IFERROR(IF(INDEX([6]BH!$B$2:$B$82,MATCH($D180,[6]BH!$D$2:$D$82,0))="","",INDEX([6]BH!$B$2:$B$82,MATCH($D180,[6]BH!$D$2:$D$82,0))),"")</f>
        <v xml:space="preserve">Start chat on UHC portal to check the rendering provider status </v>
      </c>
      <c r="C180" s="6">
        <f>IFERROR(IF(INDEX([6]BH!$C$2:$C$82,MATCH($D180,[6]BH!$D$2:$D$82,0))="","",INDEX([6]BH!$C$2:$C$82,MATCH($D180,[6]BH!$D$2:$D$82,0))),"")</f>
        <v>46240</v>
      </c>
      <c r="D180" s="7">
        <v>562510277</v>
      </c>
      <c r="E180" s="8" t="s">
        <v>633</v>
      </c>
      <c r="F180" s="9">
        <v>46189</v>
      </c>
      <c r="G180" s="8" t="s">
        <v>148</v>
      </c>
      <c r="H180" s="8" t="s">
        <v>148</v>
      </c>
      <c r="I180" s="8" t="s">
        <v>69</v>
      </c>
      <c r="J180" s="8" t="s">
        <v>634</v>
      </c>
      <c r="K180" s="6" t="str">
        <f>IFERROR(IF(INDEX([6]BH!$K$2:$K$82,MATCH($D180,[6]BH!$D$2:$D$82,0))="","",INDEX([6]BH!$K$2:$K$82,MATCH($D180,[6]BH!$D$2:$D$82,0))),"")</f>
        <v/>
      </c>
      <c r="L180" s="11">
        <f ca="1">IF($O180="","",$O180-TODAY())</f>
        <v>-25</v>
      </c>
      <c r="M180" s="11">
        <f ca="1">IF(AND(TRIM($A180)="Finalized",$K180&lt;&gt;""),"",IF($C180="","",$C180+180-TODAY()))</f>
        <v>116</v>
      </c>
      <c r="N180" s="11">
        <f ca="1">IF(AND(TRIM($A180)="Finalized",$K180&lt;&gt;""),"",IF($C180="","",$C180+365-TODAY()))</f>
        <v>301</v>
      </c>
      <c r="O180" s="9">
        <f>IF(AND(TRIM($A180)="Finalized",$K180&lt;&gt;""),"",DATE(2026,9,14))</f>
        <v>46279</v>
      </c>
      <c r="P180" s="8" t="s">
        <v>86</v>
      </c>
      <c r="Q180" s="8" t="s">
        <v>152</v>
      </c>
      <c r="R180" s="8" t="s">
        <v>117</v>
      </c>
      <c r="S180" s="8" t="s">
        <v>74</v>
      </c>
      <c r="T180" s="8" t="s">
        <v>73</v>
      </c>
      <c r="U180" s="8" t="s">
        <v>74</v>
      </c>
      <c r="V180" s="8" t="s">
        <v>455</v>
      </c>
      <c r="W180" s="8" t="s">
        <v>118</v>
      </c>
      <c r="X180" s="8"/>
      <c r="Y180" s="8"/>
      <c r="Z180" s="8"/>
      <c r="AA180" s="8" t="s">
        <v>77</v>
      </c>
      <c r="AB180" s="10">
        <v>294.42</v>
      </c>
      <c r="AC180" s="10">
        <v>0</v>
      </c>
      <c r="AD180" s="10">
        <v>0</v>
      </c>
      <c r="AE180" s="9"/>
      <c r="AF180" s="10">
        <v>294.42</v>
      </c>
      <c r="AG180" s="7">
        <v>53</v>
      </c>
      <c r="AH180" s="8" t="s">
        <v>320</v>
      </c>
      <c r="AI180" s="8" t="s">
        <v>635</v>
      </c>
      <c r="AJ180" s="8"/>
      <c r="AK180" s="8"/>
      <c r="AL180" s="7"/>
      <c r="AM180" s="8" t="s">
        <v>636</v>
      </c>
      <c r="AN180" s="8" t="s">
        <v>637</v>
      </c>
      <c r="AO180" s="9">
        <v>46233</v>
      </c>
    </row>
    <row r="181" spans="1:41" x14ac:dyDescent="0.25">
      <c r="A181" s="5" t="str">
        <f>IFERROR(IF(INDEX([6]DME!$A$2:$A$51,MATCH($D181,[6]DME!$D$2:$D$51,0))="","",INDEX([6]DME!$A$2:$A$51,MATCH($D181,[6]DME!$D$2:$D$51,0))),"")</f>
        <v>Under Review</v>
      </c>
      <c r="B181" s="5" t="str">
        <f>IFERROR(IF(INDEX([6]DME!$B$2:$B$51,MATCH($D181,[6]DME!$D$2:$D$51,0))="","",INDEX([6]DME!$B$2:$B$51,MATCH($D181,[6]DME!$D$2:$D$51,0))),"")</f>
        <v>call ins and check provider status on dos - DND rendering provider OON</v>
      </c>
      <c r="C181" s="6">
        <f>IFERROR(IF(INDEX([6]DME!$C$2:$C$51,MATCH($D181,[6]DME!$D$2:$D$51,0))="","",INDEX([6]DME!$C$2:$C$51,MATCH($D181,[6]DME!$D$2:$D$51,0))),"")</f>
        <v>46225</v>
      </c>
      <c r="D181" s="7">
        <v>562710031</v>
      </c>
      <c r="E181" s="8" t="s">
        <v>639</v>
      </c>
      <c r="F181" s="9">
        <v>46190</v>
      </c>
      <c r="G181" s="8" t="s">
        <v>174</v>
      </c>
      <c r="H181" s="8" t="s">
        <v>174</v>
      </c>
      <c r="I181" s="8" t="s">
        <v>69</v>
      </c>
      <c r="J181" s="8" t="s">
        <v>231</v>
      </c>
      <c r="K181" s="6" t="str">
        <f>IFERROR(IF(INDEX([6]DME!$K$2:$K$51,MATCH($D181,[6]DME!$D$2:$D$51,0))="","",INDEX([6]DME!$K$2:$K$51,MATCH($D181,[6]DME!$D$2:$D$51,0))),"")</f>
        <v/>
      </c>
      <c r="L181" s="11">
        <f ca="1">IF($O181="","",$O181-TODAY())</f>
        <v>-24</v>
      </c>
      <c r="M181" s="11">
        <f ca="1">IF(AND(TRIM($A181)="Finalized",$K181&lt;&gt;""),"",IF($F181="","",$F181+90-TODAY()))</f>
        <v>-24</v>
      </c>
      <c r="N181" s="11">
        <f ca="1">IF(AND(TRIM($A181)="Finalized",$K181&lt;&gt;""),"",IF($C181="","",$C181+180-TODAY()))</f>
        <v>101</v>
      </c>
      <c r="O181" s="9">
        <f>IF(AND(TRIM($A181)="Finalized",$K181&lt;&gt;""),"",DATE(2026,9,15))</f>
        <v>46280</v>
      </c>
      <c r="P181" s="8" t="s">
        <v>86</v>
      </c>
      <c r="Q181" s="8" t="s">
        <v>144</v>
      </c>
      <c r="R181" s="8" t="s">
        <v>86</v>
      </c>
      <c r="S181" s="8" t="s">
        <v>88</v>
      </c>
      <c r="T181" s="8" t="s">
        <v>117</v>
      </c>
      <c r="U181" s="8" t="s">
        <v>74</v>
      </c>
      <c r="V181" s="8" t="s">
        <v>455</v>
      </c>
      <c r="W181" s="8" t="s">
        <v>89</v>
      </c>
      <c r="X181" s="8" t="s">
        <v>232</v>
      </c>
      <c r="Y181" s="8"/>
      <c r="Z181" s="8"/>
      <c r="AA181" s="8" t="s">
        <v>77</v>
      </c>
      <c r="AB181" s="10">
        <v>5492.55</v>
      </c>
      <c r="AC181" s="10">
        <v>0</v>
      </c>
      <c r="AD181" s="10">
        <v>0</v>
      </c>
      <c r="AE181" s="9">
        <v>46225</v>
      </c>
      <c r="AF181" s="10">
        <v>5492.55</v>
      </c>
      <c r="AG181" s="7">
        <v>52</v>
      </c>
      <c r="AH181" s="8" t="s">
        <v>182</v>
      </c>
      <c r="AI181" s="8" t="s">
        <v>318</v>
      </c>
      <c r="AJ181" s="8"/>
      <c r="AK181" s="8"/>
      <c r="AL181" s="7"/>
      <c r="AM181" s="8" t="s">
        <v>383</v>
      </c>
      <c r="AN181" s="8" t="s">
        <v>191</v>
      </c>
      <c r="AO181" s="9">
        <v>46191</v>
      </c>
    </row>
    <row r="182" spans="1:41" x14ac:dyDescent="0.25">
      <c r="A182" s="5" t="str">
        <f>IFERROR(IF(INDEX([5]DME!$A$2:$A$35,MATCH($D182,[5]DME!$D$2:$D$35,0))="","",INDEX([5]DME!$A$2:$A$35,MATCH($D182,[5]DME!$D$2:$D$35,0))),"")</f>
        <v>Not found</v>
      </c>
      <c r="B182" s="5" t="str">
        <f>IFERROR(IF(INDEX([5]DME!$B$2:$B$35,MATCH($D182,[5]DME!$D$2:$D$35,0))="","",INDEX([5]DME!$B$2:$B$35,MATCH($D182,[5]DME!$D$2:$D$35,0))),"")</f>
        <v xml:space="preserve">Claim not found - Resubmitted - Asked April to print </v>
      </c>
      <c r="C182" s="6">
        <f>IFERROR(IF(INDEX([5]DME!$C$2:$C$35,MATCH($D182,[5]DME!$D$2:$D$35,0))="","",INDEX([5]DME!$C$2:$C$35,MATCH($D182,[5]DME!$D$2:$D$35,0))),"")</f>
        <v>46184</v>
      </c>
      <c r="D182" s="7">
        <v>559750877</v>
      </c>
      <c r="E182" s="8" t="s">
        <v>623</v>
      </c>
      <c r="F182" s="9">
        <v>46161</v>
      </c>
      <c r="G182" s="8" t="s">
        <v>222</v>
      </c>
      <c r="H182" s="8" t="s">
        <v>222</v>
      </c>
      <c r="I182" s="8" t="s">
        <v>69</v>
      </c>
      <c r="J182" s="8" t="s">
        <v>85</v>
      </c>
      <c r="K182" s="6">
        <f>IFERROR(IF(INDEX([5]DME!$K$2:$K$35,MATCH($D182,[5]DME!$D$2:$D$35,0))="","",INDEX([5]DME!$K$2:$K$35,MATCH($D182,[5]DME!$D$2:$D$35,0))),"")</f>
        <v>46252</v>
      </c>
      <c r="L182" s="11">
        <f ca="1">IF($O182="","",$O182-TODAY())</f>
        <v>-23</v>
      </c>
      <c r="M182" s="11">
        <f ca="1">IF(AND(TRIM($A182)="Finalized",$K182&lt;&gt;""),"",IF($C182="","",$C182+365-TODAY()))</f>
        <v>245</v>
      </c>
      <c r="N182" s="11">
        <f ca="1">IF(AND(TRIM($A182)="Finalized",$K182&lt;&gt;""),"",IF($C182="","",$C182+90-TODAY()))</f>
        <v>-30</v>
      </c>
      <c r="O182" s="9">
        <f>IF(AND(TRIM($A182)="Finalized",$K182&lt;&gt;""),"",DATE(2026,9,16))</f>
        <v>46281</v>
      </c>
      <c r="P182" s="8" t="s">
        <v>208</v>
      </c>
      <c r="Q182" s="8" t="s">
        <v>224</v>
      </c>
      <c r="R182" s="8" t="s">
        <v>73</v>
      </c>
      <c r="S182" s="8" t="s">
        <v>74</v>
      </c>
      <c r="T182" s="8" t="s">
        <v>86</v>
      </c>
      <c r="U182" s="8" t="s">
        <v>74</v>
      </c>
      <c r="V182" s="8" t="s">
        <v>365</v>
      </c>
      <c r="W182" s="8" t="s">
        <v>89</v>
      </c>
      <c r="X182" s="8" t="s">
        <v>90</v>
      </c>
      <c r="Y182" s="8"/>
      <c r="Z182" s="8"/>
      <c r="AA182" s="8" t="s">
        <v>91</v>
      </c>
      <c r="AB182" s="10">
        <v>36353.800000000003</v>
      </c>
      <c r="AC182" s="10">
        <v>0</v>
      </c>
      <c r="AD182" s="10">
        <v>0</v>
      </c>
      <c r="AE182" s="9">
        <v>46184</v>
      </c>
      <c r="AF182" s="10">
        <v>36353.800000000003</v>
      </c>
      <c r="AG182" s="7">
        <v>81</v>
      </c>
      <c r="AH182" s="8" t="s">
        <v>92</v>
      </c>
      <c r="AI182" s="8" t="s">
        <v>78</v>
      </c>
      <c r="AJ182" s="8"/>
      <c r="AK182" s="8"/>
      <c r="AL182" s="7"/>
      <c r="AM182" s="8" t="s">
        <v>217</v>
      </c>
      <c r="AN182" s="8" t="s">
        <v>384</v>
      </c>
      <c r="AO182" s="9">
        <v>46162</v>
      </c>
    </row>
    <row r="183" spans="1:41" x14ac:dyDescent="0.25">
      <c r="A183" s="5" t="str">
        <f>IFERROR(IF(INDEX([6]DME!$A$2:$A$51,MATCH($D183,[6]DME!$D$2:$D$51,0))="","",INDEX([6]DME!$A$2:$A$51,MATCH($D183,[6]DME!$D$2:$D$51,0))),"")</f>
        <v>Denied</v>
      </c>
      <c r="B183" s="5" t="str">
        <f>IFERROR(IF(INDEX([6]DME!$B$2:$B$51,MATCH($D183,[6]DME!$D$2:$D$51,0))="","",INDEX([6]DME!$B$2:$B$51,MATCH($D183,[6]DME!$D$2:$D$51,0))),"")</f>
        <v>Shifted charges to PT - ABN signed - Non-coverage - Policy Number: MP.009.35</v>
      </c>
      <c r="C183" s="6">
        <f>IFERROR(IF(INDEX([6]DME!$C$2:$C$51,MATCH($D183,[6]DME!$D$2:$D$51,0))="","",INDEX([6]DME!$C$2:$C$51,MATCH($D183,[6]DME!$D$2:$D$51,0))),"")</f>
        <v>46217</v>
      </c>
      <c r="D183" s="7">
        <v>563172458</v>
      </c>
      <c r="E183" s="8" t="s">
        <v>411</v>
      </c>
      <c r="F183" s="9">
        <v>46191</v>
      </c>
      <c r="G183" s="8" t="s">
        <v>114</v>
      </c>
      <c r="H183" s="8" t="s">
        <v>114</v>
      </c>
      <c r="I183" s="8" t="s">
        <v>69</v>
      </c>
      <c r="J183" s="8" t="s">
        <v>640</v>
      </c>
      <c r="K183" s="6">
        <f>IFERROR(IF(INDEX([6]DME!$K$2:$K$51,MATCH($D183,[6]DME!$D$2:$D$51,0))="","",INDEX([6]DME!$K$2:$K$51,MATCH($D183,[6]DME!$D$2:$D$51,0))),"")</f>
        <v>46262</v>
      </c>
      <c r="L183" s="11">
        <f ca="1">IF($O183="","",$O183-TODAY())</f>
        <v>-23</v>
      </c>
      <c r="M183" s="11">
        <f ca="1">IF(AND(TRIM($A183)="Finalized",$K183&lt;&gt;""),"",IF($C183="","",$C183+180-TODAY()))</f>
        <v>93</v>
      </c>
      <c r="N183" s="11">
        <f ca="1">IF(AND(TRIM($A183)="Finalized",$K183&lt;&gt;""),"",IF($C183="","",$C183+365-TODAY()))</f>
        <v>278</v>
      </c>
      <c r="O183" s="9">
        <f>IF(AND(TRIM($A183)="Finalized",$K183&lt;&gt;""),"",DATE(2026,9,16))</f>
        <v>46281</v>
      </c>
      <c r="P183" s="8" t="s">
        <v>86</v>
      </c>
      <c r="Q183" s="8" t="s">
        <v>116</v>
      </c>
      <c r="R183" s="8" t="s">
        <v>117</v>
      </c>
      <c r="S183" s="8" t="s">
        <v>74</v>
      </c>
      <c r="T183" s="8" t="s">
        <v>73</v>
      </c>
      <c r="U183" s="8" t="s">
        <v>74</v>
      </c>
      <c r="V183" s="8" t="s">
        <v>455</v>
      </c>
      <c r="W183" s="8" t="s">
        <v>89</v>
      </c>
      <c r="X183" s="8" t="s">
        <v>244</v>
      </c>
      <c r="Y183" s="8"/>
      <c r="Z183" s="8"/>
      <c r="AA183" s="8" t="s">
        <v>190</v>
      </c>
      <c r="AB183" s="10">
        <v>2958.2</v>
      </c>
      <c r="AC183" s="10">
        <v>0</v>
      </c>
      <c r="AD183" s="10">
        <v>0</v>
      </c>
      <c r="AE183" s="9"/>
      <c r="AF183" s="10">
        <v>2958.2</v>
      </c>
      <c r="AG183" s="7">
        <v>51</v>
      </c>
      <c r="AH183" s="8" t="s">
        <v>92</v>
      </c>
      <c r="AI183" s="8"/>
      <c r="AJ183" s="8"/>
      <c r="AK183" s="8"/>
      <c r="AL183" s="7"/>
      <c r="AM183" s="8" t="s">
        <v>399</v>
      </c>
      <c r="AN183" s="8" t="s">
        <v>132</v>
      </c>
      <c r="AO183" s="9">
        <v>46196</v>
      </c>
    </row>
    <row r="184" spans="1:41" x14ac:dyDescent="0.25">
      <c r="A184" s="5" t="str">
        <f>IFERROR(IF(INDEX([3]BH!$A$2:$A$32,MATCH($D184,[3]BH!$D$2:$D$32,0))="","",INDEX([3]BH!$A$2:$A$32,MATCH($D184,[3]BH!$D$2:$D$32,0))),"")</f>
        <v>Denied</v>
      </c>
      <c r="B184" s="5" t="str">
        <f>IFERROR(IF(INDEX([3]BH!$B$2:$B$32,MATCH($D184,[3]BH!$D$2:$D$32,0))="","",INDEX([3]BH!$B$2:$B$32,MATCH($D184,[3]BH!$D$2:$D$32,0))),"")</f>
        <v>Expected to denied as it's not covered - Resubmitted to BCBS AZ - Group corrected to MAY001 for BCBSAZ (53589) per BCBSAZ portal. A0021 is Medica-side group only</v>
      </c>
      <c r="C184" s="6">
        <f>IFERROR(IF(INDEX([3]BH!$C$2:$C$32,MATCH($D184,[3]BH!$D$2:$D$32,0))="","",INDEX([3]BH!$C$2:$C$32,MATCH($D184,[3]BH!$D$2:$D$32,0))),"")</f>
        <v>46129</v>
      </c>
      <c r="D184" s="7">
        <v>553329086</v>
      </c>
      <c r="E184" s="8" t="s">
        <v>413</v>
      </c>
      <c r="F184" s="9">
        <v>46101</v>
      </c>
      <c r="G184" s="8" t="s">
        <v>414</v>
      </c>
      <c r="H184" s="8" t="s">
        <v>414</v>
      </c>
      <c r="I184" s="8" t="s">
        <v>69</v>
      </c>
      <c r="J184" s="8" t="s">
        <v>203</v>
      </c>
      <c r="K184" s="6">
        <f>IFERROR(IF(INDEX([3]BH!$K$2:$K$32,MATCH($D184,[3]BH!$D$2:$D$32,0))="","",INDEX([3]BH!$K$2:$K$32,MATCH($D184,[3]BH!$D$2:$D$32,0))),"")</f>
        <v>46266</v>
      </c>
      <c r="L184" s="11">
        <f ca="1">IF($O184="","",$O184-TODAY())</f>
        <v>-23</v>
      </c>
      <c r="M184" s="11">
        <f ca="1">IF(AND(TRIM($A184)="Finalized",$K184&lt;&gt;""),"",IF($C184="","",$C184+365-TODAY()))</f>
        <v>190</v>
      </c>
      <c r="N184" s="11">
        <f ca="1">IF(AND(TRIM($A184)="Finalized",$K184&lt;&gt;""),"",IF($C184="","",$C184+365-TODAY()))</f>
        <v>190</v>
      </c>
      <c r="O184" s="9">
        <f>IF(AND(TRIM($A184)="Finalized",$K184&lt;&gt;""),"",DATE(2026,9,16))</f>
        <v>46281</v>
      </c>
      <c r="P184" s="8" t="s">
        <v>117</v>
      </c>
      <c r="Q184" s="8" t="s">
        <v>415</v>
      </c>
      <c r="R184" s="8" t="s">
        <v>73</v>
      </c>
      <c r="S184" s="8" t="s">
        <v>74</v>
      </c>
      <c r="T184" s="8" t="s">
        <v>73</v>
      </c>
      <c r="U184" s="8" t="s">
        <v>74</v>
      </c>
      <c r="V184" s="8" t="s">
        <v>256</v>
      </c>
      <c r="W184" s="8" t="s">
        <v>118</v>
      </c>
      <c r="X184" s="8"/>
      <c r="Y184" s="8"/>
      <c r="Z184" s="8"/>
      <c r="AA184" s="8" t="s">
        <v>77</v>
      </c>
      <c r="AB184" s="10">
        <v>1372.91</v>
      </c>
      <c r="AC184" s="10">
        <v>0</v>
      </c>
      <c r="AD184" s="10">
        <v>0</v>
      </c>
      <c r="AE184" s="9">
        <v>46129</v>
      </c>
      <c r="AF184" s="10">
        <v>1372.91</v>
      </c>
      <c r="AG184" s="7">
        <v>141</v>
      </c>
      <c r="AH184" s="8" t="s">
        <v>179</v>
      </c>
      <c r="AI184" s="8"/>
      <c r="AJ184" s="8"/>
      <c r="AK184" s="8"/>
      <c r="AL184" s="7"/>
      <c r="AM184" s="8" t="s">
        <v>120</v>
      </c>
      <c r="AN184" s="8" t="s">
        <v>158</v>
      </c>
      <c r="AO184" s="9">
        <v>46119</v>
      </c>
    </row>
    <row r="185" spans="1:41" x14ac:dyDescent="0.25">
      <c r="A185" s="5" t="str">
        <f>IFERROR(IF(INDEX([6]BH!$A$2:$A$82,MATCH($D185,[6]BH!$D$2:$D$82,0))="","",INDEX([6]BH!$A$2:$A$82,MATCH($D185,[6]BH!$D$2:$D$82,0))),"")</f>
        <v>Pending</v>
      </c>
      <c r="B185" s="5" t="str">
        <f>IFERROR(IF(INDEX([6]BH!$B$2:$B$82,MATCH($D185,[6]BH!$D$2:$D$82,0))="","",INDEX([6]BH!$B$2:$B$82,MATCH($D185,[6]BH!$D$2:$D$82,0))),"")</f>
        <v>Uploaded MR - Action required on portal - PIQ-90437788</v>
      </c>
      <c r="C185" s="6" t="str">
        <f>IFERROR(IF(INDEX([6]BH!$C$2:$C$82,MATCH($D185,[6]BH!$D$2:$D$82,0))="","",INDEX([6]BH!$C$2:$C$82,MATCH($D185,[6]BH!$D$2:$D$82,0))),"")</f>
        <v/>
      </c>
      <c r="D185" s="7">
        <v>562803289</v>
      </c>
      <c r="E185" s="8" t="s">
        <v>641</v>
      </c>
      <c r="F185" s="9">
        <v>46191</v>
      </c>
      <c r="G185" s="8" t="s">
        <v>114</v>
      </c>
      <c r="H185" s="8" t="s">
        <v>114</v>
      </c>
      <c r="I185" s="8" t="s">
        <v>69</v>
      </c>
      <c r="J185" s="8" t="s">
        <v>124</v>
      </c>
      <c r="K185" s="6">
        <f>IFERROR(IF(INDEX([6]BH!$K$2:$K$82,MATCH($D185,[6]BH!$D$2:$D$82,0))="","",INDEX([6]BH!$K$2:$K$82,MATCH($D185,[6]BH!$D$2:$D$82,0))),"")</f>
        <v>46272</v>
      </c>
      <c r="L185" s="11">
        <f ca="1">IF($O185="","",$O185-TODAY())</f>
        <v>-23</v>
      </c>
      <c r="M185" s="11" t="str">
        <f ca="1">IF(AND(TRIM($A185)="Finalized",$K185&lt;&gt;""),"",IF($C185="","",$C185+180-TODAY()))</f>
        <v/>
      </c>
      <c r="N185" s="11" t="str">
        <f ca="1">IF(AND(TRIM($A185)="Finalized",$K185&lt;&gt;""),"",IF($C185="","",$C185+365-TODAY()))</f>
        <v/>
      </c>
      <c r="O185" s="9">
        <f>IF(AND(TRIM($A185)="Finalized",$K185&lt;&gt;""),"",DATE(2026,9,16))</f>
        <v>46281</v>
      </c>
      <c r="P185" s="8" t="s">
        <v>86</v>
      </c>
      <c r="Q185" s="8" t="s">
        <v>116</v>
      </c>
      <c r="R185" s="8" t="s">
        <v>117</v>
      </c>
      <c r="S185" s="8" t="s">
        <v>74</v>
      </c>
      <c r="T185" s="8" t="s">
        <v>73</v>
      </c>
      <c r="U185" s="8" t="s">
        <v>74</v>
      </c>
      <c r="V185" s="8" t="s">
        <v>455</v>
      </c>
      <c r="W185" s="8" t="s">
        <v>118</v>
      </c>
      <c r="X185" s="8"/>
      <c r="Y185" s="8"/>
      <c r="Z185" s="8"/>
      <c r="AA185" s="8" t="s">
        <v>77</v>
      </c>
      <c r="AB185" s="10">
        <v>1426.25</v>
      </c>
      <c r="AC185" s="10">
        <v>0</v>
      </c>
      <c r="AD185" s="10">
        <v>0</v>
      </c>
      <c r="AE185" s="9"/>
      <c r="AF185" s="10">
        <v>1426.25</v>
      </c>
      <c r="AG185" s="7">
        <v>51</v>
      </c>
      <c r="AH185" s="8" t="s">
        <v>119</v>
      </c>
      <c r="AI185" s="8"/>
      <c r="AJ185" s="8"/>
      <c r="AK185" s="8"/>
      <c r="AL185" s="7"/>
      <c r="AM185" s="8" t="s">
        <v>217</v>
      </c>
      <c r="AN185" s="8" t="s">
        <v>632</v>
      </c>
      <c r="AO185" s="9">
        <v>46217</v>
      </c>
    </row>
    <row r="186" spans="1:41" x14ac:dyDescent="0.25">
      <c r="A186" s="5" t="str">
        <f>IFERROR(IF(INDEX([6]ORTHO!$A$2:$A$39,MATCH($D186,[6]ORTHO!$D$2:$D$39,0))="","",INDEX([6]ORTHO!$A$2:$A$39,MATCH($D186,[6]ORTHO!$D$2:$D$39,0))),"")</f>
        <v>Pending</v>
      </c>
      <c r="B186" s="5" t="str">
        <f>IFERROR(IF(INDEX([6]ORTHO!$B$2:$B$39,MATCH($D186,[6]ORTHO!$D$2:$D$39,0))="","",INDEX([6]ORTHO!$B$2:$B$39,MATCH($D186,[6]ORTHO!$D$2:$D$39,0))),"")</f>
        <v>Line with 20930 removed, and resubmitted</v>
      </c>
      <c r="C186" s="6" t="str">
        <f>IFERROR(IF(INDEX([6]ORTHO!$C$2:$C$39,MATCH($D186,[6]ORTHO!$D$2:$D$39,0))="","",INDEX([6]ORTHO!$C$2:$C$39,MATCH($D186,[6]ORTHO!$D$2:$D$39,0))),"")</f>
        <v/>
      </c>
      <c r="D186" s="7">
        <v>571013418</v>
      </c>
      <c r="E186" s="8" t="s">
        <v>642</v>
      </c>
      <c r="F186" s="9">
        <v>46191</v>
      </c>
      <c r="G186" s="8" t="s">
        <v>114</v>
      </c>
      <c r="H186" s="8" t="s">
        <v>114</v>
      </c>
      <c r="I186" s="8" t="s">
        <v>69</v>
      </c>
      <c r="J186" s="8" t="s">
        <v>643</v>
      </c>
      <c r="K186" s="6">
        <f>IFERROR(IF(INDEX([6]ORTHO!$K$2:$K$39,MATCH($D186,[6]ORTHO!$D$2:$D$39,0))="","",INDEX([6]ORTHO!$K$2:$K$39,MATCH($D186,[6]ORTHO!$D$2:$D$39,0))),"")</f>
        <v>46272</v>
      </c>
      <c r="L186" s="11">
        <f ca="1">IF($O186="","",$O186-TODAY())</f>
        <v>-23</v>
      </c>
      <c r="M186" s="11" t="str">
        <f ca="1">IF(AND(TRIM($A186)="Finalized",$K186&lt;&gt;""),"",IF($C186="","",$C186+180-TODAY()))</f>
        <v/>
      </c>
      <c r="N186" s="11" t="str">
        <f ca="1">IF(AND(TRIM($A186)="Finalized",$K186&lt;&gt;""),"",IF($C186="","",$C186+365-TODAY()))</f>
        <v/>
      </c>
      <c r="O186" s="9">
        <f>IF(AND(TRIM($A186)="Finalized",$K186&lt;&gt;""),"",DATE(2026,9,16))</f>
        <v>46281</v>
      </c>
      <c r="P186" s="8" t="s">
        <v>86</v>
      </c>
      <c r="Q186" s="8" t="s">
        <v>116</v>
      </c>
      <c r="R186" s="8" t="s">
        <v>117</v>
      </c>
      <c r="S186" s="8" t="s">
        <v>74</v>
      </c>
      <c r="T186" s="8" t="s">
        <v>73</v>
      </c>
      <c r="U186" s="8" t="s">
        <v>74</v>
      </c>
      <c r="V186" s="8" t="s">
        <v>455</v>
      </c>
      <c r="W186" s="8" t="s">
        <v>76</v>
      </c>
      <c r="X186" s="8" t="s">
        <v>102</v>
      </c>
      <c r="Y186" s="8"/>
      <c r="Z186" s="8"/>
      <c r="AA186" s="8" t="s">
        <v>77</v>
      </c>
      <c r="AB186" s="10">
        <v>15769.79</v>
      </c>
      <c r="AC186" s="10">
        <v>0</v>
      </c>
      <c r="AD186" s="10">
        <v>0</v>
      </c>
      <c r="AE186" s="9"/>
      <c r="AF186" s="10">
        <v>15769.79</v>
      </c>
      <c r="AG186" s="7">
        <v>51</v>
      </c>
      <c r="AH186" s="8" t="s">
        <v>308</v>
      </c>
      <c r="AI186" s="8" t="s">
        <v>644</v>
      </c>
      <c r="AJ186" s="8" t="s">
        <v>645</v>
      </c>
      <c r="AK186" s="8"/>
      <c r="AL186" s="7"/>
      <c r="AM186" s="8" t="s">
        <v>217</v>
      </c>
      <c r="AN186" s="8" t="s">
        <v>109</v>
      </c>
      <c r="AO186" s="9">
        <v>46210</v>
      </c>
    </row>
    <row r="187" spans="1:41" x14ac:dyDescent="0.25">
      <c r="A187" s="5" t="str">
        <f>IFERROR(IF(INDEX([6]GAE!$A$2:$A$23,MATCH($D187,[6]GAE!$D$2:$D$23,0))="","",INDEX([6]GAE!$A$2:$A$23,MATCH($D187,[6]GAE!$D$2:$D$23,0))),"")</f>
        <v>Denied</v>
      </c>
      <c r="B187" s="5" t="str">
        <f>IFERROR(IF(INDEX([6]GAE!$B$2:$B$23,MATCH($D187,[6]GAE!$D$2:$D$23,0))="","",INDEX([6]GAE!$B$2:$B$23,MATCH($D187,[6]GAE!$D$2:$D$23,0))),"")</f>
        <v>Uploaded MR - PIQ-91109634</v>
      </c>
      <c r="C187" s="6">
        <f>IFERROR(IF(INDEX([6]GAE!$C$2:$C$23,MATCH($D187,[6]GAE!$D$2:$D$23,0))="","",INDEX([6]GAE!$C$2:$C$23,MATCH($D187,[6]GAE!$D$2:$D$23,0))),"")</f>
        <v>46270</v>
      </c>
      <c r="D187" s="7">
        <v>565102380</v>
      </c>
      <c r="E187" s="8" t="s">
        <v>599</v>
      </c>
      <c r="F187" s="9">
        <v>46195</v>
      </c>
      <c r="G187" s="8" t="s">
        <v>237</v>
      </c>
      <c r="H187" s="8" t="s">
        <v>237</v>
      </c>
      <c r="I187" s="8" t="s">
        <v>69</v>
      </c>
      <c r="J187" s="8" t="s">
        <v>651</v>
      </c>
      <c r="K187" s="6">
        <f>IFERROR(IF(INDEX([6]GAE!$K$2:$K$23,MATCH($D187,[6]GAE!$D$2:$D$23,0))="","",INDEX([6]GAE!$K$2:$K$23,MATCH($D187,[6]GAE!$D$2:$D$23,0))),"")</f>
        <v>46282</v>
      </c>
      <c r="L187" s="11">
        <f ca="1">IF($O187="","",$O187-TODAY())</f>
        <v>-19</v>
      </c>
      <c r="M187" s="11">
        <f ca="1">IF(AND(TRIM($A187)="Finalized",$K187&lt;&gt;""),"",IF($C187="","",$C187+180-TODAY()))</f>
        <v>146</v>
      </c>
      <c r="N187" s="11">
        <f ca="1">IF(AND(TRIM($A187)="Finalized",$K187&lt;&gt;""),"",IF($C187="","",$C187+365-TODAY()))</f>
        <v>331</v>
      </c>
      <c r="O187" s="9">
        <f>IF(AND(TRIM($A187)="Finalized",$K187&lt;&gt;""),"",DATE(2026,9,20))</f>
        <v>46285</v>
      </c>
      <c r="P187" s="8" t="s">
        <v>86</v>
      </c>
      <c r="Q187" s="8" t="s">
        <v>239</v>
      </c>
      <c r="R187" s="8" t="s">
        <v>117</v>
      </c>
      <c r="S187" s="8" t="s">
        <v>74</v>
      </c>
      <c r="T187" s="8" t="s">
        <v>73</v>
      </c>
      <c r="U187" s="8" t="s">
        <v>74</v>
      </c>
      <c r="V187" s="8" t="s">
        <v>455</v>
      </c>
      <c r="W187" s="8" t="s">
        <v>101</v>
      </c>
      <c r="X187" s="8" t="s">
        <v>257</v>
      </c>
      <c r="Y187" s="8" t="s">
        <v>652</v>
      </c>
      <c r="Z187" s="8" t="s">
        <v>103</v>
      </c>
      <c r="AA187" s="8" t="s">
        <v>601</v>
      </c>
      <c r="AB187" s="10">
        <v>87420.55</v>
      </c>
      <c r="AC187" s="10">
        <v>0</v>
      </c>
      <c r="AD187" s="10">
        <v>0</v>
      </c>
      <c r="AE187" s="9"/>
      <c r="AF187" s="10">
        <v>87420.55</v>
      </c>
      <c r="AG187" s="7">
        <v>47</v>
      </c>
      <c r="AH187" s="8" t="s">
        <v>105</v>
      </c>
      <c r="AI187" s="8" t="s">
        <v>106</v>
      </c>
      <c r="AJ187" s="8" t="s">
        <v>107</v>
      </c>
      <c r="AK187" s="8"/>
      <c r="AL187" s="7"/>
      <c r="AM187" s="8" t="s">
        <v>108</v>
      </c>
      <c r="AN187" s="8" t="s">
        <v>109</v>
      </c>
      <c r="AO187" s="9">
        <v>46216</v>
      </c>
    </row>
    <row r="188" spans="1:41" x14ac:dyDescent="0.25">
      <c r="A188" s="5" t="str">
        <f>IFERROR(IF(INDEX([6]GAE!$A$2:$A$23,MATCH($D188,[6]GAE!$D$2:$D$23,0))="","",INDEX([6]GAE!$A$2:$A$23,MATCH($D188,[6]GAE!$D$2:$D$23,0))),"")</f>
        <v>Denied</v>
      </c>
      <c r="B188" s="5" t="str">
        <f>IFERROR(IF(INDEX([6]GAE!$B$2:$B$23,MATCH($D188,[6]GAE!$D$2:$D$23,0))="","",INDEX([6]GAE!$B$2:$B$23,MATCH($D188,[6]GAE!$D$2:$D$23,0))),"")</f>
        <v>Uploaded MR - Request ID 36638918</v>
      </c>
      <c r="C188" s="6">
        <f>IFERROR(IF(INDEX([6]GAE!$C$2:$C$23,MATCH($D188,[6]GAE!$D$2:$D$23,0))="","",INDEX([6]GAE!$C$2:$C$23,MATCH($D188,[6]GAE!$D$2:$D$23,0))),"")</f>
        <v>46240</v>
      </c>
      <c r="D188" s="7">
        <v>565108599</v>
      </c>
      <c r="E188" s="8" t="s">
        <v>488</v>
      </c>
      <c r="F188" s="9">
        <v>46195</v>
      </c>
      <c r="G188" s="8" t="s">
        <v>97</v>
      </c>
      <c r="H188" s="8" t="s">
        <v>97</v>
      </c>
      <c r="I188" s="8" t="s">
        <v>69</v>
      </c>
      <c r="J188" s="8" t="s">
        <v>653</v>
      </c>
      <c r="K188" s="6">
        <f>IFERROR(IF(INDEX([6]GAE!$K$2:$K$23,MATCH($D188,[6]GAE!$D$2:$D$23,0))="","",INDEX([6]GAE!$K$2:$K$23,MATCH($D188,[6]GAE!$D$2:$D$23,0))),"")</f>
        <v>46282</v>
      </c>
      <c r="L188" s="11">
        <f ca="1">IF($O188="","",$O188-TODAY())</f>
        <v>-19</v>
      </c>
      <c r="M188" s="11">
        <f ca="1">IF(AND(TRIM($A188)="Finalized",$K188&lt;&gt;""),"",IF($F188="","",$F188+90-TODAY()))</f>
        <v>-19</v>
      </c>
      <c r="N188" s="11">
        <f ca="1">IF(AND(TRIM($A188)="Finalized",$K188&lt;&gt;""),"",IF($C188="","",$C188+540-TODAY()))</f>
        <v>476</v>
      </c>
      <c r="O188" s="9">
        <f>IF(AND(TRIM($A188)="Finalized",$K188&lt;&gt;""),"",DATE(2026,9,20))</f>
        <v>46285</v>
      </c>
      <c r="P188" s="8" t="s">
        <v>86</v>
      </c>
      <c r="Q188" s="8" t="s">
        <v>99</v>
      </c>
      <c r="R188" s="8" t="s">
        <v>86</v>
      </c>
      <c r="S188" s="8" t="s">
        <v>88</v>
      </c>
      <c r="T188" s="8" t="s">
        <v>100</v>
      </c>
      <c r="U188" s="8" t="s">
        <v>74</v>
      </c>
      <c r="V188" s="8" t="s">
        <v>455</v>
      </c>
      <c r="W188" s="8" t="s">
        <v>101</v>
      </c>
      <c r="X188" s="8" t="s">
        <v>392</v>
      </c>
      <c r="Y188" s="8" t="s">
        <v>153</v>
      </c>
      <c r="Z188" s="8"/>
      <c r="AA188" s="8" t="s">
        <v>601</v>
      </c>
      <c r="AB188" s="10">
        <v>87420.55</v>
      </c>
      <c r="AC188" s="10">
        <v>0</v>
      </c>
      <c r="AD188" s="10">
        <v>0</v>
      </c>
      <c r="AE188" s="9"/>
      <c r="AF188" s="10">
        <v>87420.55</v>
      </c>
      <c r="AG188" s="7">
        <v>47</v>
      </c>
      <c r="AH188" s="8" t="s">
        <v>329</v>
      </c>
      <c r="AI188" s="8" t="s">
        <v>106</v>
      </c>
      <c r="AJ188" s="8" t="s">
        <v>361</v>
      </c>
      <c r="AK188" s="8"/>
      <c r="AL188" s="7"/>
      <c r="AM188" s="8" t="s">
        <v>108</v>
      </c>
      <c r="AN188" s="8" t="s">
        <v>132</v>
      </c>
      <c r="AO188" s="9">
        <v>46216</v>
      </c>
    </row>
    <row r="189" spans="1:41" x14ac:dyDescent="0.25">
      <c r="A189" s="5" t="str">
        <f>IFERROR(IF(INDEX([6]DME!$A$2:$A$51,MATCH($D189,[6]DME!$D$2:$D$51,0))="","",INDEX([6]DME!$A$2:$A$51,MATCH($D189,[6]DME!$D$2:$D$51,0))),"")</f>
        <v>Under Review</v>
      </c>
      <c r="B189" s="5" t="str">
        <f>IFERROR(IF(INDEX([6]DME!$B$2:$B$51,MATCH($D189,[6]DME!$D$2:$D$51,0))="","",INDEX([6]DME!$B$2:$B$51,MATCH($D189,[6]DME!$D$2:$D$51,0))),"")</f>
        <v>DND Acodes Preferred Homecare is responsible for these services. Please submit the claim to Preferred Homecare for consideration.</v>
      </c>
      <c r="C189" s="6">
        <f>IFERROR(IF(INDEX([6]DME!$C$2:$C$51,MATCH($D189,[6]DME!$D$2:$D$51,0))="","",INDEX([6]DME!$C$2:$C$51,MATCH($D189,[6]DME!$D$2:$D$51,0))),"")</f>
        <v>46204</v>
      </c>
      <c r="D189" s="7">
        <v>563182075</v>
      </c>
      <c r="E189" s="8" t="s">
        <v>655</v>
      </c>
      <c r="F189" s="9">
        <v>46195</v>
      </c>
      <c r="G189" s="8" t="s">
        <v>148</v>
      </c>
      <c r="H189" s="8" t="s">
        <v>148</v>
      </c>
      <c r="I189" s="8" t="s">
        <v>69</v>
      </c>
      <c r="J189" s="8" t="s">
        <v>547</v>
      </c>
      <c r="K189" s="6" t="str">
        <f>IFERROR(IF(INDEX([6]DME!$K$2:$K$51,MATCH($D189,[6]DME!$D$2:$D$51,0))="","",INDEX([6]DME!$K$2:$K$51,MATCH($D189,[6]DME!$D$2:$D$51,0))),"")</f>
        <v/>
      </c>
      <c r="L189" s="11">
        <f ca="1">IF($O189="","",$O189-TODAY())</f>
        <v>-19</v>
      </c>
      <c r="M189" s="11">
        <f ca="1">IF(AND(TRIM($A189)="Finalized",$K189&lt;&gt;""),"",IF($C189="","",$C189+180-TODAY()))</f>
        <v>80</v>
      </c>
      <c r="N189" s="11">
        <f ca="1">IF(AND(TRIM($A189)="Finalized",$K189&lt;&gt;""),"",IF($C189="","",$C189+365-TODAY()))</f>
        <v>265</v>
      </c>
      <c r="O189" s="9">
        <f>IF(AND(TRIM($A189)="Finalized",$K189&lt;&gt;""),"",DATE(2026,9,20))</f>
        <v>46285</v>
      </c>
      <c r="P189" s="8" t="s">
        <v>86</v>
      </c>
      <c r="Q189" s="8" t="s">
        <v>152</v>
      </c>
      <c r="R189" s="8" t="s">
        <v>117</v>
      </c>
      <c r="S189" s="8" t="s">
        <v>74</v>
      </c>
      <c r="T189" s="8" t="s">
        <v>73</v>
      </c>
      <c r="U189" s="8" t="s">
        <v>74</v>
      </c>
      <c r="V189" s="8" t="s">
        <v>455</v>
      </c>
      <c r="W189" s="8" t="s">
        <v>89</v>
      </c>
      <c r="X189" s="8" t="s">
        <v>90</v>
      </c>
      <c r="Y189" s="8"/>
      <c r="Z189" s="8"/>
      <c r="AA189" s="8" t="s">
        <v>190</v>
      </c>
      <c r="AB189" s="10">
        <v>2958.2</v>
      </c>
      <c r="AC189" s="10">
        <v>0</v>
      </c>
      <c r="AD189" s="10">
        <v>0</v>
      </c>
      <c r="AE189" s="9">
        <v>46204</v>
      </c>
      <c r="AF189" s="10">
        <v>2958.2</v>
      </c>
      <c r="AG189" s="7">
        <v>47</v>
      </c>
      <c r="AH189" s="8" t="s">
        <v>79</v>
      </c>
      <c r="AI189" s="8"/>
      <c r="AJ189" s="8"/>
      <c r="AK189" s="8"/>
      <c r="AL189" s="7"/>
      <c r="AM189" s="8" t="s">
        <v>126</v>
      </c>
      <c r="AN189" s="8" t="s">
        <v>95</v>
      </c>
      <c r="AO189" s="9">
        <v>46196</v>
      </c>
    </row>
    <row r="190" spans="1:41" x14ac:dyDescent="0.25">
      <c r="A190" s="5" t="str">
        <f>IFERROR(IF(INDEX([6]BH!$A$2:$A$82,MATCH($D190,[6]BH!$D$2:$D$82,0))="","",INDEX([6]BH!$A$2:$A$82,MATCH($D190,[6]BH!$D$2:$D$82,0))),"")</f>
        <v>Pending</v>
      </c>
      <c r="B190" s="5" t="str">
        <f>IFERROR(IF(INDEX([6]BH!$B$2:$B$82,MATCH($D190,[6]BH!$D$2:$D$82,0))="","",INDEX([6]BH!$B$2:$B$82,MATCH($D190,[6]BH!$D$2:$D$82,0))),"")</f>
        <v>Uploaded MR - PIQ-91193475</v>
      </c>
      <c r="C190" s="6" t="str">
        <f>IFERROR(IF(INDEX([6]BH!$C$2:$C$82,MATCH($D190,[6]BH!$D$2:$D$82,0))="","",INDEX([6]BH!$C$2:$C$82,MATCH($D190,[6]BH!$D$2:$D$82,0))),"")</f>
        <v/>
      </c>
      <c r="D190" s="7">
        <v>563029504</v>
      </c>
      <c r="E190" s="8" t="s">
        <v>656</v>
      </c>
      <c r="F190" s="9">
        <v>46195</v>
      </c>
      <c r="G190" s="8" t="s">
        <v>212</v>
      </c>
      <c r="H190" s="8" t="s">
        <v>212</v>
      </c>
      <c r="I190" s="8" t="s">
        <v>69</v>
      </c>
      <c r="J190" s="8" t="s">
        <v>124</v>
      </c>
      <c r="K190" s="6" t="str">
        <f>IFERROR(IF(INDEX([6]BH!$K$2:$K$82,MATCH($D190,[6]BH!$D$2:$D$82,0))="","",INDEX([6]BH!$K$2:$K$82,MATCH($D190,[6]BH!$D$2:$D$82,0))),"")</f>
        <v/>
      </c>
      <c r="L190" s="11">
        <f ca="1">IF($O190="","",$O190-TODAY())</f>
        <v>-19</v>
      </c>
      <c r="M190" s="11" t="str">
        <f ca="1">IF(AND(TRIM($A190)="Finalized",$K190&lt;&gt;""),"",IF($C190="","",$C190+365-TODAY()))</f>
        <v/>
      </c>
      <c r="N190" s="11" t="str">
        <f ca="1">IF(AND(TRIM($A190)="Finalized",$K190&lt;&gt;""),"",IF($C190="","",$C190+365-TODAY()))</f>
        <v/>
      </c>
      <c r="O190" s="9">
        <f>IF(AND(TRIM($A190)="Finalized",$K190&lt;&gt;""),"",DATE(2026,9,20))</f>
        <v>46285</v>
      </c>
      <c r="P190" s="8" t="s">
        <v>86</v>
      </c>
      <c r="Q190" s="8" t="s">
        <v>214</v>
      </c>
      <c r="R190" s="8" t="s">
        <v>73</v>
      </c>
      <c r="S190" s="8" t="s">
        <v>74</v>
      </c>
      <c r="T190" s="8" t="s">
        <v>73</v>
      </c>
      <c r="U190" s="8" t="s">
        <v>74</v>
      </c>
      <c r="V190" s="8" t="s">
        <v>455</v>
      </c>
      <c r="W190" s="8" t="s">
        <v>118</v>
      </c>
      <c r="X190" s="8"/>
      <c r="Y190" s="8"/>
      <c r="Z190" s="8"/>
      <c r="AA190" s="8" t="s">
        <v>77</v>
      </c>
      <c r="AB190" s="10">
        <v>1426.25</v>
      </c>
      <c r="AC190" s="10">
        <v>0</v>
      </c>
      <c r="AD190" s="10">
        <v>0</v>
      </c>
      <c r="AE190" s="9"/>
      <c r="AF190" s="10">
        <v>1426.25</v>
      </c>
      <c r="AG190" s="7">
        <v>47</v>
      </c>
      <c r="AH190" s="8" t="s">
        <v>119</v>
      </c>
      <c r="AI190" s="8"/>
      <c r="AJ190" s="8"/>
      <c r="AK190" s="8"/>
      <c r="AL190" s="7"/>
      <c r="AM190" s="8" t="s">
        <v>154</v>
      </c>
      <c r="AN190" s="8" t="s">
        <v>95</v>
      </c>
      <c r="AO190" s="9">
        <v>46273</v>
      </c>
    </row>
    <row r="191" spans="1:41" x14ac:dyDescent="0.25">
      <c r="A191" s="5" t="str">
        <f>IFERROR(IF(INDEX([6]DME!$A$2:$A$51,MATCH($D191,[6]DME!$D$2:$D$51,0))="","",INDEX([6]DME!$A$2:$A$51,MATCH($D191,[6]DME!$D$2:$D$51,0))),"")</f>
        <v>Denied</v>
      </c>
      <c r="B191" s="5" t="str">
        <f>IFERROR(IF(INDEX([6]DME!$B$2:$B$51,MATCH($D191,[6]DME!$D$2:$D$51,0))="","",INDEX([6]DME!$B$2:$B$51,MATCH($D191,[6]DME!$D$2:$D$51,0))),"")</f>
        <v>Uploaded MR - Barcode OC2007391060002 - Confirmation ID 1000086071082</v>
      </c>
      <c r="C191" s="6">
        <f>IFERROR(IF(INDEX([6]DME!$C$2:$C$51,MATCH($D191,[6]DME!$D$2:$D$51,0))="","",INDEX([6]DME!$C$2:$C$51,MATCH($D191,[6]DME!$D$2:$D$51,0))),"")</f>
        <v>46220</v>
      </c>
      <c r="D191" s="7">
        <v>564043829</v>
      </c>
      <c r="E191" s="8" t="s">
        <v>657</v>
      </c>
      <c r="F191" s="9">
        <v>46196</v>
      </c>
      <c r="G191" s="8" t="s">
        <v>134</v>
      </c>
      <c r="H191" s="8" t="s">
        <v>134</v>
      </c>
      <c r="I191" s="8" t="s">
        <v>69</v>
      </c>
      <c r="J191" s="8" t="s">
        <v>354</v>
      </c>
      <c r="K191" s="6">
        <f>IFERROR(IF(INDEX([6]DME!$K$2:$K$51,MATCH($D191,[6]DME!$D$2:$D$51,0))="","",INDEX([6]DME!$K$2:$K$51,MATCH($D191,[6]DME!$D$2:$D$51,0))),"")</f>
        <v>46282</v>
      </c>
      <c r="L191" s="11">
        <f ca="1">IF($O191="","",$O191-TODAY())</f>
        <v>-18</v>
      </c>
      <c r="M191" s="11">
        <f ca="1">IF(AND(TRIM($A191)="Finalized",$K191&lt;&gt;""),"",IF($C191="","",$C191+365-TODAY()))</f>
        <v>281</v>
      </c>
      <c r="N191" s="11">
        <f ca="1">IF(AND(TRIM($A191)="Finalized",$K191&lt;&gt;""),"",IF($C191="","",$C191+365-TODAY()))</f>
        <v>281</v>
      </c>
      <c r="O191" s="9">
        <f>IF(AND(TRIM($A191)="Finalized",$K191&lt;&gt;""),"",DATE(2026,9,21))</f>
        <v>46286</v>
      </c>
      <c r="P191" s="8" t="s">
        <v>86</v>
      </c>
      <c r="Q191" s="8" t="s">
        <v>136</v>
      </c>
      <c r="R191" s="8" t="s">
        <v>73</v>
      </c>
      <c r="S191" s="8" t="s">
        <v>74</v>
      </c>
      <c r="T191" s="8" t="s">
        <v>73</v>
      </c>
      <c r="U191" s="8" t="s">
        <v>74</v>
      </c>
      <c r="V191" s="8" t="s">
        <v>455</v>
      </c>
      <c r="W191" s="8" t="s">
        <v>89</v>
      </c>
      <c r="X191" s="8" t="s">
        <v>290</v>
      </c>
      <c r="Y191" s="8"/>
      <c r="Z191" s="8"/>
      <c r="AA191" s="8" t="s">
        <v>77</v>
      </c>
      <c r="AB191" s="10">
        <v>9479.4</v>
      </c>
      <c r="AC191" s="10">
        <v>0</v>
      </c>
      <c r="AD191" s="10">
        <v>0</v>
      </c>
      <c r="AE191" s="9">
        <v>46220</v>
      </c>
      <c r="AF191" s="10">
        <v>9479.4</v>
      </c>
      <c r="AG191" s="7">
        <v>46</v>
      </c>
      <c r="AH191" s="8" t="s">
        <v>145</v>
      </c>
      <c r="AI191" s="8"/>
      <c r="AJ191" s="8"/>
      <c r="AK191" s="8"/>
      <c r="AL191" s="7"/>
      <c r="AM191" s="8" t="s">
        <v>399</v>
      </c>
      <c r="AN191" s="8" t="s">
        <v>132</v>
      </c>
      <c r="AO191" s="9">
        <v>46204</v>
      </c>
    </row>
    <row r="192" spans="1:41" x14ac:dyDescent="0.25">
      <c r="A192" s="5" t="str">
        <f>IFERROR(IF(INDEX([6]ORTHO!$A$2:$A$39,MATCH($D192,[6]ORTHO!$D$2:$D$39,0))="","",INDEX([6]ORTHO!$A$2:$A$39,MATCH($D192,[6]ORTHO!$D$2:$D$39,0))),"")</f>
        <v>Denied</v>
      </c>
      <c r="B192" s="5" t="str">
        <f>IFERROR(IF(INDEX([6]ORTHO!$B$2:$B$39,MATCH($D192,[6]ORTHO!$D$2:$D$39,0))="","",INDEX([6]ORTHO!$B$2:$B$39,MATCH($D192,[6]ORTHO!$D$2:$D$39,0))),"")</f>
        <v>Uploaded MR - PIQ-91109484</v>
      </c>
      <c r="C192" s="6">
        <f>IFERROR(IF(INDEX([6]ORTHO!$C$2:$C$39,MATCH($D192,[6]ORTHO!$D$2:$D$39,0))="","",INDEX([6]ORTHO!$C$2:$C$39,MATCH($D192,[6]ORTHO!$D$2:$D$39,0))),"")</f>
        <v>46272</v>
      </c>
      <c r="D192" s="7">
        <v>563839702</v>
      </c>
      <c r="E192" s="8" t="s">
        <v>658</v>
      </c>
      <c r="F192" s="9">
        <v>46197</v>
      </c>
      <c r="G192" s="8" t="s">
        <v>148</v>
      </c>
      <c r="H192" s="8" t="s">
        <v>148</v>
      </c>
      <c r="I192" s="8" t="s">
        <v>185</v>
      </c>
      <c r="J192" s="8" t="s">
        <v>659</v>
      </c>
      <c r="K192" s="6">
        <f>IFERROR(IF(INDEX([6]ORTHO!$K$2:$K$39,MATCH($D192,[6]ORTHO!$D$2:$D$39,0))="","",INDEX([6]ORTHO!$K$2:$K$39,MATCH($D192,[6]ORTHO!$D$2:$D$39,0))),"")</f>
        <v>46282</v>
      </c>
      <c r="L192" s="11">
        <f ca="1">IF($O192="","",$O192-TODAY())</f>
        <v>-17</v>
      </c>
      <c r="M192" s="11">
        <f ca="1">IF(AND(TRIM($A192)="Finalized",$K192&lt;&gt;""),"",IF($C192="","",$C192+180-TODAY()))</f>
        <v>148</v>
      </c>
      <c r="N192" s="11">
        <f ca="1">IF(AND(TRIM($A192)="Finalized",$K192&lt;&gt;""),"",IF($C192="","",$C192+365-TODAY()))</f>
        <v>333</v>
      </c>
      <c r="O192" s="9">
        <f>IF(AND(TRIM($A192)="Finalized",$K192&lt;&gt;""),"",DATE(2026,9,22))</f>
        <v>46287</v>
      </c>
      <c r="P192" s="8" t="s">
        <v>86</v>
      </c>
      <c r="Q192" s="8" t="s">
        <v>152</v>
      </c>
      <c r="R192" s="8" t="s">
        <v>117</v>
      </c>
      <c r="S192" s="8" t="s">
        <v>74</v>
      </c>
      <c r="T192" s="8" t="s">
        <v>73</v>
      </c>
      <c r="U192" s="8" t="s">
        <v>74</v>
      </c>
      <c r="V192" s="8" t="s">
        <v>455</v>
      </c>
      <c r="W192" s="8" t="s">
        <v>76</v>
      </c>
      <c r="X192" s="8"/>
      <c r="Y192" s="8"/>
      <c r="Z192" s="8"/>
      <c r="AA192" s="8" t="s">
        <v>77</v>
      </c>
      <c r="AB192" s="10">
        <v>10892.84</v>
      </c>
      <c r="AC192" s="10">
        <v>0</v>
      </c>
      <c r="AD192" s="10">
        <v>0</v>
      </c>
      <c r="AE192" s="9"/>
      <c r="AF192" s="10">
        <v>10892.84</v>
      </c>
      <c r="AG192" s="7">
        <v>45</v>
      </c>
      <c r="AH192" s="8" t="s">
        <v>145</v>
      </c>
      <c r="AI192" s="8" t="s">
        <v>79</v>
      </c>
      <c r="AJ192" s="8" t="s">
        <v>660</v>
      </c>
      <c r="AK192" s="8"/>
      <c r="AL192" s="7"/>
      <c r="AM192" s="8" t="s">
        <v>272</v>
      </c>
      <c r="AN192" s="8" t="s">
        <v>109</v>
      </c>
      <c r="AO192" s="9">
        <v>46203</v>
      </c>
    </row>
    <row r="193" spans="1:41" x14ac:dyDescent="0.25">
      <c r="A193" s="5" t="str">
        <f>IFERROR(IF(INDEX([6]BH!$A$2:$A$82,MATCH($D193,[6]BH!$D$2:$D$82,0))="","",INDEX([6]BH!$A$2:$A$82,MATCH($D193,[6]BH!$D$2:$D$82,0))),"")</f>
        <v>Denied</v>
      </c>
      <c r="B193" s="5" t="str">
        <f>IFERROR(IF(INDEX([6]BH!$B$2:$B$82,MATCH($D193,[6]BH!$D$2:$D$82,0))="","",INDEX([6]BH!$B$2:$B$82,MATCH($D193,[6]BH!$D$2:$D$82,0))),"")</f>
        <v>Claims Inquiry Message - #ICN#100015364807 has been sent</v>
      </c>
      <c r="C193" s="6" t="str">
        <f>IFERROR(IF(INDEX([6]BH!$C$2:$C$82,MATCH($D193,[6]BH!$D$2:$D$82,0))="","",INDEX([6]BH!$C$2:$C$82,MATCH($D193,[6]BH!$D$2:$D$82,0))),"")</f>
        <v/>
      </c>
      <c r="D193" s="7">
        <v>565362589</v>
      </c>
      <c r="E193" s="8" t="s">
        <v>170</v>
      </c>
      <c r="F193" s="9">
        <v>46197</v>
      </c>
      <c r="G193" s="8" t="s">
        <v>123</v>
      </c>
      <c r="H193" s="8" t="s">
        <v>123</v>
      </c>
      <c r="I193" s="8" t="s">
        <v>171</v>
      </c>
      <c r="J193" s="8" t="s">
        <v>220</v>
      </c>
      <c r="K193" s="6">
        <f>IFERROR(IF(INDEX([6]BH!$K$2:$K$82,MATCH($D193,[6]BH!$D$2:$D$82,0))="","",INDEX([6]BH!$K$2:$K$82,MATCH($D193,[6]BH!$D$2:$D$82,0))),"")</f>
        <v>46284</v>
      </c>
      <c r="L193" s="11">
        <f ca="1">IF($O193="","",$O193-TODAY())</f>
        <v>-17</v>
      </c>
      <c r="M193" s="11">
        <f ca="1">IF(AND(TRIM($A193)="Finalized",$K193&lt;&gt;""),"",IF($F193="","",$F193+90-TODAY()))</f>
        <v>-17</v>
      </c>
      <c r="N193" s="11" t="str">
        <f ca="1">IF(AND(TRIM($A193)="Finalized",$K193&lt;&gt;""),"",IF($C193="","",$C193+365-TODAY()))</f>
        <v/>
      </c>
      <c r="O193" s="9">
        <f>IF(AND(TRIM($A193)="Finalized",$K193&lt;&gt;""),"",DATE(2026,9,22))</f>
        <v>46287</v>
      </c>
      <c r="P193" s="8" t="s">
        <v>86</v>
      </c>
      <c r="Q193" s="8" t="s">
        <v>125</v>
      </c>
      <c r="R193" s="8" t="s">
        <v>86</v>
      </c>
      <c r="S193" s="8" t="s">
        <v>88</v>
      </c>
      <c r="T193" s="8" t="s">
        <v>73</v>
      </c>
      <c r="U193" s="8" t="s">
        <v>74</v>
      </c>
      <c r="V193" s="8" t="s">
        <v>455</v>
      </c>
      <c r="W193" s="8" t="s">
        <v>118</v>
      </c>
      <c r="X193" s="8"/>
      <c r="Y193" s="8"/>
      <c r="Z193" s="8"/>
      <c r="AA193" s="8" t="s">
        <v>77</v>
      </c>
      <c r="AB193" s="10">
        <v>1372.91</v>
      </c>
      <c r="AC193" s="10">
        <v>0</v>
      </c>
      <c r="AD193" s="10">
        <v>0</v>
      </c>
      <c r="AE193" s="9"/>
      <c r="AF193" s="10">
        <v>1372.91</v>
      </c>
      <c r="AG193" s="7">
        <v>45</v>
      </c>
      <c r="AH193" s="8" t="s">
        <v>197</v>
      </c>
      <c r="AI193" s="8"/>
      <c r="AJ193" s="8"/>
      <c r="AK193" s="8"/>
      <c r="AL193" s="7"/>
      <c r="AM193" s="8" t="s">
        <v>157</v>
      </c>
      <c r="AN193" s="8" t="s">
        <v>158</v>
      </c>
      <c r="AO193" s="9">
        <v>46274</v>
      </c>
    </row>
    <row r="194" spans="1:41" x14ac:dyDescent="0.25">
      <c r="A194" s="5" t="str">
        <f>IFERROR(IF(INDEX([6]DME!$A$2:$A$51,MATCH($D194,[6]DME!$D$2:$D$51,0))="","",INDEX([6]DME!$A$2:$A$51,MATCH($D194,[6]DME!$D$2:$D$51,0))),"")</f>
        <v>Under Review</v>
      </c>
      <c r="B194" s="5" t="str">
        <f>IFERROR(IF(INDEX([6]DME!$B$2:$B$51,MATCH($D194,[6]DME!$D$2:$D$51,0))="","",INDEX([6]DME!$B$2:$B$51,MATCH($D194,[6]DME!$D$2:$D$51,0))),"")</f>
        <v>DND Acodes Preferred Homecare is responsible for these services. Please submit the claim to Preferred Homecare for consideration. -Remark N216 We do not offer coverage for this type of service or the patient is not enrolled in this portion of our benefit package</v>
      </c>
      <c r="C194" s="6">
        <f>IFERROR(IF(INDEX([6]DME!$C$2:$C$51,MATCH($D194,[6]DME!$D$2:$D$51,0))="","",INDEX([6]DME!$C$2:$C$51,MATCH($D194,[6]DME!$D$2:$D$51,0))),"")</f>
        <v>46211</v>
      </c>
      <c r="D194" s="7">
        <v>564105695</v>
      </c>
      <c r="E194" s="8" t="s">
        <v>661</v>
      </c>
      <c r="F194" s="9">
        <v>46197</v>
      </c>
      <c r="G194" s="8" t="s">
        <v>148</v>
      </c>
      <c r="H194" s="8" t="s">
        <v>148</v>
      </c>
      <c r="I194" s="8" t="s">
        <v>185</v>
      </c>
      <c r="J194" s="8" t="s">
        <v>373</v>
      </c>
      <c r="K194" s="6" t="str">
        <f>IFERROR(IF(INDEX([6]DME!$K$2:$K$51,MATCH($D194,[6]DME!$D$2:$D$51,0))="","",INDEX([6]DME!$K$2:$K$51,MATCH($D194,[6]DME!$D$2:$D$51,0))),"")</f>
        <v/>
      </c>
      <c r="L194" s="11">
        <f ca="1">IF($O194="","",$O194-TODAY())</f>
        <v>-17</v>
      </c>
      <c r="M194" s="11">
        <f ca="1">IF(AND(TRIM($A194)="Finalized",$K194&lt;&gt;""),"",IF($C194="","",$C194+180-TODAY()))</f>
        <v>87</v>
      </c>
      <c r="N194" s="11">
        <f ca="1">IF(AND(TRIM($A194)="Finalized",$K194&lt;&gt;""),"",IF($C194="","",$C194+365-TODAY()))</f>
        <v>272</v>
      </c>
      <c r="O194" s="9">
        <f>IF(AND(TRIM($A194)="Finalized",$K194&lt;&gt;""),"",DATE(2026,9,22))</f>
        <v>46287</v>
      </c>
      <c r="P194" s="8" t="s">
        <v>86</v>
      </c>
      <c r="Q194" s="8" t="s">
        <v>152</v>
      </c>
      <c r="R194" s="8" t="s">
        <v>117</v>
      </c>
      <c r="S194" s="8" t="s">
        <v>74</v>
      </c>
      <c r="T194" s="8" t="s">
        <v>73</v>
      </c>
      <c r="U194" s="8" t="s">
        <v>74</v>
      </c>
      <c r="V194" s="8" t="s">
        <v>455</v>
      </c>
      <c r="W194" s="8" t="s">
        <v>89</v>
      </c>
      <c r="X194" s="8" t="s">
        <v>244</v>
      </c>
      <c r="Y194" s="8"/>
      <c r="Z194" s="8"/>
      <c r="AA194" s="8" t="s">
        <v>190</v>
      </c>
      <c r="AB194" s="10">
        <v>2958.2</v>
      </c>
      <c r="AC194" s="10">
        <v>0</v>
      </c>
      <c r="AD194" s="10">
        <v>0</v>
      </c>
      <c r="AE194" s="9">
        <v>46211</v>
      </c>
      <c r="AF194" s="10">
        <v>2958.2</v>
      </c>
      <c r="AG194" s="7">
        <v>45</v>
      </c>
      <c r="AH194" s="8" t="s">
        <v>92</v>
      </c>
      <c r="AI194" s="8" t="s">
        <v>145</v>
      </c>
      <c r="AJ194" s="8"/>
      <c r="AK194" s="8"/>
      <c r="AL194" s="7"/>
      <c r="AM194" s="8" t="s">
        <v>94</v>
      </c>
      <c r="AN194" s="8" t="s">
        <v>95</v>
      </c>
      <c r="AO194" s="9">
        <v>46205</v>
      </c>
    </row>
    <row r="195" spans="1:41" x14ac:dyDescent="0.25">
      <c r="A195" s="5" t="str">
        <f>IFERROR(IF(INDEX([5]DME!$A$2:$A$35,MATCH($D195,[5]DME!$D$2:$D$35,0))="","",INDEX([5]DME!$A$2:$A$35,MATCH($D195,[5]DME!$D$2:$D$35,0))),"")</f>
        <v>Denied</v>
      </c>
      <c r="B195" s="5" t="str">
        <f>IFERROR(IF(INDEX([5]DME!$B$2:$B$35,MATCH($D195,[5]DME!$D$2:$D$35,0))="","",INDEX([5]DME!$B$2:$B$35,MATCH($D195,[5]DME!$D$2:$D$35,0))),"")</f>
        <v>Dropped dx M54.16, and resubmitted</v>
      </c>
      <c r="C195" s="6">
        <f>IFERROR(IF(INDEX([5]DME!$C$2:$C$35,MATCH($D195,[5]DME!$D$2:$D$35,0))="","",INDEX([5]DME!$C$2:$C$35,MATCH($D195,[5]DME!$D$2:$D$35,0))),"")</f>
        <v>46190</v>
      </c>
      <c r="D195" s="7">
        <v>561859042</v>
      </c>
      <c r="E195" s="8" t="s">
        <v>664</v>
      </c>
      <c r="F195" s="9">
        <v>46168</v>
      </c>
      <c r="G195" s="8" t="s">
        <v>280</v>
      </c>
      <c r="H195" s="8" t="s">
        <v>280</v>
      </c>
      <c r="I195" s="8" t="s">
        <v>69</v>
      </c>
      <c r="J195" s="8" t="s">
        <v>85</v>
      </c>
      <c r="K195" s="6">
        <f>IFERROR(IF(INDEX([5]DME!$K$2:$K$35,MATCH($D195,[5]DME!$D$2:$D$35,0))="","",INDEX([5]DME!$K$2:$K$35,MATCH($D195,[5]DME!$D$2:$D$35,0))),"")</f>
        <v>46253</v>
      </c>
      <c r="L195" s="11">
        <f ca="1">IF($O195="","",$O195-TODAY())</f>
        <v>-16</v>
      </c>
      <c r="M195" s="11">
        <f ca="1">IF(AND(TRIM($A195)="Finalized",$K195&lt;&gt;""),"",IF($F195="","",$F195+365-TODAY()))</f>
        <v>229</v>
      </c>
      <c r="N195" s="11">
        <f ca="1">IF(AND(TRIM($A195)="Finalized",$K195&lt;&gt;""),"",IF($F195="","",$F195+365-TODAY()))</f>
        <v>229</v>
      </c>
      <c r="O195" s="9">
        <f>IF(AND(TRIM($A195)="Finalized",$K195&lt;&gt;""),"",DATE(2026,9,23))</f>
        <v>46288</v>
      </c>
      <c r="P195" s="8" t="s">
        <v>208</v>
      </c>
      <c r="Q195" s="8" t="s">
        <v>281</v>
      </c>
      <c r="R195" s="8" t="s">
        <v>73</v>
      </c>
      <c r="S195" s="8" t="s">
        <v>88</v>
      </c>
      <c r="T195" s="8" t="s">
        <v>73</v>
      </c>
      <c r="U195" s="8" t="s">
        <v>88</v>
      </c>
      <c r="V195" s="8" t="s">
        <v>365</v>
      </c>
      <c r="W195" s="8" t="s">
        <v>89</v>
      </c>
      <c r="X195" s="8" t="s">
        <v>90</v>
      </c>
      <c r="Y195" s="8"/>
      <c r="Z195" s="8"/>
      <c r="AA195" s="8" t="s">
        <v>91</v>
      </c>
      <c r="AB195" s="10">
        <v>36353.800000000003</v>
      </c>
      <c r="AC195" s="10">
        <v>0</v>
      </c>
      <c r="AD195" s="10">
        <v>0</v>
      </c>
      <c r="AE195" s="9">
        <v>46190</v>
      </c>
      <c r="AF195" s="10">
        <v>36353.800000000003</v>
      </c>
      <c r="AG195" s="7">
        <v>74</v>
      </c>
      <c r="AH195" s="8" t="s">
        <v>92</v>
      </c>
      <c r="AI195" s="8" t="s">
        <v>78</v>
      </c>
      <c r="AJ195" s="8" t="s">
        <v>79</v>
      </c>
      <c r="AK195" s="8" t="s">
        <v>451</v>
      </c>
      <c r="AL195" s="7"/>
      <c r="AM195" s="8" t="s">
        <v>465</v>
      </c>
      <c r="AN195" s="8" t="s">
        <v>121</v>
      </c>
      <c r="AO195" s="9">
        <v>46183</v>
      </c>
    </row>
    <row r="196" spans="1:41" x14ac:dyDescent="0.25">
      <c r="A196" s="5" t="str">
        <f>IFERROR(IF(INDEX([6]US!$A$2:$A$22,MATCH($D196,[6]US!$D$2:$D$22,0))="","",INDEX([6]US!$A$2:$A$22,MATCH($D196,[6]US!$D$2:$D$22,0))),"")</f>
        <v>Pending</v>
      </c>
      <c r="B196" s="5" t="str">
        <f>IFERROR(IF(INDEX([6]US!$B$2:$B$22,MATCH($D196,[6]US!$D$2:$D$22,0))="","",INDEX([6]US!$B$2:$B$22,MATCH($D196,[6]US!$D$2:$D$22,0))),"")</f>
        <v>Uploaded MR - Pending Claim Ticket: PIQ-90513385</v>
      </c>
      <c r="C196" s="6" t="str">
        <f>IFERROR(IF(INDEX([6]US!$C$2:$C$22,MATCH($D196,[6]US!$D$2:$D$22,0))="","",INDEX([6]US!$C$2:$C$22,MATCH($D196,[6]US!$D$2:$D$22,0))),"")</f>
        <v/>
      </c>
      <c r="D196" s="7">
        <v>564069244</v>
      </c>
      <c r="E196" s="8" t="s">
        <v>665</v>
      </c>
      <c r="F196" s="9">
        <v>46198</v>
      </c>
      <c r="G196" s="8" t="s">
        <v>114</v>
      </c>
      <c r="H196" s="8" t="s">
        <v>114</v>
      </c>
      <c r="I196" s="8" t="s">
        <v>69</v>
      </c>
      <c r="J196" s="8" t="s">
        <v>371</v>
      </c>
      <c r="K196" s="6">
        <f>IFERROR(IF(INDEX([6]US!$K$2:$K$22,MATCH($D196,[6]US!$D$2:$D$22,0))="","",INDEX([6]US!$K$2:$K$22,MATCH($D196,[6]US!$D$2:$D$22,0))),"")</f>
        <v>46273</v>
      </c>
      <c r="L196" s="11">
        <f ca="1">IF($O196="","",$O196-TODAY())</f>
        <v>-16</v>
      </c>
      <c r="M196" s="11" t="str">
        <f ca="1">IF(AND(TRIM($A196)="Finalized",$K196&lt;&gt;""),"",IF($C196="","",$C196+180-TODAY()))</f>
        <v/>
      </c>
      <c r="N196" s="11" t="str">
        <f ca="1">IF(AND(TRIM($A196)="Finalized",$K196&lt;&gt;""),"",IF($C196="","",$C196+365-TODAY()))</f>
        <v/>
      </c>
      <c r="O196" s="9">
        <f>IF(AND(TRIM($A196)="Finalized",$K196&lt;&gt;""),"",DATE(2026,9,23))</f>
        <v>46288</v>
      </c>
      <c r="P196" s="8" t="s">
        <v>86</v>
      </c>
      <c r="Q196" s="8" t="s">
        <v>116</v>
      </c>
      <c r="R196" s="8" t="s">
        <v>117</v>
      </c>
      <c r="S196" s="8" t="s">
        <v>74</v>
      </c>
      <c r="T196" s="8" t="s">
        <v>73</v>
      </c>
      <c r="U196" s="8" t="s">
        <v>74</v>
      </c>
      <c r="V196" s="8" t="s">
        <v>455</v>
      </c>
      <c r="W196" s="8" t="s">
        <v>129</v>
      </c>
      <c r="X196" s="8"/>
      <c r="Y196" s="8"/>
      <c r="Z196" s="8"/>
      <c r="AA196" s="8" t="s">
        <v>77</v>
      </c>
      <c r="AB196" s="10">
        <v>3822.49</v>
      </c>
      <c r="AC196" s="10">
        <v>0</v>
      </c>
      <c r="AD196" s="10">
        <v>0</v>
      </c>
      <c r="AE196" s="9"/>
      <c r="AF196" s="10">
        <v>3822.49</v>
      </c>
      <c r="AG196" s="7">
        <v>44</v>
      </c>
      <c r="AH196" s="8" t="s">
        <v>666</v>
      </c>
      <c r="AI196" s="8"/>
      <c r="AJ196" s="8"/>
      <c r="AK196" s="8"/>
      <c r="AL196" s="7"/>
      <c r="AM196" s="8" t="s">
        <v>131</v>
      </c>
      <c r="AN196" s="8" t="s">
        <v>350</v>
      </c>
      <c r="AO196" s="9">
        <v>46204</v>
      </c>
    </row>
    <row r="197" spans="1:41" x14ac:dyDescent="0.25">
      <c r="A197" s="5" t="str">
        <f>IFERROR(IF(INDEX([6]BH!$A$2:$A$82,MATCH($D197,[6]BH!$D$2:$D$82,0))="","",INDEX([6]BH!$A$2:$A$82,MATCH($D197,[6]BH!$D$2:$D$82,0))),"")</f>
        <v>Pending</v>
      </c>
      <c r="B197" s="5" t="str">
        <f>IFERROR(IF(INDEX([6]BH!$B$2:$B$82,MATCH($D197,[6]BH!$D$2:$D$82,0))="","",INDEX([6]BH!$B$2:$B$82,MATCH($D197,[6]BH!$D$2:$D$82,0))),"")</f>
        <v>Uploaded MR - PIQ-91150157</v>
      </c>
      <c r="C197" s="6" t="str">
        <f>IFERROR(IF(INDEX([6]BH!$C$2:$C$82,MATCH($D197,[6]BH!$D$2:$D$82,0))="","",INDEX([6]BH!$C$2:$C$82,MATCH($D197,[6]BH!$D$2:$D$82,0))),"")</f>
        <v/>
      </c>
      <c r="D197" s="7">
        <v>563477944</v>
      </c>
      <c r="E197" s="8" t="s">
        <v>667</v>
      </c>
      <c r="F197" s="9">
        <v>46198</v>
      </c>
      <c r="G197" s="8" t="s">
        <v>114</v>
      </c>
      <c r="H197" s="8" t="s">
        <v>114</v>
      </c>
      <c r="I197" s="8" t="s">
        <v>69</v>
      </c>
      <c r="J197" s="8" t="s">
        <v>124</v>
      </c>
      <c r="K197" s="6">
        <f>IFERROR(IF(INDEX([6]BH!$K$2:$K$82,MATCH($D197,[6]BH!$D$2:$D$82,0))="","",INDEX([6]BH!$K$2:$K$82,MATCH($D197,[6]BH!$D$2:$D$82,0))),"")</f>
        <v>46283</v>
      </c>
      <c r="L197" s="11">
        <f ca="1">IF($O197="","",$O197-TODAY())</f>
        <v>-16</v>
      </c>
      <c r="M197" s="11" t="str">
        <f ca="1">IF(AND(TRIM($A197)="Finalized",$K197&lt;&gt;""),"",IF($C197="","",$C197+180-TODAY()))</f>
        <v/>
      </c>
      <c r="N197" s="11" t="str">
        <f ca="1">IF(AND(TRIM($A197)="Finalized",$K197&lt;&gt;""),"",IF($C197="","",$C197+365-TODAY()))</f>
        <v/>
      </c>
      <c r="O197" s="9">
        <f>IF(AND(TRIM($A197)="Finalized",$K197&lt;&gt;""),"",DATE(2026,9,23))</f>
        <v>46288</v>
      </c>
      <c r="P197" s="8" t="s">
        <v>86</v>
      </c>
      <c r="Q197" s="8" t="s">
        <v>116</v>
      </c>
      <c r="R197" s="8" t="s">
        <v>117</v>
      </c>
      <c r="S197" s="8" t="s">
        <v>74</v>
      </c>
      <c r="T197" s="8" t="s">
        <v>73</v>
      </c>
      <c r="U197" s="8" t="s">
        <v>74</v>
      </c>
      <c r="V197" s="8" t="s">
        <v>455</v>
      </c>
      <c r="W197" s="8" t="s">
        <v>118</v>
      </c>
      <c r="X197" s="8"/>
      <c r="Y197" s="8"/>
      <c r="Z197" s="8"/>
      <c r="AA197" s="8" t="s">
        <v>77</v>
      </c>
      <c r="AB197" s="10">
        <v>1426.25</v>
      </c>
      <c r="AC197" s="10">
        <v>0</v>
      </c>
      <c r="AD197" s="10">
        <v>0</v>
      </c>
      <c r="AE197" s="9"/>
      <c r="AF197" s="10">
        <v>1426.25</v>
      </c>
      <c r="AG197" s="7">
        <v>44</v>
      </c>
      <c r="AH197" s="8" t="s">
        <v>119</v>
      </c>
      <c r="AI197" s="8"/>
      <c r="AJ197" s="8"/>
      <c r="AK197" s="8"/>
      <c r="AL197" s="7"/>
      <c r="AM197" s="8" t="s">
        <v>543</v>
      </c>
      <c r="AN197" s="8" t="s">
        <v>632</v>
      </c>
      <c r="AO197" s="9">
        <v>46217</v>
      </c>
    </row>
    <row r="198" spans="1:41" x14ac:dyDescent="0.25">
      <c r="A198" s="5" t="str">
        <f>IFERROR(IF(INDEX([6]ORTHO!$A$2:$A$39,MATCH($D198,[6]ORTHO!$D$2:$D$39,0))="","",INDEX([6]ORTHO!$A$2:$A$39,MATCH($D198,[6]ORTHO!$D$2:$D$39,0))),"")</f>
        <v>Pending</v>
      </c>
      <c r="B198" s="5" t="str">
        <f>IFERROR(IF(INDEX([6]ORTHO!$B$2:$B$39,MATCH($D198,[6]ORTHO!$D$2:$D$39,0))="","",INDEX([6]ORTHO!$B$2:$B$39,MATCH($D198,[6]ORTHO!$D$2:$D$39,0))),"")</f>
        <v>Deleted referring provider, and resubmitted - Rejected for invalid EDI. reasons 1. invalid id dataelement text (2), see entity type qualifier at position 2, nmi, nm1dn2insurancexx1356950653</v>
      </c>
      <c r="C198" s="6" t="str">
        <f>IFERROR(IF(INDEX([6]ORTHO!$C$2:$C$39,MATCH($D198,[6]ORTHO!$D$2:$D$39,0))="","",INDEX([6]ORTHO!$C$2:$C$39,MATCH($D198,[6]ORTHO!$D$2:$D$39,0))),"")</f>
        <v/>
      </c>
      <c r="D198" s="7">
        <v>572208778</v>
      </c>
      <c r="E198" s="8" t="s">
        <v>668</v>
      </c>
      <c r="F198" s="9">
        <v>46198</v>
      </c>
      <c r="G198" s="8" t="s">
        <v>669</v>
      </c>
      <c r="H198" s="8" t="s">
        <v>669</v>
      </c>
      <c r="I198" s="8" t="s">
        <v>69</v>
      </c>
      <c r="J198" s="8" t="s">
        <v>552</v>
      </c>
      <c r="K198" s="6">
        <f>IFERROR(IF(INDEX([6]ORTHO!$K$2:$K$39,MATCH($D198,[6]ORTHO!$D$2:$D$39,0))="","",INDEX([6]ORTHO!$K$2:$K$39,MATCH($D198,[6]ORTHO!$D$2:$D$39,0))),"")</f>
        <v>46283</v>
      </c>
      <c r="L198" s="11">
        <f ca="1">IF($O198="","",$O198-TODAY())</f>
        <v>-16</v>
      </c>
      <c r="M198" s="11" t="str">
        <f ca="1">IF(AND(TRIM($A198)="Finalized",$K198&lt;&gt;""),"",IF($C198="","",$C198+180-TODAY()))</f>
        <v/>
      </c>
      <c r="N198" s="11" t="str">
        <f ca="1">IF(AND(TRIM($A198)="Finalized",$K198&lt;&gt;""),"",IF($C198="","",$C198+365-TODAY()))</f>
        <v/>
      </c>
      <c r="O198" s="9">
        <f>IF(AND(TRIM($A198)="Finalized",$K198&lt;&gt;""),"",DATE(2026,9,23))</f>
        <v>46288</v>
      </c>
      <c r="P198" s="8" t="s">
        <v>86</v>
      </c>
      <c r="Q198" s="8" t="s">
        <v>116</v>
      </c>
      <c r="R198" s="8" t="s">
        <v>117</v>
      </c>
      <c r="S198" s="8" t="s">
        <v>74</v>
      </c>
      <c r="T198" s="8" t="s">
        <v>73</v>
      </c>
      <c r="U198" s="8" t="s">
        <v>74</v>
      </c>
      <c r="V198" s="8" t="s">
        <v>455</v>
      </c>
      <c r="W198" s="8" t="s">
        <v>76</v>
      </c>
      <c r="X198" s="8"/>
      <c r="Y198" s="8"/>
      <c r="Z198" s="8"/>
      <c r="AA198" s="8" t="s">
        <v>77</v>
      </c>
      <c r="AB198" s="10">
        <v>11163.74</v>
      </c>
      <c r="AC198" s="10">
        <v>0</v>
      </c>
      <c r="AD198" s="10">
        <v>0</v>
      </c>
      <c r="AE198" s="9">
        <v>46220</v>
      </c>
      <c r="AF198" s="10">
        <v>11163.74</v>
      </c>
      <c r="AG198" s="7">
        <v>44</v>
      </c>
      <c r="AH198" s="8" t="s">
        <v>285</v>
      </c>
      <c r="AI198" s="8" t="s">
        <v>308</v>
      </c>
      <c r="AJ198" s="8" t="s">
        <v>419</v>
      </c>
      <c r="AK198" s="8" t="s">
        <v>670</v>
      </c>
      <c r="AL198" s="7"/>
      <c r="AM198" s="8" t="s">
        <v>217</v>
      </c>
      <c r="AN198" s="8" t="s">
        <v>109</v>
      </c>
      <c r="AO198" s="9">
        <v>46203</v>
      </c>
    </row>
    <row r="199" spans="1:41" x14ac:dyDescent="0.25">
      <c r="A199" s="5" t="str">
        <f>IFERROR(IF(INDEX([6]ORTHO!$A$2:$A$39,MATCH($D199,[6]ORTHO!$D$2:$D$39,0))="","",INDEX([6]ORTHO!$A$2:$A$39,MATCH($D199,[6]ORTHO!$D$2:$D$39,0))),"")</f>
        <v>Denied</v>
      </c>
      <c r="B199" s="5" t="str">
        <f>IFERROR(IF(INDEX([6]ORTHO!$B$2:$B$39,MATCH($D199,[6]ORTHO!$D$2:$D$39,0))="","",INDEX([6]ORTHO!$B$2:$B$39,MATCH($D199,[6]ORTHO!$D$2:$D$39,0))),"")</f>
        <v>Filed Reconsideration Ticket Number: PIQ-91152640 - DND 63030 due too no auth</v>
      </c>
      <c r="C199" s="6">
        <f>IFERROR(IF(INDEX([6]ORTHO!$C$2:$C$39,MATCH($D199,[6]ORTHO!$D$2:$D$39,0))="","",INDEX([6]ORTHO!$C$2:$C$39,MATCH($D199,[6]ORTHO!$D$2:$D$39,0))),"")</f>
        <v>46210</v>
      </c>
      <c r="D199" s="7">
        <v>563854100</v>
      </c>
      <c r="E199" s="8" t="s">
        <v>671</v>
      </c>
      <c r="F199" s="9">
        <v>46198</v>
      </c>
      <c r="G199" s="8" t="s">
        <v>114</v>
      </c>
      <c r="H199" s="8" t="s">
        <v>114</v>
      </c>
      <c r="I199" s="8" t="s">
        <v>69</v>
      </c>
      <c r="J199" s="8" t="s">
        <v>672</v>
      </c>
      <c r="K199" s="6">
        <f>IFERROR(IF(INDEX([6]ORTHO!$K$2:$K$39,MATCH($D199,[6]ORTHO!$D$2:$D$39,0))="","",INDEX([6]ORTHO!$K$2:$K$39,MATCH($D199,[6]ORTHO!$D$2:$D$39,0))),"")</f>
        <v>46283</v>
      </c>
      <c r="L199" s="11">
        <f ca="1">IF($O199="","",$O199-TODAY())</f>
        <v>-16</v>
      </c>
      <c r="M199" s="11">
        <f ca="1">IF(AND(TRIM($A199)="Finalized",$K199&lt;&gt;""),"",IF($C199="","",$C199+180-TODAY()))</f>
        <v>86</v>
      </c>
      <c r="N199" s="11">
        <f ca="1">IF(AND(TRIM($A199)="Finalized",$K199&lt;&gt;""),"",IF($C199="","",$C199+365-TODAY()))</f>
        <v>271</v>
      </c>
      <c r="O199" s="9">
        <f>IF(AND(TRIM($A199)="Finalized",$K199&lt;&gt;""),"",DATE(2026,9,23))</f>
        <v>46288</v>
      </c>
      <c r="P199" s="8" t="s">
        <v>86</v>
      </c>
      <c r="Q199" s="8" t="s">
        <v>116</v>
      </c>
      <c r="R199" s="8" t="s">
        <v>117</v>
      </c>
      <c r="S199" s="8" t="s">
        <v>74</v>
      </c>
      <c r="T199" s="8" t="s">
        <v>73</v>
      </c>
      <c r="U199" s="8" t="s">
        <v>74</v>
      </c>
      <c r="V199" s="8" t="s">
        <v>455</v>
      </c>
      <c r="W199" s="8" t="s">
        <v>76</v>
      </c>
      <c r="X199" s="8" t="s">
        <v>153</v>
      </c>
      <c r="Y199" s="8"/>
      <c r="Z199" s="8"/>
      <c r="AA199" s="8" t="s">
        <v>77</v>
      </c>
      <c r="AB199" s="10">
        <v>6297.27</v>
      </c>
      <c r="AC199" s="10">
        <v>0</v>
      </c>
      <c r="AD199" s="10">
        <v>0</v>
      </c>
      <c r="AE199" s="9"/>
      <c r="AF199" s="10">
        <v>6297.27</v>
      </c>
      <c r="AG199" s="7">
        <v>44</v>
      </c>
      <c r="AH199" s="8" t="s">
        <v>145</v>
      </c>
      <c r="AI199" s="8" t="s">
        <v>79</v>
      </c>
      <c r="AJ199" s="8" t="s">
        <v>241</v>
      </c>
      <c r="AK199" s="8"/>
      <c r="AL199" s="7"/>
      <c r="AM199" s="8" t="s">
        <v>217</v>
      </c>
      <c r="AN199" s="8" t="s">
        <v>109</v>
      </c>
      <c r="AO199" s="9">
        <v>46203</v>
      </c>
    </row>
    <row r="200" spans="1:41" x14ac:dyDescent="0.25">
      <c r="A200" s="5" t="str">
        <f>IFERROR(IF(INDEX([6]BH!$A$2:$A$82,MATCH($D200,[6]BH!$D$2:$D$82,0))="","",INDEX([6]BH!$A$2:$A$82,MATCH($D200,[6]BH!$D$2:$D$82,0))),"")</f>
        <v>Denied</v>
      </c>
      <c r="B200" s="5" t="str">
        <f>IFERROR(IF(INDEX([6]BH!$B$2:$B$82,MATCH($D200,[6]BH!$D$2:$D$82,0))="","",INDEX([6]BH!$B$2:$B$82,MATCH($D200,[6]BH!$D$2:$D$82,0))),"")</f>
        <v>Awaiting resolution on claim #556349314 (DOS 01/27/2026) before reprocessing</v>
      </c>
      <c r="C200" s="6">
        <f>IFERROR(IF(INDEX([6]BH!$C$2:$C$82,MATCH($D200,[6]BH!$D$2:$D$82,0))="","",INDEX([6]BH!$C$2:$C$82,MATCH($D200,[6]BH!$D$2:$D$82,0))),"")</f>
        <v>46259</v>
      </c>
      <c r="D200" s="7">
        <v>563454979</v>
      </c>
      <c r="E200" s="8" t="s">
        <v>196</v>
      </c>
      <c r="F200" s="9">
        <v>46198</v>
      </c>
      <c r="G200" s="8" t="s">
        <v>134</v>
      </c>
      <c r="H200" s="8" t="s">
        <v>134</v>
      </c>
      <c r="I200" s="8" t="s">
        <v>69</v>
      </c>
      <c r="J200" s="8" t="s">
        <v>203</v>
      </c>
      <c r="K200" s="6">
        <f>IFERROR(IF(INDEX([6]BH!$K$2:$K$82,MATCH($D200,[6]BH!$D$2:$D$82,0))="","",INDEX([6]BH!$K$2:$K$82,MATCH($D200,[6]BH!$D$2:$D$82,0))),"")</f>
        <v>46284</v>
      </c>
      <c r="L200" s="11">
        <f ca="1">IF($O200="","",$O200-TODAY())</f>
        <v>-16</v>
      </c>
      <c r="M200" s="11">
        <f ca="1">IF(AND(TRIM($A200)="Finalized",$K200&lt;&gt;""),"",IF($C200="","",$C200+365-TODAY()))</f>
        <v>320</v>
      </c>
      <c r="N200" s="11">
        <f ca="1">IF(AND(TRIM($A200)="Finalized",$K200&lt;&gt;""),"",IF($C200="","",$C200+365-TODAY()))</f>
        <v>320</v>
      </c>
      <c r="O200" s="9">
        <f>IF(AND(TRIM($A200)="Finalized",$K200&lt;&gt;""),"",DATE(2026,9,23))</f>
        <v>46288</v>
      </c>
      <c r="P200" s="8" t="s">
        <v>86</v>
      </c>
      <c r="Q200" s="8" t="s">
        <v>136</v>
      </c>
      <c r="R200" s="8" t="s">
        <v>73</v>
      </c>
      <c r="S200" s="8" t="s">
        <v>74</v>
      </c>
      <c r="T200" s="8" t="s">
        <v>73</v>
      </c>
      <c r="U200" s="8" t="s">
        <v>74</v>
      </c>
      <c r="V200" s="8" t="s">
        <v>455</v>
      </c>
      <c r="W200" s="8" t="s">
        <v>118</v>
      </c>
      <c r="X200" s="8"/>
      <c r="Y200" s="8"/>
      <c r="Z200" s="8"/>
      <c r="AA200" s="8" t="s">
        <v>77</v>
      </c>
      <c r="AB200" s="10">
        <v>1372.91</v>
      </c>
      <c r="AC200" s="10">
        <v>0</v>
      </c>
      <c r="AD200" s="10">
        <v>0</v>
      </c>
      <c r="AE200" s="9">
        <v>46259</v>
      </c>
      <c r="AF200" s="10">
        <v>1372.91</v>
      </c>
      <c r="AG200" s="7">
        <v>44</v>
      </c>
      <c r="AH200" s="8" t="s">
        <v>119</v>
      </c>
      <c r="AI200" s="8"/>
      <c r="AJ200" s="8"/>
      <c r="AK200" s="8"/>
      <c r="AL200" s="7"/>
      <c r="AM200" s="8" t="s">
        <v>146</v>
      </c>
      <c r="AN200" s="8" t="s">
        <v>632</v>
      </c>
      <c r="AO200" s="9">
        <v>46246</v>
      </c>
    </row>
    <row r="201" spans="1:41" x14ac:dyDescent="0.25">
      <c r="A201" s="5" t="str">
        <f>IFERROR(IF(INDEX([5]BH!$A$2:$A$33,MATCH($D201,[5]BH!$D$2:$D$33,0))="","",INDEX([5]BH!$A$2:$A$33,MATCH($D201,[5]BH!$D$2:$D$33,0))),"")</f>
        <v>Under Review</v>
      </c>
      <c r="B201" s="5" t="str">
        <f>IFERROR(IF(INDEX([5]BH!$B$2:$B$33,MATCH($D201,[5]BH!$D$2:$D$33,0))="","",INDEX([5]BH!$B$2:$B$33,MATCH($D201,[5]BH!$D$2:$D$33,0))),"")</f>
        <v>I need to call PT - Aetna termed date March 31, 2026</v>
      </c>
      <c r="C201" s="6">
        <f>IFERROR(IF(INDEX([5]BH!$C$2:$C$33,MATCH($D201,[5]BH!$D$2:$D$33,0))="","",INDEX([5]BH!$C$2:$C$33,MATCH($D201,[5]BH!$D$2:$D$33,0))),"")</f>
        <v>46195</v>
      </c>
      <c r="D201" s="7">
        <v>560450629</v>
      </c>
      <c r="E201" s="8" t="s">
        <v>677</v>
      </c>
      <c r="F201" s="9">
        <v>46169</v>
      </c>
      <c r="G201" s="8" t="s">
        <v>377</v>
      </c>
      <c r="H201" s="8" t="s">
        <v>377</v>
      </c>
      <c r="I201" s="8" t="s">
        <v>69</v>
      </c>
      <c r="J201" s="8" t="s">
        <v>160</v>
      </c>
      <c r="K201" s="6" t="str">
        <f>IFERROR(IF(INDEX([5]BH!$K$2:$K$33,MATCH($D201,[5]BH!$D$2:$D$33,0))="","",INDEX([5]BH!$K$2:$K$33,MATCH($D201,[5]BH!$D$2:$D$33,0))),"")</f>
        <v/>
      </c>
      <c r="L201" s="11">
        <f ca="1">IF($O201="","",$O201-TODAY())</f>
        <v>-15</v>
      </c>
      <c r="M201" s="11">
        <f ca="1">IF(AND(TRIM($A201)="Finalized",$K201&lt;&gt;""),"",IF($C201="","",$C201+180-TODAY()))</f>
        <v>71</v>
      </c>
      <c r="N201" s="11">
        <f ca="1">IF(AND(TRIM($A201)="Finalized",$K201&lt;&gt;""),"",IF($C201="","",$C201+180-TODAY()))</f>
        <v>71</v>
      </c>
      <c r="O201" s="9">
        <f>IF(AND(TRIM($A201)="Finalized",$K201&lt;&gt;""),"",DATE(2026,9,24))</f>
        <v>46289</v>
      </c>
      <c r="P201" s="8" t="s">
        <v>208</v>
      </c>
      <c r="Q201" s="8" t="s">
        <v>379</v>
      </c>
      <c r="R201" s="8" t="s">
        <v>117</v>
      </c>
      <c r="S201" s="8" t="s">
        <v>74</v>
      </c>
      <c r="T201" s="8" t="s">
        <v>117</v>
      </c>
      <c r="U201" s="8" t="s">
        <v>74</v>
      </c>
      <c r="V201" s="8" t="s">
        <v>365</v>
      </c>
      <c r="W201" s="8" t="s">
        <v>118</v>
      </c>
      <c r="X201" s="8"/>
      <c r="Y201" s="8"/>
      <c r="Z201" s="8"/>
      <c r="AA201" s="8" t="s">
        <v>77</v>
      </c>
      <c r="AB201" s="10">
        <v>976.64</v>
      </c>
      <c r="AC201" s="10">
        <v>0</v>
      </c>
      <c r="AD201" s="10">
        <v>0</v>
      </c>
      <c r="AE201" s="9">
        <v>46195</v>
      </c>
      <c r="AF201" s="10">
        <v>976.64</v>
      </c>
      <c r="AG201" s="7">
        <v>73</v>
      </c>
      <c r="AH201" s="8" t="s">
        <v>119</v>
      </c>
      <c r="AI201" s="8"/>
      <c r="AJ201" s="8"/>
      <c r="AK201" s="8"/>
      <c r="AL201" s="7"/>
      <c r="AM201" s="8" t="s">
        <v>146</v>
      </c>
      <c r="AN201" s="8" t="s">
        <v>132</v>
      </c>
      <c r="AO201" s="9">
        <v>46182</v>
      </c>
    </row>
    <row r="202" spans="1:41" x14ac:dyDescent="0.25">
      <c r="A202" s="5" t="str">
        <f>IFERROR(IF(INDEX([6]BH!$A$2:$A$82,MATCH($D202,[6]BH!$D$2:$D$82,0))="","",INDEX([6]BH!$A$2:$A$82,MATCH($D202,[6]BH!$D$2:$D$82,0))),"")</f>
        <v>Under Review</v>
      </c>
      <c r="B202" s="5" t="str">
        <f>IFERROR(IF(INDEX([6]BH!$B$2:$B$82,MATCH($D202,[6]BH!$D$2:$D$82,0))="","",INDEX([6]BH!$B$2:$B$82,MATCH($D202,[6]BH!$D$2:$D$82,0))),"")</f>
        <v>secondary - Possible OP</v>
      </c>
      <c r="C202" s="6">
        <f>IFERROR(IF(INDEX([6]BH!$C$2:$C$82,MATCH($D202,[6]BH!$D$2:$D$82,0))="","",INDEX([6]BH!$C$2:$C$82,MATCH($D202,[6]BH!$D$2:$D$82,0))),"")</f>
        <v>46267</v>
      </c>
      <c r="D202" s="7">
        <v>563716478</v>
      </c>
      <c r="E202" s="8" t="s">
        <v>678</v>
      </c>
      <c r="F202" s="9">
        <v>46202</v>
      </c>
      <c r="G202" s="8" t="s">
        <v>148</v>
      </c>
      <c r="H202" s="8" t="s">
        <v>123</v>
      </c>
      <c r="I202" s="8" t="s">
        <v>148</v>
      </c>
      <c r="J202" s="8" t="s">
        <v>195</v>
      </c>
      <c r="K202" s="6">
        <f>IFERROR(IF(INDEX([6]BH!$K$2:$K$82,MATCH($D202,[6]BH!$D$2:$D$82,0))="","",INDEX([6]BH!$K$2:$K$82,MATCH($D202,[6]BH!$D$2:$D$82,0))),"")</f>
        <v>46275</v>
      </c>
      <c r="L202" s="11">
        <f ca="1">IF($O202="","",$O202-TODAY())</f>
        <v>-12</v>
      </c>
      <c r="M202" s="11">
        <f ca="1">IF(AND(TRIM($A202)="Finalized",$K202&lt;&gt;""),"",IF($F202="","",$F202+90-TODAY()))</f>
        <v>-12</v>
      </c>
      <c r="N202" s="11">
        <f ca="1">IF(AND(TRIM($A202)="Finalized",$K202&lt;&gt;""),"",IF($C202="","",$C202+365-TODAY()))</f>
        <v>328</v>
      </c>
      <c r="O202" s="9">
        <f>IF(AND(TRIM($A202)="Finalized",$K202&lt;&gt;""),"",DATE(2026,9,27))</f>
        <v>46292</v>
      </c>
      <c r="P202" s="8" t="s">
        <v>86</v>
      </c>
      <c r="Q202" s="8" t="s">
        <v>125</v>
      </c>
      <c r="R202" s="8" t="s">
        <v>86</v>
      </c>
      <c r="S202" s="8" t="s">
        <v>88</v>
      </c>
      <c r="T202" s="8" t="s">
        <v>73</v>
      </c>
      <c r="U202" s="8" t="s">
        <v>74</v>
      </c>
      <c r="V202" s="8" t="s">
        <v>455</v>
      </c>
      <c r="W202" s="8" t="s">
        <v>118</v>
      </c>
      <c r="X202" s="8"/>
      <c r="Y202" s="8"/>
      <c r="Z202" s="8"/>
      <c r="AA202" s="8" t="s">
        <v>77</v>
      </c>
      <c r="AB202" s="10">
        <v>1426.25</v>
      </c>
      <c r="AC202" s="10">
        <v>1281.58</v>
      </c>
      <c r="AD202" s="10">
        <v>173.48</v>
      </c>
      <c r="AE202" s="9">
        <v>46267</v>
      </c>
      <c r="AF202" s="10">
        <v>-28.81</v>
      </c>
      <c r="AG202" s="7">
        <v>40</v>
      </c>
      <c r="AH202" s="8" t="s">
        <v>119</v>
      </c>
      <c r="AI202" s="8"/>
      <c r="AJ202" s="8"/>
      <c r="AK202" s="8"/>
      <c r="AL202" s="7" t="s">
        <v>679</v>
      </c>
      <c r="AM202" s="8" t="s">
        <v>94</v>
      </c>
      <c r="AN202" s="8" t="s">
        <v>95</v>
      </c>
      <c r="AO202" s="9">
        <v>46217</v>
      </c>
    </row>
    <row r="203" spans="1:41" x14ac:dyDescent="0.25">
      <c r="A203" s="5" t="str">
        <f>IFERROR(IF(INDEX([6]DME!$A$2:$A$51,MATCH($D203,[6]DME!$D$2:$D$51,0))="","",INDEX([6]DME!$A$2:$A$51,MATCH($D203,[6]DME!$D$2:$D$51,0))),"")</f>
        <v>Denied</v>
      </c>
      <c r="B203" s="5" t="str">
        <f>IFERROR(IF(INDEX([6]DME!$B$2:$B$51,MATCH($D203,[6]DME!$D$2:$D$51,0))="","",INDEX([6]DME!$B$2:$B$51,MATCH($D203,[6]DME!$D$2:$D$51,0))),"")</f>
        <v>Uploaded MR - Barcode OC2007391060001 - Confirmation ID 1000086072612</v>
      </c>
      <c r="C203" s="6">
        <f>IFERROR(IF(INDEX([6]DME!$C$2:$C$51,MATCH($D203,[6]DME!$D$2:$D$51,0))="","",INDEX([6]DME!$C$2:$C$51,MATCH($D203,[6]DME!$D$2:$D$51,0))),"")</f>
        <v>46220</v>
      </c>
      <c r="D203" s="7">
        <v>564053524</v>
      </c>
      <c r="E203" s="8" t="s">
        <v>680</v>
      </c>
      <c r="F203" s="9">
        <v>46202</v>
      </c>
      <c r="G203" s="8" t="s">
        <v>134</v>
      </c>
      <c r="H203" s="8" t="s">
        <v>134</v>
      </c>
      <c r="I203" s="8" t="s">
        <v>69</v>
      </c>
      <c r="J203" s="8" t="s">
        <v>289</v>
      </c>
      <c r="K203" s="6">
        <f>IFERROR(IF(INDEX([6]DME!$K$2:$K$51,MATCH($D203,[6]DME!$D$2:$D$51,0))="","",INDEX([6]DME!$K$2:$K$51,MATCH($D203,[6]DME!$D$2:$D$51,0))),"")</f>
        <v>46282</v>
      </c>
      <c r="L203" s="11">
        <f ca="1">IF($O203="","",$O203-TODAY())</f>
        <v>-12</v>
      </c>
      <c r="M203" s="11">
        <f ca="1">IF(AND(TRIM($A203)="Finalized",$K203&lt;&gt;""),"",IF($C203="","",$C203+365-TODAY()))</f>
        <v>281</v>
      </c>
      <c r="N203" s="11">
        <f ca="1">IF(AND(TRIM($A203)="Finalized",$K203&lt;&gt;""),"",IF($C203="","",$C203+365-TODAY()))</f>
        <v>281</v>
      </c>
      <c r="O203" s="9">
        <f>IF(AND(TRIM($A203)="Finalized",$K203&lt;&gt;""),"",DATE(2026,9,27))</f>
        <v>46292</v>
      </c>
      <c r="P203" s="8" t="s">
        <v>86</v>
      </c>
      <c r="Q203" s="8" t="s">
        <v>136</v>
      </c>
      <c r="R203" s="8" t="s">
        <v>73</v>
      </c>
      <c r="S203" s="8" t="s">
        <v>74</v>
      </c>
      <c r="T203" s="8" t="s">
        <v>73</v>
      </c>
      <c r="U203" s="8" t="s">
        <v>74</v>
      </c>
      <c r="V203" s="8" t="s">
        <v>455</v>
      </c>
      <c r="W203" s="8" t="s">
        <v>89</v>
      </c>
      <c r="X203" s="8" t="s">
        <v>290</v>
      </c>
      <c r="Y203" s="8"/>
      <c r="Z203" s="8"/>
      <c r="AA203" s="8" t="s">
        <v>77</v>
      </c>
      <c r="AB203" s="10">
        <v>6392.96</v>
      </c>
      <c r="AC203" s="10">
        <v>0</v>
      </c>
      <c r="AD203" s="10">
        <v>0</v>
      </c>
      <c r="AE203" s="9">
        <v>46220</v>
      </c>
      <c r="AF203" s="10">
        <v>6392.96</v>
      </c>
      <c r="AG203" s="7">
        <v>40</v>
      </c>
      <c r="AH203" s="8" t="s">
        <v>681</v>
      </c>
      <c r="AI203" s="8" t="s">
        <v>336</v>
      </c>
      <c r="AJ203" s="8"/>
      <c r="AK203" s="8"/>
      <c r="AL203" s="7"/>
      <c r="AM203" s="8" t="s">
        <v>321</v>
      </c>
      <c r="AN203" s="8" t="s">
        <v>132</v>
      </c>
      <c r="AO203" s="9">
        <v>46204</v>
      </c>
    </row>
    <row r="204" spans="1:41" x14ac:dyDescent="0.25">
      <c r="A204" s="5" t="str">
        <f>IFERROR(IF(INDEX([6]DME!$A$2:$A$51,MATCH($D204,[6]DME!$D$2:$D$51,0))="","",INDEX([6]DME!$A$2:$A$51,MATCH($D204,[6]DME!$D$2:$D$51,0))),"")</f>
        <v>Denied</v>
      </c>
      <c r="B204" s="5" t="str">
        <f>IFERROR(IF(INDEX([6]DME!$B$2:$B$51,MATCH($D204,[6]DME!$D$2:$D$51,0))="","",INDEX([6]DME!$B$2:$B$51,MATCH($D204,[6]DME!$D$2:$D$51,0))),"")</f>
        <v>Added plan # FEP 105, and resubmitted - DND N245 Incomplete/invalid plan information for other insurance</v>
      </c>
      <c r="C204" s="6">
        <f>IFERROR(IF(INDEX([6]DME!$C$2:$C$51,MATCH($D204,[6]DME!$D$2:$D$51,0))="","",INDEX([6]DME!$C$2:$C$51,MATCH($D204,[6]DME!$D$2:$D$51,0))),"")</f>
        <v>46210</v>
      </c>
      <c r="D204" s="7">
        <v>572251031</v>
      </c>
      <c r="E204" s="8" t="s">
        <v>467</v>
      </c>
      <c r="F204" s="9">
        <v>46202</v>
      </c>
      <c r="G204" s="8" t="s">
        <v>123</v>
      </c>
      <c r="H204" s="8" t="s">
        <v>123</v>
      </c>
      <c r="I204" s="8" t="s">
        <v>69</v>
      </c>
      <c r="J204" s="8" t="s">
        <v>85</v>
      </c>
      <c r="K204" s="6">
        <f>IFERROR(IF(INDEX([6]DME!$K$2:$K$51,MATCH($D204,[6]DME!$D$2:$D$51,0))="","",INDEX([6]DME!$K$2:$K$51,MATCH($D204,[6]DME!$D$2:$D$51,0))),"")</f>
        <v>46283</v>
      </c>
      <c r="L204" s="11">
        <f ca="1">IF($O204="","",$O204-TODAY())</f>
        <v>-12</v>
      </c>
      <c r="M204" s="11">
        <f ca="1">IF(AND(TRIM($A204)="Finalized",$K204&lt;&gt;""),"",IF($F204="","",$F204+90-TODAY()))</f>
        <v>-12</v>
      </c>
      <c r="N204" s="11">
        <f ca="1">IF(AND(TRIM($A204)="Finalized",$K204&lt;&gt;""),"",IF($C204="","",$C204+365-TODAY()))</f>
        <v>271</v>
      </c>
      <c r="O204" s="9">
        <f>IF(AND(TRIM($A204)="Finalized",$K204&lt;&gt;""),"",DATE(2026,9,27))</f>
        <v>46292</v>
      </c>
      <c r="P204" s="8" t="s">
        <v>86</v>
      </c>
      <c r="Q204" s="8" t="s">
        <v>125</v>
      </c>
      <c r="R204" s="8" t="s">
        <v>86</v>
      </c>
      <c r="S204" s="8" t="s">
        <v>88</v>
      </c>
      <c r="T204" s="8" t="s">
        <v>73</v>
      </c>
      <c r="U204" s="8" t="s">
        <v>74</v>
      </c>
      <c r="V204" s="8" t="s">
        <v>455</v>
      </c>
      <c r="W204" s="8" t="s">
        <v>89</v>
      </c>
      <c r="X204" s="8" t="s">
        <v>90</v>
      </c>
      <c r="Y204" s="8"/>
      <c r="Z204" s="8"/>
      <c r="AA204" s="8" t="s">
        <v>91</v>
      </c>
      <c r="AB204" s="10">
        <v>36353.800000000003</v>
      </c>
      <c r="AC204" s="10">
        <v>0</v>
      </c>
      <c r="AD204" s="10">
        <v>0</v>
      </c>
      <c r="AE204" s="9"/>
      <c r="AF204" s="10">
        <v>36353.800000000003</v>
      </c>
      <c r="AG204" s="7">
        <v>40</v>
      </c>
      <c r="AH204" s="8" t="s">
        <v>92</v>
      </c>
      <c r="AI204" s="8"/>
      <c r="AJ204" s="8"/>
      <c r="AK204" s="8"/>
      <c r="AL204" s="7"/>
      <c r="AM204" s="8" t="s">
        <v>131</v>
      </c>
      <c r="AN204" s="8" t="s">
        <v>325</v>
      </c>
      <c r="AO204" s="9">
        <v>46205</v>
      </c>
    </row>
    <row r="205" spans="1:41" x14ac:dyDescent="0.25">
      <c r="A205" s="5" t="str">
        <f>IFERROR(IF(INDEX([6]GAE!$A$2:$A$23,MATCH($D205,[6]GAE!$D$2:$D$23,0))="","",INDEX([6]GAE!$A$2:$A$23,MATCH($D205,[6]GAE!$D$2:$D$23,0))),"")</f>
        <v>Denied</v>
      </c>
      <c r="B205" s="5" t="str">
        <f>IFERROR(IF(INDEX([6]GAE!$B$2:$B$23,MATCH($D205,[6]GAE!$D$2:$D$23,0))="","",INDEX([6]GAE!$B$2:$B$23,MATCH($D205,[6]GAE!$D$2:$D$23,0))),"")</f>
        <v xml:space="preserve">Uploaded MR on portal - Request ID:36466407 - DND due to incomplete MR - Jess uploaded MR </v>
      </c>
      <c r="C205" s="6">
        <f>IFERROR(IF(INDEX([6]GAE!$C$2:$C$23,MATCH($D205,[6]GAE!$D$2:$D$23,0))="","",INDEX([6]GAE!$C$2:$C$23,MATCH($D205,[6]GAE!$D$2:$D$23,0))),"")</f>
        <v>46262</v>
      </c>
      <c r="D205" s="7">
        <v>565098609</v>
      </c>
      <c r="E205" s="8" t="s">
        <v>682</v>
      </c>
      <c r="F205" s="9">
        <v>46202</v>
      </c>
      <c r="G205" s="8" t="s">
        <v>97</v>
      </c>
      <c r="H205" s="8" t="s">
        <v>97</v>
      </c>
      <c r="I205" s="8" t="s">
        <v>69</v>
      </c>
      <c r="J205" s="8" t="s">
        <v>683</v>
      </c>
      <c r="K205" s="6">
        <f>IFERROR(IF(INDEX([6]GAE!$K$2:$K$23,MATCH($D205,[6]GAE!$D$2:$D$23,0))="","",INDEX([6]GAE!$K$2:$K$23,MATCH($D205,[6]GAE!$D$2:$D$23,0))),"")</f>
        <v>46283</v>
      </c>
      <c r="L205" s="11">
        <f ca="1">IF($O205="","",$O205-TODAY())</f>
        <v>-12</v>
      </c>
      <c r="M205" s="11">
        <f ca="1">IF(AND(TRIM($A205)="Finalized",$K205&lt;&gt;""),"",IF($F205="","",$F205+90-TODAY()))</f>
        <v>-12</v>
      </c>
      <c r="N205" s="11">
        <f ca="1">IF(AND(TRIM($A205)="Finalized",$K205&lt;&gt;""),"",IF($C205="","",$C205+540-TODAY()))</f>
        <v>498</v>
      </c>
      <c r="O205" s="9">
        <f>IF(AND(TRIM($A205)="Finalized",$K205&lt;&gt;""),"",DATE(2026,9,27))</f>
        <v>46292</v>
      </c>
      <c r="P205" s="8" t="s">
        <v>86</v>
      </c>
      <c r="Q205" s="8" t="s">
        <v>99</v>
      </c>
      <c r="R205" s="8" t="s">
        <v>86</v>
      </c>
      <c r="S205" s="8" t="s">
        <v>88</v>
      </c>
      <c r="T205" s="8" t="s">
        <v>100</v>
      </c>
      <c r="U205" s="8" t="s">
        <v>74</v>
      </c>
      <c r="V205" s="8" t="s">
        <v>455</v>
      </c>
      <c r="W205" s="8" t="s">
        <v>101</v>
      </c>
      <c r="X205" s="8" t="s">
        <v>257</v>
      </c>
      <c r="Y205" s="8" t="s">
        <v>652</v>
      </c>
      <c r="Z205" s="8" t="s">
        <v>103</v>
      </c>
      <c r="AA205" s="8" t="s">
        <v>684</v>
      </c>
      <c r="AB205" s="10">
        <v>87420.55</v>
      </c>
      <c r="AC205" s="10">
        <v>0</v>
      </c>
      <c r="AD205" s="10">
        <v>0</v>
      </c>
      <c r="AE205" s="9"/>
      <c r="AF205" s="10">
        <v>87420.55</v>
      </c>
      <c r="AG205" s="7">
        <v>40</v>
      </c>
      <c r="AH205" s="8" t="s">
        <v>105</v>
      </c>
      <c r="AI205" s="8" t="s">
        <v>106</v>
      </c>
      <c r="AJ205" s="8" t="s">
        <v>107</v>
      </c>
      <c r="AK205" s="8"/>
      <c r="AL205" s="7"/>
      <c r="AM205" s="8" t="s">
        <v>108</v>
      </c>
      <c r="AN205" s="8" t="s">
        <v>81</v>
      </c>
      <c r="AO205" s="9">
        <v>46216</v>
      </c>
    </row>
    <row r="206" spans="1:41" x14ac:dyDescent="0.25">
      <c r="A206" s="5" t="str">
        <f>IFERROR(IF(INDEX([6]GAE!$A$2:$A$23,MATCH($D206,[6]GAE!$D$2:$D$23,0))="","",INDEX([6]GAE!$A$2:$A$23,MATCH($D206,[6]GAE!$D$2:$D$23,0))),"")</f>
        <v>Pending</v>
      </c>
      <c r="B206" s="5" t="str">
        <f>IFERROR(IF(INDEX([6]GAE!$B$2:$B$23,MATCH($D206,[6]GAE!$D$2:$D$23,0))="","",INDEX([6]GAE!$B$2:$B$23,MATCH($D206,[6]GAE!$D$2:$D$23,0))),"")</f>
        <v>Uploaded MR - PIQ-91178548</v>
      </c>
      <c r="C206" s="6">
        <f>IFERROR(IF(INDEX([6]GAE!$C$2:$C$23,MATCH($D206,[6]GAE!$D$2:$D$23,0))="","",INDEX([6]GAE!$C$2:$C$23,MATCH($D206,[6]GAE!$D$2:$D$23,0))),"")</f>
        <v>46276</v>
      </c>
      <c r="D206" s="7">
        <v>566323995</v>
      </c>
      <c r="E206" s="8" t="s">
        <v>685</v>
      </c>
      <c r="F206" s="9">
        <v>46202</v>
      </c>
      <c r="G206" s="8" t="s">
        <v>148</v>
      </c>
      <c r="H206" s="8" t="s">
        <v>148</v>
      </c>
      <c r="I206" s="8" t="s">
        <v>69</v>
      </c>
      <c r="J206" s="8" t="s">
        <v>686</v>
      </c>
      <c r="K206" s="6">
        <f>IFERROR(IF(INDEX([6]GAE!$K$2:$K$23,MATCH($D206,[6]GAE!$D$2:$D$23,0))="","",INDEX([6]GAE!$K$2:$K$23,MATCH($D206,[6]GAE!$D$2:$D$23,0))),"")</f>
        <v>46283</v>
      </c>
      <c r="L206" s="11">
        <f ca="1">IF($O206="","",$O206-TODAY())</f>
        <v>-12</v>
      </c>
      <c r="M206" s="11">
        <f ca="1">IF(AND(TRIM($A206)="Finalized",$K206&lt;&gt;""),"",IF($C206="","",$C206+180-TODAY()))</f>
        <v>152</v>
      </c>
      <c r="N206" s="11">
        <f ca="1">IF(AND(TRIM($A206)="Finalized",$K206&lt;&gt;""),"",IF($C206="","",$C206+365-TODAY()))</f>
        <v>337</v>
      </c>
      <c r="O206" s="9">
        <f>IF(AND(TRIM($A206)="Finalized",$K206&lt;&gt;""),"",DATE(2026,9,27))</f>
        <v>46292</v>
      </c>
      <c r="P206" s="8" t="s">
        <v>86</v>
      </c>
      <c r="Q206" s="8" t="s">
        <v>152</v>
      </c>
      <c r="R206" s="8" t="s">
        <v>117</v>
      </c>
      <c r="S206" s="8" t="s">
        <v>74</v>
      </c>
      <c r="T206" s="8" t="s">
        <v>73</v>
      </c>
      <c r="U206" s="8" t="s">
        <v>74</v>
      </c>
      <c r="V206" s="8" t="s">
        <v>455</v>
      </c>
      <c r="W206" s="8" t="s">
        <v>101</v>
      </c>
      <c r="X206" s="8" t="s">
        <v>153</v>
      </c>
      <c r="Y206" s="8"/>
      <c r="Z206" s="8"/>
      <c r="AA206" s="8" t="s">
        <v>77</v>
      </c>
      <c r="AB206" s="10">
        <v>59230.99</v>
      </c>
      <c r="AC206" s="10">
        <v>0</v>
      </c>
      <c r="AD206" s="10">
        <v>0</v>
      </c>
      <c r="AE206" s="9"/>
      <c r="AF206" s="10">
        <v>59230.99</v>
      </c>
      <c r="AG206" s="7">
        <v>40</v>
      </c>
      <c r="AH206" s="8" t="s">
        <v>486</v>
      </c>
      <c r="AI206" s="8"/>
      <c r="AJ206" s="8"/>
      <c r="AK206" s="8"/>
      <c r="AL206" s="7"/>
      <c r="AM206" s="8" t="s">
        <v>306</v>
      </c>
      <c r="AN206" s="8" t="s">
        <v>109</v>
      </c>
      <c r="AO206" s="9">
        <v>46225</v>
      </c>
    </row>
    <row r="207" spans="1:41" x14ac:dyDescent="0.25">
      <c r="A207" s="5" t="str">
        <f>IFERROR(IF(INDEX([6]DME!$A$2:$A$51,MATCH($D207,[6]DME!$D$2:$D$51,0))="","",INDEX([6]DME!$A$2:$A$51,MATCH($D207,[6]DME!$D$2:$D$51,0))),"")</f>
        <v>Denied</v>
      </c>
      <c r="B207" s="5" t="str">
        <f>IFERROR(IF(INDEX([6]DME!$B$2:$B$51,MATCH($D207,[6]DME!$D$2:$D$51,0))="","",INDEX([6]DME!$B$2:$B$51,MATCH($D207,[6]DME!$D$2:$D$51,0))),"")</f>
        <v xml:space="preserve">Filed Reconsideration Request ID: TT2646380 - Authorization 19816932 denied  - DND missing auth </v>
      </c>
      <c r="C207" s="6">
        <f>IFERROR(IF(INDEX([6]DME!$C$2:$C$51,MATCH($D207,[6]DME!$D$2:$D$51,0))="","",INDEX([6]DME!$C$2:$C$51,MATCH($D207,[6]DME!$D$2:$D$51,0))),"")</f>
        <v>46265</v>
      </c>
      <c r="D207" s="7">
        <v>567785138</v>
      </c>
      <c r="E207" s="8" t="s">
        <v>687</v>
      </c>
      <c r="F207" s="9">
        <v>46202</v>
      </c>
      <c r="G207" s="8" t="s">
        <v>134</v>
      </c>
      <c r="H207" s="8" t="s">
        <v>134</v>
      </c>
      <c r="I207" s="8" t="s">
        <v>69</v>
      </c>
      <c r="J207" s="8" t="s">
        <v>243</v>
      </c>
      <c r="K207" s="6">
        <f>IFERROR(IF(INDEX([6]DME!$K$2:$K$51,MATCH($D207,[6]DME!$D$2:$D$51,0))="","",INDEX([6]DME!$K$2:$K$51,MATCH($D207,[6]DME!$D$2:$D$51,0))),"")</f>
        <v>46283</v>
      </c>
      <c r="L207" s="11">
        <f ca="1">IF($O207="","",$O207-TODAY())</f>
        <v>-12</v>
      </c>
      <c r="M207" s="11">
        <f ca="1">IF(AND(TRIM($A207)="Finalized",$K207&lt;&gt;""),"",IF($C207="","",$C207+365-TODAY()))</f>
        <v>326</v>
      </c>
      <c r="N207" s="11">
        <f ca="1">IF(AND(TRIM($A207)="Finalized",$K207&lt;&gt;""),"",IF($C207="","",$C207+365-TODAY()))</f>
        <v>326</v>
      </c>
      <c r="O207" s="9">
        <f>IF(AND(TRIM($A207)="Finalized",$K207&lt;&gt;""),"",DATE(2026,9,27))</f>
        <v>46292</v>
      </c>
      <c r="P207" s="8" t="s">
        <v>86</v>
      </c>
      <c r="Q207" s="8" t="s">
        <v>136</v>
      </c>
      <c r="R207" s="8" t="s">
        <v>73</v>
      </c>
      <c r="S207" s="8" t="s">
        <v>74</v>
      </c>
      <c r="T207" s="8" t="s">
        <v>73</v>
      </c>
      <c r="U207" s="8" t="s">
        <v>74</v>
      </c>
      <c r="V207" s="8" t="s">
        <v>455</v>
      </c>
      <c r="W207" s="8" t="s">
        <v>89</v>
      </c>
      <c r="X207" s="8" t="s">
        <v>244</v>
      </c>
      <c r="Y207" s="8"/>
      <c r="Z207" s="8"/>
      <c r="AA207" s="8" t="s">
        <v>91</v>
      </c>
      <c r="AB207" s="10">
        <v>5916.4</v>
      </c>
      <c r="AC207" s="10">
        <v>0</v>
      </c>
      <c r="AD207" s="10">
        <v>0</v>
      </c>
      <c r="AE207" s="9"/>
      <c r="AF207" s="10">
        <v>5916.4</v>
      </c>
      <c r="AG207" s="7">
        <v>40</v>
      </c>
      <c r="AH207" s="8" t="s">
        <v>92</v>
      </c>
      <c r="AI207" s="8" t="s">
        <v>688</v>
      </c>
      <c r="AJ207" s="8"/>
      <c r="AK207" s="8"/>
      <c r="AL207" s="7"/>
      <c r="AM207" s="8" t="s">
        <v>460</v>
      </c>
      <c r="AN207" s="8" t="s">
        <v>158</v>
      </c>
      <c r="AO207" s="9">
        <v>46205</v>
      </c>
    </row>
    <row r="208" spans="1:41" x14ac:dyDescent="0.25">
      <c r="A208" s="5" t="str">
        <f>IFERROR(IF(INDEX([6]US!$A$2:$A$22,MATCH($D208,[6]US!$D$2:$D$22,0))="","",INDEX([6]US!$A$2:$A$22,MATCH($D208,[6]US!$D$2:$D$22,0))),"")</f>
        <v>Pending</v>
      </c>
      <c r="B208" s="5" t="str">
        <f>IFERROR(IF(INDEX([6]US!$B$2:$B$22,MATCH($D208,[6]US!$D$2:$D$22,0))="","",INDEX([6]US!$B$2:$B$22,MATCH($D208,[6]US!$D$2:$D$22,0))),"")</f>
        <v>secondary</v>
      </c>
      <c r="C208" s="6">
        <f>IFERROR(IF(INDEX([6]US!$C$2:$C$22,MATCH($D208,[6]US!$D$2:$D$22,0))="","",INDEX([6]US!$C$2:$C$22,MATCH($D208,[6]US!$D$2:$D$22,0))),"")</f>
        <v>46280</v>
      </c>
      <c r="D208" s="7">
        <v>564070165</v>
      </c>
      <c r="E208" s="8" t="s">
        <v>689</v>
      </c>
      <c r="F208" s="9">
        <v>46203</v>
      </c>
      <c r="G208" s="8" t="s">
        <v>148</v>
      </c>
      <c r="H208" s="8" t="s">
        <v>148</v>
      </c>
      <c r="I208" s="8" t="s">
        <v>690</v>
      </c>
      <c r="J208" s="8" t="s">
        <v>496</v>
      </c>
      <c r="K208" s="6">
        <f>IFERROR(IF(INDEX([6]US!$K$2:$K$22,MATCH($D208,[6]US!$D$2:$D$22,0))="","",INDEX([6]US!$K$2:$K$22,MATCH($D208,[6]US!$D$2:$D$22,0))),"")</f>
        <v>46204</v>
      </c>
      <c r="L208" s="11">
        <f ca="1">IF($O208="","",$O208-TODAY())</f>
        <v>-11</v>
      </c>
      <c r="M208" s="11">
        <f ca="1">IF(AND(TRIM($A208)="Finalized",$K208&lt;&gt;""),"",IF($C208="","",$C208+180-TODAY()))</f>
        <v>156</v>
      </c>
      <c r="N208" s="11">
        <f ca="1">IF(AND(TRIM($A208)="Finalized",$K208&lt;&gt;""),"",IF($C208="","",$C208+365-TODAY()))</f>
        <v>341</v>
      </c>
      <c r="O208" s="9">
        <f>IF(AND(TRIM($A208)="Finalized",$K208&lt;&gt;""),"",DATE(2026,9,28))</f>
        <v>46293</v>
      </c>
      <c r="P208" s="8" t="s">
        <v>86</v>
      </c>
      <c r="Q208" s="8" t="s">
        <v>152</v>
      </c>
      <c r="R208" s="8" t="s">
        <v>117</v>
      </c>
      <c r="S208" s="8" t="s">
        <v>74</v>
      </c>
      <c r="T208" s="8" t="s">
        <v>73</v>
      </c>
      <c r="U208" s="8" t="s">
        <v>74</v>
      </c>
      <c r="V208" s="8" t="s">
        <v>455</v>
      </c>
      <c r="W208" s="8" t="s">
        <v>129</v>
      </c>
      <c r="X208" s="8"/>
      <c r="Y208" s="8"/>
      <c r="Z208" s="8"/>
      <c r="AA208" s="8" t="s">
        <v>77</v>
      </c>
      <c r="AB208" s="10">
        <v>3822.49</v>
      </c>
      <c r="AC208" s="10">
        <v>0</v>
      </c>
      <c r="AD208" s="10">
        <v>0</v>
      </c>
      <c r="AE208" s="9"/>
      <c r="AF208" s="10">
        <v>3822.49</v>
      </c>
      <c r="AG208" s="7">
        <v>39</v>
      </c>
      <c r="AH208" s="8" t="s">
        <v>139</v>
      </c>
      <c r="AI208" s="8" t="s">
        <v>691</v>
      </c>
      <c r="AJ208" s="8" t="s">
        <v>130</v>
      </c>
      <c r="AK208" s="8"/>
      <c r="AL208" s="7"/>
      <c r="AM208" s="8" t="s">
        <v>157</v>
      </c>
      <c r="AN208" s="8" t="s">
        <v>158</v>
      </c>
      <c r="AO208" s="9">
        <v>46204</v>
      </c>
    </row>
    <row r="209" spans="1:41" x14ac:dyDescent="0.25">
      <c r="A209" s="5" t="str">
        <f>IFERROR(IF(INDEX([6]ORTHO!$A$2:$A$39,MATCH($D209,[6]ORTHO!$D$2:$D$39,0))="","",INDEX([6]ORTHO!$A$2:$A$39,MATCH($D209,[6]ORTHO!$D$2:$D$39,0))),"")</f>
        <v>Denied</v>
      </c>
      <c r="B209" s="5" t="str">
        <f>IFERROR(IF(INDEX([6]ORTHO!$B$2:$B$39,MATCH($D209,[6]ORTHO!$D$2:$D$39,0))="","",INDEX([6]ORTHO!$B$2:$B$39,MATCH($D209,[6]ORTHO!$D$2:$D$39,0))),"")</f>
        <v xml:space="preserve">Jess uploaded MR </v>
      </c>
      <c r="C209" s="6">
        <f>IFERROR(IF(INDEX([6]ORTHO!$C$2:$C$39,MATCH($D209,[6]ORTHO!$D$2:$D$39,0))="","",INDEX([6]ORTHO!$C$2:$C$39,MATCH($D209,[6]ORTHO!$D$2:$D$39,0))),"")</f>
        <v>46265</v>
      </c>
      <c r="D209" s="7">
        <v>564121445</v>
      </c>
      <c r="E209" s="8" t="s">
        <v>692</v>
      </c>
      <c r="F209" s="9">
        <v>46203</v>
      </c>
      <c r="G209" s="8" t="s">
        <v>134</v>
      </c>
      <c r="H209" s="8" t="s">
        <v>134</v>
      </c>
      <c r="I209" s="8" t="s">
        <v>69</v>
      </c>
      <c r="J209" s="8" t="s">
        <v>181</v>
      </c>
      <c r="K209" s="6">
        <f>IFERROR(IF(INDEX([6]ORTHO!$K$2:$K$39,MATCH($D209,[6]ORTHO!$D$2:$D$39,0))="","",INDEX([6]ORTHO!$K$2:$K$39,MATCH($D209,[6]ORTHO!$D$2:$D$39,0))),"")</f>
        <v>46259</v>
      </c>
      <c r="L209" s="11">
        <f ca="1">IF($O209="","",$O209-TODAY())</f>
        <v>-11</v>
      </c>
      <c r="M209" s="11">
        <f ca="1">IF(AND(TRIM($A209)="Finalized",$K209&lt;&gt;""),"",IF($C209="","",$C209+365-TODAY()))</f>
        <v>326</v>
      </c>
      <c r="N209" s="11">
        <f ca="1">IF(AND(TRIM($A209)="Finalized",$K209&lt;&gt;""),"",IF($C209="","",$C209+365-TODAY()))</f>
        <v>326</v>
      </c>
      <c r="O209" s="9">
        <f>IF(AND(TRIM($A209)="Finalized",$K209&lt;&gt;""),"",DATE(2026,9,28))</f>
        <v>46293</v>
      </c>
      <c r="P209" s="8" t="s">
        <v>86</v>
      </c>
      <c r="Q209" s="8" t="s">
        <v>136</v>
      </c>
      <c r="R209" s="8" t="s">
        <v>73</v>
      </c>
      <c r="S209" s="8" t="s">
        <v>74</v>
      </c>
      <c r="T209" s="8" t="s">
        <v>73</v>
      </c>
      <c r="U209" s="8" t="s">
        <v>74</v>
      </c>
      <c r="V209" s="8" t="s">
        <v>455</v>
      </c>
      <c r="W209" s="8" t="s">
        <v>76</v>
      </c>
      <c r="X209" s="8" t="s">
        <v>153</v>
      </c>
      <c r="Y209" s="8"/>
      <c r="Z209" s="8"/>
      <c r="AA209" s="8" t="s">
        <v>77</v>
      </c>
      <c r="AB209" s="10">
        <v>5614.63</v>
      </c>
      <c r="AC209" s="10">
        <v>0</v>
      </c>
      <c r="AD209" s="10">
        <v>0</v>
      </c>
      <c r="AE209" s="9"/>
      <c r="AF209" s="10">
        <v>5614.63</v>
      </c>
      <c r="AG209" s="7">
        <v>39</v>
      </c>
      <c r="AH209" s="8" t="s">
        <v>182</v>
      </c>
      <c r="AI209" s="8"/>
      <c r="AJ209" s="8"/>
      <c r="AK209" s="8"/>
      <c r="AL209" s="7"/>
      <c r="AM209" s="8" t="s">
        <v>154</v>
      </c>
      <c r="AN209" s="8" t="s">
        <v>109</v>
      </c>
      <c r="AO209" s="9">
        <v>46211</v>
      </c>
    </row>
    <row r="210" spans="1:41" x14ac:dyDescent="0.25">
      <c r="A210" s="5" t="str">
        <f>IFERROR(IF(INDEX([6]ORTHO!$A$2:$A$39,MATCH($D210,[6]ORTHO!$D$2:$D$39,0))="","",INDEX([6]ORTHO!$A$2:$A$39,MATCH($D210,[6]ORTHO!$D$2:$D$39,0))),"")</f>
        <v>Denied</v>
      </c>
      <c r="B210" s="5" t="str">
        <f>IFERROR(IF(INDEX([6]ORTHO!$B$2:$B$39,MATCH($D210,[6]ORTHO!$D$2:$D$39,0))="","",INDEX([6]ORTHO!$B$2:$B$39,MATCH($D210,[6]ORTHO!$D$2:$D$39,0))),"")</f>
        <v xml:space="preserve">TFierro30 rebill with auth - DND missing auth </v>
      </c>
      <c r="C210" s="6">
        <f>IFERROR(IF(INDEX([6]ORTHO!$C$2:$C$39,MATCH($D210,[6]ORTHO!$D$2:$D$39,0))="","",INDEX([6]ORTHO!$C$2:$C$39,MATCH($D210,[6]ORTHO!$D$2:$D$39,0))),"")</f>
        <v>46223</v>
      </c>
      <c r="D210" s="7">
        <v>563941508</v>
      </c>
      <c r="E210" s="8" t="s">
        <v>693</v>
      </c>
      <c r="F210" s="9">
        <v>46203</v>
      </c>
      <c r="G210" s="8" t="s">
        <v>174</v>
      </c>
      <c r="H210" s="8" t="s">
        <v>174</v>
      </c>
      <c r="I210" s="8" t="s">
        <v>69</v>
      </c>
      <c r="J210" s="8" t="s">
        <v>70</v>
      </c>
      <c r="K210" s="6">
        <f>IFERROR(IF(INDEX([6]ORTHO!$K$2:$K$39,MATCH($D210,[6]ORTHO!$D$2:$D$39,0))="","",INDEX([6]ORTHO!$K$2:$K$39,MATCH($D210,[6]ORTHO!$D$2:$D$39,0))),"")</f>
        <v>46284</v>
      </c>
      <c r="L210" s="11">
        <f ca="1">IF($O210="","",$O210-TODAY())</f>
        <v>-11</v>
      </c>
      <c r="M210" s="11">
        <f ca="1">IF(AND(TRIM($A210)="Finalized",$K210&lt;&gt;""),"",IF($F210="","",$F210+90-TODAY()))</f>
        <v>-11</v>
      </c>
      <c r="N210" s="11">
        <f ca="1">IF(AND(TRIM($A210)="Finalized",$K210&lt;&gt;""),"",IF($C210="","",$C210+180-TODAY()))</f>
        <v>99</v>
      </c>
      <c r="O210" s="9">
        <f>IF(AND(TRIM($A210)="Finalized",$K210&lt;&gt;""),"",DATE(2026,9,28))</f>
        <v>46293</v>
      </c>
      <c r="P210" s="8" t="s">
        <v>86</v>
      </c>
      <c r="Q210" s="8" t="s">
        <v>144</v>
      </c>
      <c r="R210" s="8" t="s">
        <v>86</v>
      </c>
      <c r="S210" s="8" t="s">
        <v>88</v>
      </c>
      <c r="T210" s="8" t="s">
        <v>117</v>
      </c>
      <c r="U210" s="8" t="s">
        <v>74</v>
      </c>
      <c r="V210" s="8" t="s">
        <v>455</v>
      </c>
      <c r="W210" s="8" t="s">
        <v>76</v>
      </c>
      <c r="X210" s="8"/>
      <c r="Y210" s="8"/>
      <c r="Z210" s="8"/>
      <c r="AA210" s="8" t="s">
        <v>77</v>
      </c>
      <c r="AB210" s="10">
        <v>2493.33</v>
      </c>
      <c r="AC210" s="10">
        <v>0</v>
      </c>
      <c r="AD210" s="10">
        <v>0</v>
      </c>
      <c r="AE210" s="9">
        <v>46223</v>
      </c>
      <c r="AF210" s="10">
        <v>2493.33</v>
      </c>
      <c r="AG210" s="7">
        <v>39</v>
      </c>
      <c r="AH210" s="8" t="s">
        <v>78</v>
      </c>
      <c r="AI210" s="8" t="s">
        <v>79</v>
      </c>
      <c r="AJ210" s="8"/>
      <c r="AK210" s="8"/>
      <c r="AL210" s="7"/>
      <c r="AM210" s="8" t="s">
        <v>80</v>
      </c>
      <c r="AN210" s="8" t="s">
        <v>81</v>
      </c>
      <c r="AO210" s="9">
        <v>46213</v>
      </c>
    </row>
    <row r="211" spans="1:41" x14ac:dyDescent="0.25">
      <c r="A211" s="5" t="str">
        <f>IFERROR(IF(INDEX([6]ORTHO!$A$2:$A$39,MATCH($D211,[6]ORTHO!$D$2:$D$39,0))="","",INDEX([6]ORTHO!$A$2:$A$39,MATCH($D211,[6]ORTHO!$D$2:$D$39,0))),"")</f>
        <v>Rejected</v>
      </c>
      <c r="B211" s="5" t="str">
        <f>IFERROR(IF(INDEX([6]ORTHO!$B$2:$B$39,MATCH($D211,[6]ORTHO!$D$2:$D$39,0))="","",INDEX([6]ORTHO!$B$2:$B$39,MATCH($D211,[6]ORTHO!$D$2:$D$39,0))),"")</f>
        <v xml:space="preserve">Secondary - Deleted duplicated PR line, and resubmitted - Rejected Duplicate Line Level COB Adjustment Reason Code (PR) not allowed within the same Service Line (1) Adjustment Group for Insurance sequence (1). X12 Info- 2430-CAS - Primary paid </v>
      </c>
      <c r="C211" s="6">
        <f>IFERROR(IF(INDEX([6]ORTHO!$C$2:$C$39,MATCH($D211,[6]ORTHO!$D$2:$D$39,0))="","",INDEX([6]ORTHO!$C$2:$C$39,MATCH($D211,[6]ORTHO!$D$2:$D$39,0))),"")</f>
        <v>46206</v>
      </c>
      <c r="D211" s="7">
        <v>561704073</v>
      </c>
      <c r="E211" s="8" t="s">
        <v>697</v>
      </c>
      <c r="F211" s="9">
        <v>46182</v>
      </c>
      <c r="G211" s="8" t="s">
        <v>171</v>
      </c>
      <c r="H211" s="8" t="s">
        <v>405</v>
      </c>
      <c r="I211" s="8" t="s">
        <v>171</v>
      </c>
      <c r="J211" s="8" t="s">
        <v>70</v>
      </c>
      <c r="K211" s="6">
        <f>IFERROR(IF(INDEX([6]ORTHO!$K$2:$K$39,MATCH($D211,[6]ORTHO!$D$2:$D$39,0))="","",INDEX([6]ORTHO!$K$2:$K$39,MATCH($D211,[6]ORTHO!$D$2:$D$39,0))),"")</f>
        <v>46300</v>
      </c>
      <c r="L211" s="11">
        <f ca="1">IF($O211="","",$O211-TODAY())</f>
        <v>-2</v>
      </c>
      <c r="M211" s="11">
        <f ca="1">IF(AND(TRIM($A211)="Finalized",$K211&lt;&gt;""),"",IF($C211="","",$C211+180-TODAY()))</f>
        <v>82</v>
      </c>
      <c r="N211" s="11">
        <f ca="1">IF(AND(TRIM($A211)="Finalized",$K211&lt;&gt;""),"",IF($C211="","",$C211+180-TODAY()))</f>
        <v>82</v>
      </c>
      <c r="O211" s="9">
        <f>IF(AND(TRIM($A211)="Finalized",$K211&lt;&gt;""),"",DATE(2026,10,7))</f>
        <v>46302</v>
      </c>
      <c r="P211" s="8" t="s">
        <v>208</v>
      </c>
      <c r="Q211" s="8" t="s">
        <v>209</v>
      </c>
      <c r="R211" s="8" t="s">
        <v>117</v>
      </c>
      <c r="S211" s="8" t="s">
        <v>74</v>
      </c>
      <c r="T211" s="8" t="s">
        <v>117</v>
      </c>
      <c r="U211" s="8" t="s">
        <v>74</v>
      </c>
      <c r="V211" s="8" t="s">
        <v>455</v>
      </c>
      <c r="W211" s="8" t="s">
        <v>76</v>
      </c>
      <c r="X211" s="8"/>
      <c r="Y211" s="8"/>
      <c r="Z211" s="8"/>
      <c r="AA211" s="8" t="s">
        <v>77</v>
      </c>
      <c r="AB211" s="10">
        <v>2493.33</v>
      </c>
      <c r="AC211" s="10">
        <v>2418.7399999999998</v>
      </c>
      <c r="AD211" s="10">
        <v>67.13</v>
      </c>
      <c r="AE211" s="9">
        <v>46206</v>
      </c>
      <c r="AF211" s="10">
        <v>7.46</v>
      </c>
      <c r="AG211" s="7">
        <v>60</v>
      </c>
      <c r="AH211" s="8" t="s">
        <v>78</v>
      </c>
      <c r="AI211" s="8" t="s">
        <v>92</v>
      </c>
      <c r="AJ211" s="8"/>
      <c r="AK211" s="8"/>
      <c r="AL211" s="7">
        <v>565633590</v>
      </c>
      <c r="AM211" s="8" t="s">
        <v>157</v>
      </c>
      <c r="AN211" s="8" t="s">
        <v>81</v>
      </c>
      <c r="AO211" s="9">
        <v>46184</v>
      </c>
    </row>
    <row r="212" spans="1:41" x14ac:dyDescent="0.25">
      <c r="A212" s="5" t="str">
        <f>IFERROR(IF(INDEX([6]BH!$A$2:$A$82,MATCH($D212,[6]BH!$D$2:$D$82,0))="","",INDEX([6]BH!$A$2:$A$82,MATCH($D212,[6]BH!$D$2:$D$82,0))),"")</f>
        <v>Rejected</v>
      </c>
      <c r="B212" s="5" t="str">
        <f>IFERROR(IF(INDEX([6]BH!$B$2:$B$82,MATCH($D212,[6]BH!$D$2:$D$82,0))="","",INDEX([6]BH!$B$2:$B$82,MATCH($D212,[6]BH!$D$2:$D$82,0))),"")</f>
        <v>Deleted referring provider, added ordering provider, and resubmitted - Rejected - Referring Provider First and Last Name is invalid or missing</v>
      </c>
      <c r="C212" s="6" t="str">
        <f>IFERROR(IF(INDEX([6]BH!$C$2:$C$82,MATCH($D212,[6]BH!$D$2:$D$82,0))="","",INDEX([6]BH!$C$2:$C$82,MATCH($D212,[6]BH!$D$2:$D$82,0))),"")</f>
        <v/>
      </c>
      <c r="D212" s="7">
        <v>562674720</v>
      </c>
      <c r="E212" s="8" t="s">
        <v>702</v>
      </c>
      <c r="F212" s="9">
        <v>46190</v>
      </c>
      <c r="G212" s="8" t="s">
        <v>405</v>
      </c>
      <c r="H212" s="8" t="s">
        <v>405</v>
      </c>
      <c r="I212" s="8" t="s">
        <v>69</v>
      </c>
      <c r="J212" s="8" t="s">
        <v>195</v>
      </c>
      <c r="K212" s="6">
        <f>IFERROR(IF(INDEX([6]BH!$K$2:$K$82,MATCH($D212,[6]BH!$D$2:$D$82,0))="","",INDEX([6]BH!$K$2:$K$82,MATCH($D212,[6]BH!$D$2:$D$82,0))),"")</f>
        <v>46300</v>
      </c>
      <c r="L212" s="11">
        <f ca="1">IF($O212="","",$O212-TODAY())</f>
        <v>6</v>
      </c>
      <c r="M212" s="11" t="str">
        <f ca="1">IF(AND(TRIM($A212)="Finalized",$K212&lt;&gt;""),"",IF($C212="","",$C212+180-TODAY()))</f>
        <v/>
      </c>
      <c r="N212" s="11" t="str">
        <f ca="1">IF(AND(TRIM($A212)="Finalized",$K212&lt;&gt;""),"",IF($C212="","",$C212+180-TODAY()))</f>
        <v/>
      </c>
      <c r="O212" s="9">
        <f>IF(AND(TRIM($A212)="Finalized",$K212&lt;&gt;""),"",DATE(2026,10,15))</f>
        <v>46310</v>
      </c>
      <c r="P212" s="8" t="s">
        <v>208</v>
      </c>
      <c r="Q212" s="8" t="s">
        <v>209</v>
      </c>
      <c r="R212" s="8" t="s">
        <v>117</v>
      </c>
      <c r="S212" s="8" t="s">
        <v>74</v>
      </c>
      <c r="T212" s="8" t="s">
        <v>117</v>
      </c>
      <c r="U212" s="8" t="s">
        <v>74</v>
      </c>
      <c r="V212" s="8" t="s">
        <v>455</v>
      </c>
      <c r="W212" s="8" t="s">
        <v>118</v>
      </c>
      <c r="X212" s="8"/>
      <c r="Y212" s="8"/>
      <c r="Z212" s="8"/>
      <c r="AA212" s="8" t="s">
        <v>77</v>
      </c>
      <c r="AB212" s="10">
        <v>1426.25</v>
      </c>
      <c r="AC212" s="10">
        <v>0</v>
      </c>
      <c r="AD212" s="10">
        <v>0</v>
      </c>
      <c r="AE212" s="9"/>
      <c r="AF212" s="10">
        <v>1426.25</v>
      </c>
      <c r="AG212" s="7">
        <v>52</v>
      </c>
      <c r="AH212" s="8" t="s">
        <v>276</v>
      </c>
      <c r="AI212" s="8"/>
      <c r="AJ212" s="8"/>
      <c r="AK212" s="8"/>
      <c r="AL212" s="7"/>
      <c r="AM212" s="8" t="s">
        <v>165</v>
      </c>
      <c r="AN212" s="8" t="s">
        <v>158</v>
      </c>
      <c r="AO212" s="9">
        <v>46217</v>
      </c>
    </row>
    <row r="213" spans="1:41" x14ac:dyDescent="0.25">
      <c r="A213" s="5" t="str">
        <f>IFERROR(IF(INDEX([6]US!$A$2:$A$22,MATCH($D213,[6]US!$D$2:$D$22,0))="","",INDEX([6]US!$A$2:$A$22,MATCH($D213,[6]US!$D$2:$D$22,0))),"")</f>
        <v>Denied</v>
      </c>
      <c r="B213" s="5" t="str">
        <f>IFERROR(IF(INDEX([6]US!$B$2:$B$22,MATCH($D213,[6]US!$D$2:$D$22,0))="","",INDEX([6]US!$B$2:$B$22,MATCH($D213,[6]US!$D$2:$D$22,0))),"")</f>
        <v>Added referral #, and resubmitted - DND - Remark R1PRF invalid referral format. referrals beginning with UC, VA0 or VA9 must contain 12 digits. referrals beginning with 00 must contain 10 numeric digits.</v>
      </c>
      <c r="C213" s="6">
        <f>IFERROR(IF(INDEX([6]US!$C$2:$C$22,MATCH($D213,[6]US!$D$2:$D$22,0))="","",INDEX([6]US!$C$2:$C$22,MATCH($D213,[6]US!$D$2:$D$22,0))),"")</f>
        <v>46237</v>
      </c>
      <c r="D213" s="7">
        <v>564059272</v>
      </c>
      <c r="E213" s="8" t="s">
        <v>704</v>
      </c>
      <c r="F213" s="9">
        <v>46191</v>
      </c>
      <c r="G213" s="8" t="s">
        <v>222</v>
      </c>
      <c r="H213" s="8" t="s">
        <v>222</v>
      </c>
      <c r="I213" s="8" t="s">
        <v>69</v>
      </c>
      <c r="J213" s="8" t="s">
        <v>447</v>
      </c>
      <c r="K213" s="6">
        <f>IFERROR(IF(INDEX([6]US!$K$2:$K$22,MATCH($D213,[6]US!$D$2:$D$22,0))="","",INDEX([6]US!$K$2:$K$22,MATCH($D213,[6]US!$D$2:$D$22,0))),"")</f>
        <v>46300</v>
      </c>
      <c r="L213" s="11">
        <f ca="1">IF($O213="","",$O213-TODAY())</f>
        <v>7</v>
      </c>
      <c r="M213" s="11">
        <f ca="1">IF(AND(TRIM($A213)="Finalized",$K213&lt;&gt;""),"",IF($C213="","",$C213+365-TODAY()))</f>
        <v>298</v>
      </c>
      <c r="N213" s="11">
        <f ca="1">IF(AND(TRIM($A213)="Finalized",$K213&lt;&gt;""),"",IF($C213="","",$C213+90-TODAY()))</f>
        <v>23</v>
      </c>
      <c r="O213" s="9">
        <f>IF(AND(TRIM($A213)="Finalized",$K213&lt;&gt;""),"",DATE(2026,10,16))</f>
        <v>46311</v>
      </c>
      <c r="P213" s="8" t="s">
        <v>208</v>
      </c>
      <c r="Q213" s="8" t="s">
        <v>224</v>
      </c>
      <c r="R213" s="8" t="s">
        <v>73</v>
      </c>
      <c r="S213" s="8" t="s">
        <v>74</v>
      </c>
      <c r="T213" s="8" t="s">
        <v>86</v>
      </c>
      <c r="U213" s="8" t="s">
        <v>74</v>
      </c>
      <c r="V213" s="8" t="s">
        <v>455</v>
      </c>
      <c r="W213" s="8" t="s">
        <v>129</v>
      </c>
      <c r="X213" s="8"/>
      <c r="Y213" s="8"/>
      <c r="Z213" s="8"/>
      <c r="AA213" s="8" t="s">
        <v>77</v>
      </c>
      <c r="AB213" s="10">
        <v>3822.49</v>
      </c>
      <c r="AC213" s="10">
        <v>0</v>
      </c>
      <c r="AD213" s="10">
        <v>0</v>
      </c>
      <c r="AE213" s="9"/>
      <c r="AF213" s="10">
        <v>3822.49</v>
      </c>
      <c r="AG213" s="7">
        <v>51</v>
      </c>
      <c r="AH213" s="8" t="s">
        <v>537</v>
      </c>
      <c r="AI213" s="8"/>
      <c r="AJ213" s="8"/>
      <c r="AK213" s="8"/>
      <c r="AL213" s="7"/>
      <c r="AM213" s="8" t="s">
        <v>131</v>
      </c>
      <c r="AN213" s="8" t="s">
        <v>350</v>
      </c>
      <c r="AO213" s="9">
        <v>46204</v>
      </c>
    </row>
    <row r="214" spans="1:41" x14ac:dyDescent="0.25">
      <c r="A214" s="5" t="str">
        <f>IFERROR(IF(INDEX([6]DME!$A$2:$A$51,MATCH($D214,[6]DME!$D$2:$D$51,0))="","",INDEX([6]DME!$A$2:$A$51,MATCH($D214,[6]DME!$D$2:$D$51,0))),"")</f>
        <v>Pending</v>
      </c>
      <c r="B214" s="5" t="str">
        <f>IFERROR(IF(INDEX([6]DME!$B$2:$B$51,MATCH($D214,[6]DME!$D$2:$D$51,0))="","",INDEX([6]DME!$B$2:$B$51,MATCH($D214,[6]DME!$D$2:$D$51,0))),"")</f>
        <v xml:space="preserve">secondary - added COB info, and sent claim to print - Primary paid </v>
      </c>
      <c r="C214" s="6">
        <f>IFERROR(IF(INDEX([6]DME!$C$2:$C$51,MATCH($D214,[6]DME!$D$2:$D$51,0))="","",INDEX([6]DME!$C$2:$C$51,MATCH($D214,[6]DME!$D$2:$D$51,0))),"")</f>
        <v>46204</v>
      </c>
      <c r="D214" s="7">
        <v>563158507</v>
      </c>
      <c r="E214" s="8" t="s">
        <v>707</v>
      </c>
      <c r="F214" s="9">
        <v>46192</v>
      </c>
      <c r="G214" s="8" t="s">
        <v>708</v>
      </c>
      <c r="H214" s="8" t="s">
        <v>206</v>
      </c>
      <c r="I214" s="8" t="s">
        <v>708</v>
      </c>
      <c r="J214" s="8" t="s">
        <v>382</v>
      </c>
      <c r="K214" s="6">
        <f>IFERROR(IF(INDEX([6]DME!$K$2:$K$51,MATCH($D214,[6]DME!$D$2:$D$51,0))="","",INDEX([6]DME!$K$2:$K$51,MATCH($D214,[6]DME!$D$2:$D$51,0))),"")</f>
        <v>46283</v>
      </c>
      <c r="L214" s="11">
        <f ca="1">IF($O214="","",$O214-TODAY())</f>
        <v>8</v>
      </c>
      <c r="M214" s="11">
        <f ca="1">IF(AND(TRIM($A214)="Finalized",$K214&lt;&gt;""),"",IF($C214="","",$C214+180-TODAY()))</f>
        <v>80</v>
      </c>
      <c r="N214" s="11">
        <f ca="1">IF(AND(TRIM($A214)="Finalized",$K214&lt;&gt;""),"",IF($C214="","",$C214+180-TODAY()))</f>
        <v>80</v>
      </c>
      <c r="O214" s="9">
        <f>IF(AND(TRIM($A214)="Finalized",$K214&lt;&gt;""),"",DATE(2026,10,17))</f>
        <v>46312</v>
      </c>
      <c r="P214" s="8" t="s">
        <v>208</v>
      </c>
      <c r="Q214" s="8" t="s">
        <v>209</v>
      </c>
      <c r="R214" s="8" t="s">
        <v>117</v>
      </c>
      <c r="S214" s="8" t="s">
        <v>74</v>
      </c>
      <c r="T214" s="8" t="s">
        <v>117</v>
      </c>
      <c r="U214" s="8" t="s">
        <v>74</v>
      </c>
      <c r="V214" s="8" t="s">
        <v>455</v>
      </c>
      <c r="W214" s="8" t="s">
        <v>89</v>
      </c>
      <c r="X214" s="8" t="s">
        <v>244</v>
      </c>
      <c r="Y214" s="8"/>
      <c r="Z214" s="8"/>
      <c r="AA214" s="8" t="s">
        <v>91</v>
      </c>
      <c r="AB214" s="10">
        <v>5916.4</v>
      </c>
      <c r="AC214" s="10">
        <v>945.04</v>
      </c>
      <c r="AD214" s="10">
        <v>3960.92</v>
      </c>
      <c r="AE214" s="9">
        <v>46204</v>
      </c>
      <c r="AF214" s="10">
        <v>1010.44</v>
      </c>
      <c r="AG214" s="7">
        <v>50</v>
      </c>
      <c r="AH214" s="8" t="s">
        <v>92</v>
      </c>
      <c r="AI214" s="8"/>
      <c r="AJ214" s="8"/>
      <c r="AK214" s="8"/>
      <c r="AL214" s="7">
        <v>565293130</v>
      </c>
      <c r="AM214" s="8" t="s">
        <v>154</v>
      </c>
      <c r="AN214" s="8" t="s">
        <v>132</v>
      </c>
      <c r="AO214" s="9">
        <v>46196</v>
      </c>
    </row>
    <row r="215" spans="1:41" x14ac:dyDescent="0.25">
      <c r="A215" s="5" t="str">
        <f>IFERROR(IF(INDEX([6]ORTHO!$A$2:$A$39,MATCH($D215,[6]ORTHO!$D$2:$D$39,0))="","",INDEX([6]ORTHO!$A$2:$A$39,MATCH($D215,[6]ORTHO!$D$2:$D$39,0))),"")</f>
        <v>Rejected</v>
      </c>
      <c r="B215" s="5" t="str">
        <f>IFERROR(IF(INDEX([6]ORTHO!$B$2:$B$39,MATCH($D215,[6]ORTHO!$D$2:$D$39,0))="","",INDEX([6]ORTHO!$B$2:$B$39,MATCH($D215,[6]ORTHO!$D$2:$D$39,0))),"")</f>
        <v>Submitted claim on portal only with dx M4802 - Added auth # OP5257461084 - Claim Id: 852068025 - Confirmation ID is 843932557 - Rejected due to Diagnosis pointer invalid</v>
      </c>
      <c r="C215" s="6" t="str">
        <f>IFERROR(IF(INDEX([6]ORTHO!$C$2:$C$39,MATCH($D215,[6]ORTHO!$D$2:$D$39,0))="","",INDEX([6]ORTHO!$C$2:$C$39,MATCH($D215,[6]ORTHO!$D$2:$D$39,0))),"")</f>
        <v/>
      </c>
      <c r="D215" s="7">
        <v>563845926</v>
      </c>
      <c r="E215" s="8" t="s">
        <v>711</v>
      </c>
      <c r="F215" s="9">
        <v>46198</v>
      </c>
      <c r="G215" s="8" t="s">
        <v>459</v>
      </c>
      <c r="H215" s="8" t="s">
        <v>459</v>
      </c>
      <c r="I215" s="8" t="s">
        <v>69</v>
      </c>
      <c r="J215" s="8" t="s">
        <v>418</v>
      </c>
      <c r="K215" s="6">
        <f>IFERROR(IF(INDEX([6]ORTHO!$K$2:$K$39,MATCH($D215,[6]ORTHO!$D$2:$D$39,0))="","",INDEX([6]ORTHO!$K$2:$K$39,MATCH($D215,[6]ORTHO!$D$2:$D$39,0))),"")</f>
        <v>46300</v>
      </c>
      <c r="L215" s="11">
        <f ca="1">IF($O215="","",$O215-TODAY())</f>
        <v>14</v>
      </c>
      <c r="M215" s="11">
        <f ca="1">IF(AND(TRIM($A215)="Finalized",$K215&lt;&gt;""),"",IF($F215="","",$F215+365-TODAY()))</f>
        <v>259</v>
      </c>
      <c r="N215" s="11" t="str">
        <f ca="1">IF(AND(TRIM($A215)="Finalized",$K215&lt;&gt;""),"",IF($C215="","",$C215+180-TODAY()))</f>
        <v/>
      </c>
      <c r="O215" s="9">
        <f>IF(AND(TRIM($A215)="Finalized",$K215&lt;&gt;""),"",DATE(2026,10,23))</f>
        <v>46318</v>
      </c>
      <c r="P215" s="8" t="s">
        <v>208</v>
      </c>
      <c r="Q215" s="8" t="s">
        <v>459</v>
      </c>
      <c r="R215" s="8" t="s">
        <v>73</v>
      </c>
      <c r="S215" s="8" t="s">
        <v>88</v>
      </c>
      <c r="T215" s="8" t="s">
        <v>117</v>
      </c>
      <c r="U215" s="8" t="s">
        <v>74</v>
      </c>
      <c r="V215" s="8" t="s">
        <v>455</v>
      </c>
      <c r="W215" s="8" t="s">
        <v>76</v>
      </c>
      <c r="X215" s="8"/>
      <c r="Y215" s="8"/>
      <c r="Z215" s="8"/>
      <c r="AA215" s="8" t="s">
        <v>77</v>
      </c>
      <c r="AB215" s="10">
        <v>14614.67</v>
      </c>
      <c r="AC215" s="10">
        <v>0</v>
      </c>
      <c r="AD215" s="10">
        <v>0</v>
      </c>
      <c r="AE215" s="9"/>
      <c r="AF215" s="10">
        <v>14614.67</v>
      </c>
      <c r="AG215" s="7">
        <v>44</v>
      </c>
      <c r="AH215" s="8" t="s">
        <v>285</v>
      </c>
      <c r="AI215" s="8" t="s">
        <v>308</v>
      </c>
      <c r="AJ215" s="8" t="s">
        <v>419</v>
      </c>
      <c r="AK215" s="8" t="s">
        <v>712</v>
      </c>
      <c r="AL215" s="7"/>
      <c r="AM215" s="8" t="s">
        <v>217</v>
      </c>
      <c r="AN215" s="8" t="s">
        <v>109</v>
      </c>
      <c r="AO215" s="9">
        <v>46203</v>
      </c>
    </row>
    <row r="216" spans="1:41" x14ac:dyDescent="0.25">
      <c r="A216" s="5" t="str">
        <f>IFERROR(IF(INDEX([5]DME!$A$2:$A$35,MATCH($D216,[5]DME!$D$2:$D$35,0))="","",INDEX([5]DME!$A$2:$A$35,MATCH($D216,[5]DME!$D$2:$D$35,0))),"")</f>
        <v>Denied</v>
      </c>
      <c r="B216" s="5" t="str">
        <f>IFERROR(IF(INDEX([5]DME!$B$2:$B$35,MATCH($D216,[5]DME!$D$2:$D$35,0))="","",INDEX([5]DME!$B$2:$B$35,MATCH($D216,[5]DME!$D$2:$D$35,0))),"")</f>
        <v>Edited mod from A2 to KX, and resubmitted</v>
      </c>
      <c r="C216" s="6">
        <f>IFERROR(IF(INDEX([5]DME!$C$2:$C$35,MATCH($D216,[5]DME!$D$2:$D$35,0))="","",INDEX([5]DME!$C$2:$C$35,MATCH($D216,[5]DME!$D$2:$D$35,0))),"")</f>
        <v>46169</v>
      </c>
      <c r="D216" s="7">
        <v>559740566</v>
      </c>
      <c r="E216" s="8" t="s">
        <v>717</v>
      </c>
      <c r="F216" s="9">
        <v>46146</v>
      </c>
      <c r="G216" s="8" t="s">
        <v>185</v>
      </c>
      <c r="H216" s="8" t="s">
        <v>185</v>
      </c>
      <c r="I216" s="8" t="s">
        <v>69</v>
      </c>
      <c r="J216" s="8" t="s">
        <v>85</v>
      </c>
      <c r="K216" s="6">
        <f>IFERROR(IF(INDEX([5]DME!$K$2:$K$35,MATCH($D216,[5]DME!$D$2:$D$35,0))="","",INDEX([5]DME!$K$2:$K$35,MATCH($D216,[5]DME!$D$2:$D$35,0))),"")</f>
        <v>46254</v>
      </c>
      <c r="L216" s="11">
        <f ca="1">IF($O216="","",$O216-TODAY())</f>
        <v>22</v>
      </c>
      <c r="M216" s="11">
        <f ca="1">IF(AND(TRIM($A216)="Finalized",$K216&lt;&gt;""),"",IF($F216="","",$F216+365-TODAY()))</f>
        <v>207</v>
      </c>
      <c r="N216" s="11">
        <f ca="1">IF(AND(TRIM($A216)="Finalized",$K216&lt;&gt;""),"",IF($F216="","",$F216+365-TODAY()))</f>
        <v>207</v>
      </c>
      <c r="O216" s="9">
        <f>IF(AND(TRIM($A216)="Finalized",$K216&lt;&gt;""),"",DATE(2026,10,31))</f>
        <v>46326</v>
      </c>
      <c r="P216" s="8" t="s">
        <v>117</v>
      </c>
      <c r="Q216" s="8" t="s">
        <v>718</v>
      </c>
      <c r="R216" s="8" t="s">
        <v>73</v>
      </c>
      <c r="S216" s="8" t="s">
        <v>88</v>
      </c>
      <c r="T216" s="8" t="s">
        <v>73</v>
      </c>
      <c r="U216" s="8" t="s">
        <v>88</v>
      </c>
      <c r="V216" s="8" t="s">
        <v>365</v>
      </c>
      <c r="W216" s="8" t="s">
        <v>89</v>
      </c>
      <c r="X216" s="8" t="s">
        <v>90</v>
      </c>
      <c r="Y216" s="8"/>
      <c r="Z216" s="8"/>
      <c r="AA216" s="8" t="s">
        <v>91</v>
      </c>
      <c r="AB216" s="10">
        <v>36353.800000000003</v>
      </c>
      <c r="AC216" s="10">
        <v>0</v>
      </c>
      <c r="AD216" s="10">
        <v>0</v>
      </c>
      <c r="AE216" s="9">
        <v>46169</v>
      </c>
      <c r="AF216" s="10">
        <v>36353.800000000003</v>
      </c>
      <c r="AG216" s="7">
        <v>96</v>
      </c>
      <c r="AH216" s="8" t="s">
        <v>92</v>
      </c>
      <c r="AI216" s="8" t="s">
        <v>78</v>
      </c>
      <c r="AJ216" s="8"/>
      <c r="AK216" s="8"/>
      <c r="AL216" s="7"/>
      <c r="AM216" s="8" t="s">
        <v>520</v>
      </c>
      <c r="AN216" s="8" t="s">
        <v>198</v>
      </c>
      <c r="AO216" s="9">
        <v>46162</v>
      </c>
    </row>
    <row r="217" spans="1:41" x14ac:dyDescent="0.25">
      <c r="A217" s="5" t="str">
        <f>IFERROR(IF(INDEX([5]DME!$A$2:$A$35,MATCH($D217,[5]DME!$D$2:$D$35,0))="","",INDEX([5]DME!$A$2:$A$35,MATCH($D217,[5]DME!$D$2:$D$35,0))),"")</f>
        <v>Under Review</v>
      </c>
      <c r="B217" s="5" t="str">
        <f>IFERROR(IF(INDEX([5]DME!$B$2:$B$35,MATCH($D217,[5]DME!$D$2:$D$35,0))="","",INDEX([5]DME!$B$2:$B$35,MATCH($D217,[5]DME!$D$2:$D$35,0))),"")</f>
        <v>MUE issue - CALL INS</v>
      </c>
      <c r="C217" s="6">
        <f>IFERROR(IF(INDEX([5]DME!$C$2:$C$35,MATCH($D217,[5]DME!$D$2:$D$35,0))="","",INDEX([5]DME!$C$2:$C$35,MATCH($D217,[5]DME!$D$2:$D$35,0))),"")</f>
        <v>46190</v>
      </c>
      <c r="D217" s="7">
        <v>561880706</v>
      </c>
      <c r="E217" s="8" t="s">
        <v>719</v>
      </c>
      <c r="F217" s="9">
        <v>46160</v>
      </c>
      <c r="G217" s="8" t="s">
        <v>628</v>
      </c>
      <c r="H217" s="8" t="s">
        <v>628</v>
      </c>
      <c r="I217" s="8" t="s">
        <v>69</v>
      </c>
      <c r="J217" s="8" t="s">
        <v>522</v>
      </c>
      <c r="K217" s="6" t="str">
        <f>IFERROR(IF(INDEX([5]DME!$K$2:$K$35,MATCH($D217,[5]DME!$D$2:$D$35,0))="","",INDEX([5]DME!$K$2:$K$35,MATCH($D217,[5]DME!$D$2:$D$35,0))),"")</f>
        <v/>
      </c>
      <c r="L217" s="11">
        <f ca="1">IF($O217="","",$O217-TODAY())</f>
        <v>36</v>
      </c>
      <c r="M217" s="11">
        <f ca="1">IF(AND(TRIM($A217)="Finalized",$K217&lt;&gt;""),"",IF($F217="","",$F217+180-TODAY()))</f>
        <v>36</v>
      </c>
      <c r="N217" s="11">
        <f ca="1">IF(AND(TRIM($A217)="Finalized",$K217&lt;&gt;""),"",IF($C217="","",$C217+180-TODAY()))</f>
        <v>66</v>
      </c>
      <c r="O217" s="9">
        <f>IF(AND(TRIM($A217)="Finalized",$K217&lt;&gt;""),"",DATE(2026,11,14))</f>
        <v>46340</v>
      </c>
      <c r="P217" s="8" t="s">
        <v>117</v>
      </c>
      <c r="Q217" s="8" t="s">
        <v>629</v>
      </c>
      <c r="R217" s="8" t="s">
        <v>117</v>
      </c>
      <c r="S217" s="8" t="s">
        <v>88</v>
      </c>
      <c r="T217" s="8" t="s">
        <v>117</v>
      </c>
      <c r="U217" s="8" t="s">
        <v>74</v>
      </c>
      <c r="V217" s="8" t="s">
        <v>365</v>
      </c>
      <c r="W217" s="8" t="s">
        <v>89</v>
      </c>
      <c r="X217" s="8" t="s">
        <v>90</v>
      </c>
      <c r="Y217" s="8"/>
      <c r="Z217" s="8"/>
      <c r="AA217" s="8" t="s">
        <v>479</v>
      </c>
      <c r="AB217" s="10">
        <v>72707.600000000006</v>
      </c>
      <c r="AC217" s="10">
        <v>0</v>
      </c>
      <c r="AD217" s="10">
        <v>0</v>
      </c>
      <c r="AE217" s="9">
        <v>46190</v>
      </c>
      <c r="AF217" s="10">
        <v>72707.600000000006</v>
      </c>
      <c r="AG217" s="7">
        <v>82</v>
      </c>
      <c r="AH217" s="8" t="s">
        <v>92</v>
      </c>
      <c r="AI217" s="8" t="s">
        <v>149</v>
      </c>
      <c r="AJ217" s="8"/>
      <c r="AK217" s="8"/>
      <c r="AL217" s="7"/>
      <c r="AM217" s="8" t="s">
        <v>523</v>
      </c>
      <c r="AN217" s="8" t="s">
        <v>158</v>
      </c>
      <c r="AO217" s="9">
        <v>46183</v>
      </c>
    </row>
    <row r="218" spans="1:41" x14ac:dyDescent="0.25">
      <c r="A218" s="5" t="str">
        <f>IFERROR(IF(INDEX([5]DME!$A$2:$A$35,MATCH($D218,[5]DME!$D$2:$D$35,0))="","",INDEX([5]DME!$A$2:$A$35,MATCH($D218,[5]DME!$D$2:$D$35,0))),"")</f>
        <v>Denied</v>
      </c>
      <c r="B218" s="5" t="str">
        <f>IFERROR(IF(INDEX([5]DME!$B$2:$B$35,MATCH($D218,[5]DME!$D$2:$D$35,0))="","",INDEX([5]DME!$B$2:$B$35,MATCH($D218,[5]DME!$D$2:$D$35,0))),"")</f>
        <v>Removed Dx M5116, and resubmitted - Dx M5116 and M5416 can't be billed together</v>
      </c>
      <c r="C218" s="6">
        <f>IFERROR(IF(INDEX([5]DME!$C$2:$C$35,MATCH($D218,[5]DME!$D$2:$D$35,0))="","",INDEX([5]DME!$C$2:$C$35,MATCH($D218,[5]DME!$D$2:$D$35,0))),"")</f>
        <v>46195</v>
      </c>
      <c r="D218" s="7">
        <v>561866854</v>
      </c>
      <c r="E218" s="8" t="s">
        <v>720</v>
      </c>
      <c r="F218" s="9">
        <v>46170</v>
      </c>
      <c r="G218" s="8" t="s">
        <v>185</v>
      </c>
      <c r="H218" s="8" t="s">
        <v>185</v>
      </c>
      <c r="I218" s="8" t="s">
        <v>69</v>
      </c>
      <c r="J218" s="8" t="s">
        <v>289</v>
      </c>
      <c r="K218" s="6">
        <f>IFERROR(IF(INDEX([5]DME!$K$2:$K$35,MATCH($D218,[5]DME!$D$2:$D$35,0))="","",INDEX([5]DME!$K$2:$K$35,MATCH($D218,[5]DME!$D$2:$D$35,0))),"")</f>
        <v>46254</v>
      </c>
      <c r="L218" s="11">
        <f ca="1">IF($O218="","",$O218-TODAY())</f>
        <v>46</v>
      </c>
      <c r="M218" s="11">
        <f ca="1">IF(AND(TRIM($A218)="Finalized",$K218&lt;&gt;""),"",IF($F218="","",$F218+365-TODAY()))</f>
        <v>231</v>
      </c>
      <c r="N218" s="11">
        <f ca="1">IF(AND(TRIM($A218)="Finalized",$K218&lt;&gt;""),"",IF($F218="","",$F218+365-TODAY()))</f>
        <v>231</v>
      </c>
      <c r="O218" s="9">
        <f>IF(AND(TRIM($A218)="Finalized",$K218&lt;&gt;""),"",DATE(2026,11,24))</f>
        <v>46350</v>
      </c>
      <c r="P218" s="8" t="s">
        <v>117</v>
      </c>
      <c r="Q218" s="8" t="s">
        <v>718</v>
      </c>
      <c r="R218" s="8" t="s">
        <v>73</v>
      </c>
      <c r="S218" s="8" t="s">
        <v>88</v>
      </c>
      <c r="T218" s="8" t="s">
        <v>73</v>
      </c>
      <c r="U218" s="8" t="s">
        <v>88</v>
      </c>
      <c r="V218" s="8" t="s">
        <v>365</v>
      </c>
      <c r="W218" s="8" t="s">
        <v>89</v>
      </c>
      <c r="X218" s="8" t="s">
        <v>290</v>
      </c>
      <c r="Y218" s="8"/>
      <c r="Z218" s="8"/>
      <c r="AA218" s="8" t="s">
        <v>77</v>
      </c>
      <c r="AB218" s="10">
        <v>6392.96</v>
      </c>
      <c r="AC218" s="10">
        <v>0</v>
      </c>
      <c r="AD218" s="10">
        <v>0</v>
      </c>
      <c r="AE218" s="9">
        <v>46195</v>
      </c>
      <c r="AF218" s="10">
        <v>6392.96</v>
      </c>
      <c r="AG218" s="7">
        <v>72</v>
      </c>
      <c r="AH218" s="8" t="s">
        <v>451</v>
      </c>
      <c r="AI218" s="8" t="s">
        <v>79</v>
      </c>
      <c r="AJ218" s="8" t="s">
        <v>182</v>
      </c>
      <c r="AK218" s="8"/>
      <c r="AL218" s="7"/>
      <c r="AM218" s="8" t="s">
        <v>278</v>
      </c>
      <c r="AN218" s="8" t="s">
        <v>721</v>
      </c>
      <c r="AO218" s="9">
        <v>46183</v>
      </c>
    </row>
    <row r="219" spans="1:41" x14ac:dyDescent="0.25">
      <c r="A219" s="5" t="str">
        <f>IFERROR(IF(INDEX([6]ORTHO!$A$2:$A$39,MATCH($D219,[6]ORTHO!$D$2:$D$39,0))="","",INDEX([6]ORTHO!$A$2:$A$39,MATCH($D219,[6]ORTHO!$D$2:$D$39,0))),"")</f>
        <v/>
      </c>
      <c r="B219" s="5" t="str">
        <f>IFERROR(IF(INDEX([6]ORTHO!$B$2:$B$39,MATCH($D219,[6]ORTHO!$D$2:$D$39,0))="","",INDEX([6]ORTHO!$B$2:$B$39,MATCH($D219,[6]ORTHO!$D$2:$D$39,0))),"")</f>
        <v/>
      </c>
      <c r="C219" s="6">
        <f>IFERROR(IF(INDEX([6]ORTHO!$C$2:$C$39,MATCH($D219,[6]ORTHO!$D$2:$D$39,0))="","",INDEX([6]ORTHO!$C$2:$C$39,MATCH($D219,[6]ORTHO!$D$2:$D$39,0))),"")</f>
        <v>46232</v>
      </c>
      <c r="D219" s="7">
        <v>564581824</v>
      </c>
      <c r="E219" s="8" t="s">
        <v>722</v>
      </c>
      <c r="F219" s="9">
        <v>46202</v>
      </c>
      <c r="G219" s="8" t="s">
        <v>723</v>
      </c>
      <c r="H219" s="8" t="s">
        <v>723</v>
      </c>
      <c r="I219" s="8" t="s">
        <v>185</v>
      </c>
      <c r="J219" s="8" t="s">
        <v>724</v>
      </c>
      <c r="K219" s="6" t="str">
        <f>IFERROR(IF(INDEX([6]ORTHO!$K$2:$K$39,MATCH($D219,[6]ORTHO!$D$2:$D$39,0))="","",INDEX([6]ORTHO!$K$2:$K$39,MATCH($D219,[6]ORTHO!$D$2:$D$39,0))),"")</f>
        <v/>
      </c>
      <c r="L219" s="11">
        <f ca="1">IF($O219="","",$O219-TODAY())</f>
        <v>48</v>
      </c>
      <c r="M219" s="11">
        <f ca="1">IF(AND(TRIM($A219)="Finalized",$K219&lt;&gt;""),"",IF($F219="","",$F219+365-TODAY()))</f>
        <v>263</v>
      </c>
      <c r="N219" s="11">
        <f ca="1">IF(AND(TRIM($A219)="Finalized",$K219&lt;&gt;""),"",IF($F219="","",$F219+365-TODAY()))</f>
        <v>263</v>
      </c>
      <c r="O219" s="9">
        <f>IF(AND(TRIM($A219)="Finalized",$K219&lt;&gt;""),"",DATE(2026,11,26))</f>
        <v>46352</v>
      </c>
      <c r="P219" s="8" t="s">
        <v>725</v>
      </c>
      <c r="Q219" s="8" t="s">
        <v>726</v>
      </c>
      <c r="R219" s="8" t="s">
        <v>73</v>
      </c>
      <c r="S219" s="8" t="s">
        <v>88</v>
      </c>
      <c r="T219" s="8" t="s">
        <v>73</v>
      </c>
      <c r="U219" s="8" t="s">
        <v>88</v>
      </c>
      <c r="V219" s="8" t="s">
        <v>455</v>
      </c>
      <c r="W219" s="8" t="s">
        <v>76</v>
      </c>
      <c r="X219" s="8"/>
      <c r="Y219" s="8"/>
      <c r="Z219" s="8"/>
      <c r="AA219" s="8" t="s">
        <v>77</v>
      </c>
      <c r="AB219" s="10">
        <v>3471.16</v>
      </c>
      <c r="AC219" s="10">
        <v>3230.34</v>
      </c>
      <c r="AD219" s="10">
        <v>433.48</v>
      </c>
      <c r="AE219" s="9">
        <v>46232</v>
      </c>
      <c r="AF219" s="10">
        <v>-192.66</v>
      </c>
      <c r="AG219" s="7">
        <v>40</v>
      </c>
      <c r="AH219" s="8" t="s">
        <v>727</v>
      </c>
      <c r="AI219" s="8"/>
      <c r="AJ219" s="8"/>
      <c r="AK219" s="8"/>
      <c r="AL219" s="7"/>
      <c r="AM219" s="8" t="s">
        <v>728</v>
      </c>
      <c r="AN219" s="8" t="s">
        <v>81</v>
      </c>
      <c r="AO219" s="9">
        <v>46217</v>
      </c>
    </row>
    <row r="220" spans="1:41" x14ac:dyDescent="0.25">
      <c r="A220" s="5" t="str">
        <f>IFERROR(IF(INDEX([6]DME!$A$2:$A$51,MATCH($D220,[6]DME!$D$2:$D$51,0))="","",INDEX([6]DME!$A$2:$A$51,MATCH($D220,[6]DME!$D$2:$D$51,0))),"")</f>
        <v/>
      </c>
      <c r="B220" s="5" t="str">
        <f>IFERROR(IF(INDEX([6]DME!$B$2:$B$51,MATCH($D220,[6]DME!$D$2:$D$51,0))="","",INDEX([6]DME!$B$2:$B$51,MATCH($D220,[6]DME!$D$2:$D$51,0))),"")</f>
        <v/>
      </c>
      <c r="C220" s="6">
        <f>IFERROR(IF(INDEX([6]DME!$C$2:$C$51,MATCH($D220,[6]DME!$D$2:$D$51,0))="","",INDEX([6]DME!$C$2:$C$51,MATCH($D220,[6]DME!$D$2:$D$51,0))),"")</f>
        <v>46192</v>
      </c>
      <c r="D220" s="7">
        <v>562134105</v>
      </c>
      <c r="E220" s="8" t="s">
        <v>729</v>
      </c>
      <c r="F220" s="9">
        <v>46175</v>
      </c>
      <c r="G220" s="8" t="s">
        <v>426</v>
      </c>
      <c r="H220" s="8" t="s">
        <v>426</v>
      </c>
      <c r="I220" s="8" t="s">
        <v>69</v>
      </c>
      <c r="J220" s="8" t="s">
        <v>730</v>
      </c>
      <c r="K220" s="6" t="str">
        <f>IFERROR(IF(INDEX([6]DME!$K$2:$K$51,MATCH($D220,[6]DME!$D$2:$D$51,0))="","",INDEX([6]DME!$K$2:$K$51,MATCH($D220,[6]DME!$D$2:$D$51,0))),"")</f>
        <v/>
      </c>
      <c r="L220" s="11">
        <f ca="1">IF($O220="","",$O220-TODAY())</f>
        <v>51</v>
      </c>
      <c r="M220" s="11">
        <f ca="1">IF(AND(TRIM($A220)="Finalized",$K220&lt;&gt;""),"",IF($F220="","",$F220+365-TODAY()))</f>
        <v>236</v>
      </c>
      <c r="N220" s="11">
        <f ca="1">IF(AND(TRIM($A220)="Finalized",$K220&lt;&gt;""),"",IF($F220="","",$F220+365-TODAY()))</f>
        <v>236</v>
      </c>
      <c r="O220" s="9">
        <f>IF(AND(TRIM($A220)="Finalized",$K220&lt;&gt;""),"",DATE(2026,11,29))</f>
        <v>46355</v>
      </c>
      <c r="P220" s="8" t="s">
        <v>117</v>
      </c>
      <c r="Q220" s="8" t="s">
        <v>427</v>
      </c>
      <c r="R220" s="8" t="s">
        <v>73</v>
      </c>
      <c r="S220" s="8" t="s">
        <v>88</v>
      </c>
      <c r="T220" s="8" t="s">
        <v>73</v>
      </c>
      <c r="U220" s="8" t="s">
        <v>88</v>
      </c>
      <c r="V220" s="8" t="s">
        <v>455</v>
      </c>
      <c r="W220" s="8" t="s">
        <v>89</v>
      </c>
      <c r="X220" s="8" t="s">
        <v>232</v>
      </c>
      <c r="Y220" s="8"/>
      <c r="Z220" s="8"/>
      <c r="AA220" s="8" t="s">
        <v>77</v>
      </c>
      <c r="AB220" s="10">
        <v>5320.49</v>
      </c>
      <c r="AC220" s="10">
        <v>0</v>
      </c>
      <c r="AD220" s="10">
        <v>0</v>
      </c>
      <c r="AE220" s="9">
        <v>46192</v>
      </c>
      <c r="AF220" s="10">
        <v>5320.49</v>
      </c>
      <c r="AG220" s="7">
        <v>67</v>
      </c>
      <c r="AH220" s="8" t="s">
        <v>681</v>
      </c>
      <c r="AI220" s="8"/>
      <c r="AJ220" s="8"/>
      <c r="AK220" s="8"/>
      <c r="AL220" s="7"/>
      <c r="AM220" s="8" t="s">
        <v>397</v>
      </c>
      <c r="AN220" s="8" t="s">
        <v>191</v>
      </c>
      <c r="AO220" s="9">
        <v>46185</v>
      </c>
    </row>
    <row r="221" spans="1:41" x14ac:dyDescent="0.25">
      <c r="A221" s="5" t="str">
        <f>IFERROR(IF(INDEX([6]GAE!$A$2:$A$23,MATCH($D221,[6]GAE!$D$2:$D$23,0))="","",INDEX([6]GAE!$A$2:$A$23,MATCH($D221,[6]GAE!$D$2:$D$23,0))),"")</f>
        <v/>
      </c>
      <c r="B221" s="5" t="str">
        <f>IFERROR(IF(INDEX([6]GAE!$B$2:$B$23,MATCH($D221,[6]GAE!$D$2:$D$23,0))="","",INDEX([6]GAE!$B$2:$B$23,MATCH($D221,[6]GAE!$D$2:$D$23,0))),"")</f>
        <v/>
      </c>
      <c r="C221" s="6">
        <f>IFERROR(IF(INDEX([6]GAE!$C$2:$C$23,MATCH($D221,[6]GAE!$D$2:$D$23,0))="","",INDEX([6]GAE!$C$2:$C$23,MATCH($D221,[6]GAE!$D$2:$D$23,0))),"")</f>
        <v>46225</v>
      </c>
      <c r="D221" s="7">
        <v>565108232</v>
      </c>
      <c r="E221" s="8" t="s">
        <v>731</v>
      </c>
      <c r="F221" s="9">
        <v>46195</v>
      </c>
      <c r="G221" s="8" t="s">
        <v>426</v>
      </c>
      <c r="H221" s="8" t="s">
        <v>426</v>
      </c>
      <c r="I221" s="8" t="s">
        <v>69</v>
      </c>
      <c r="J221" s="8" t="s">
        <v>732</v>
      </c>
      <c r="K221" s="6" t="str">
        <f>IFERROR(IF(INDEX([6]GAE!$K$2:$K$23,MATCH($D221,[6]GAE!$D$2:$D$23,0))="","",INDEX([6]GAE!$K$2:$K$23,MATCH($D221,[6]GAE!$D$2:$D$23,0))),"")</f>
        <v/>
      </c>
      <c r="L221" s="11">
        <f ca="1">IF($O221="","",$O221-TODAY())</f>
        <v>71</v>
      </c>
      <c r="M221" s="11">
        <f ca="1">IF(AND(TRIM($A221)="Finalized",$K221&lt;&gt;""),"",IF($F221="","",$F221+365-TODAY()))</f>
        <v>256</v>
      </c>
      <c r="N221" s="11">
        <f ca="1">IF(AND(TRIM($A221)="Finalized",$K221&lt;&gt;""),"",IF($F221="","",$F221+365-TODAY()))</f>
        <v>256</v>
      </c>
      <c r="O221" s="9">
        <f>IF(AND(TRIM($A221)="Finalized",$K221&lt;&gt;""),"",DATE(2026,12,19))</f>
        <v>46375</v>
      </c>
      <c r="P221" s="8" t="s">
        <v>117</v>
      </c>
      <c r="Q221" s="8" t="s">
        <v>427</v>
      </c>
      <c r="R221" s="8" t="s">
        <v>73</v>
      </c>
      <c r="S221" s="8" t="s">
        <v>88</v>
      </c>
      <c r="T221" s="8" t="s">
        <v>73</v>
      </c>
      <c r="U221" s="8" t="s">
        <v>88</v>
      </c>
      <c r="V221" s="8" t="s">
        <v>455</v>
      </c>
      <c r="W221" s="8" t="s">
        <v>101</v>
      </c>
      <c r="X221" s="8" t="s">
        <v>652</v>
      </c>
      <c r="Y221" s="8" t="s">
        <v>153</v>
      </c>
      <c r="Z221" s="8"/>
      <c r="AA221" s="8" t="s">
        <v>259</v>
      </c>
      <c r="AB221" s="10">
        <v>4393.6899999999996</v>
      </c>
      <c r="AC221" s="10">
        <v>0</v>
      </c>
      <c r="AD221" s="10">
        <v>0</v>
      </c>
      <c r="AE221" s="9">
        <v>46225</v>
      </c>
      <c r="AF221" s="10">
        <v>4393.6899999999996</v>
      </c>
      <c r="AG221" s="7">
        <v>47</v>
      </c>
      <c r="AH221" s="8" t="s">
        <v>329</v>
      </c>
      <c r="AI221" s="8" t="s">
        <v>106</v>
      </c>
      <c r="AJ221" s="8" t="s">
        <v>361</v>
      </c>
      <c r="AK221" s="8"/>
      <c r="AL221" s="7"/>
      <c r="AM221" s="8" t="s">
        <v>108</v>
      </c>
      <c r="AN221" s="8" t="s">
        <v>132</v>
      </c>
      <c r="AO221" s="9">
        <v>46216</v>
      </c>
    </row>
    <row r="222" spans="1:41" x14ac:dyDescent="0.25">
      <c r="A222" s="5" t="str">
        <f>IFERROR(IF(INDEX([6]ORTHO!$A$2:$A$39,MATCH($D222,[6]ORTHO!$D$2:$D$39,0))="","",INDEX([6]ORTHO!$A$2:$A$39,MATCH($D222,[6]ORTHO!$D$2:$D$39,0))),"")</f>
        <v/>
      </c>
      <c r="B222" s="5" t="str">
        <f>IFERROR(IF(INDEX([6]ORTHO!$B$2:$B$39,MATCH($D222,[6]ORTHO!$D$2:$D$39,0))="","",INDEX([6]ORTHO!$B$2:$B$39,MATCH($D222,[6]ORTHO!$D$2:$D$39,0))),"")</f>
        <v/>
      </c>
      <c r="C222" s="6">
        <f>IFERROR(IF(INDEX([6]ORTHO!$C$2:$C$39,MATCH($D222,[6]ORTHO!$D$2:$D$39,0))="","",INDEX([6]ORTHO!$C$2:$C$39,MATCH($D222,[6]ORTHO!$D$2:$D$39,0))),"")</f>
        <v>46253</v>
      </c>
      <c r="D222" s="7">
        <v>564529714</v>
      </c>
      <c r="E222" s="8" t="s">
        <v>733</v>
      </c>
      <c r="F222" s="9">
        <v>46195</v>
      </c>
      <c r="G222" s="8" t="s">
        <v>185</v>
      </c>
      <c r="H222" s="8" t="s">
        <v>185</v>
      </c>
      <c r="I222" s="8" t="s">
        <v>69</v>
      </c>
      <c r="J222" s="8" t="s">
        <v>734</v>
      </c>
      <c r="K222" s="6" t="str">
        <f>IFERROR(IF(INDEX([6]ORTHO!$K$2:$K$39,MATCH($D222,[6]ORTHO!$D$2:$D$39,0))="","",INDEX([6]ORTHO!$K$2:$K$39,MATCH($D222,[6]ORTHO!$D$2:$D$39,0))),"")</f>
        <v/>
      </c>
      <c r="L222" s="11">
        <f ca="1">IF($O222="","",$O222-TODAY())</f>
        <v>71</v>
      </c>
      <c r="M222" s="11">
        <f ca="1">IF(AND(TRIM($A222)="Finalized",$K222&lt;&gt;""),"",IF($F222="","",$F222+365-TODAY()))</f>
        <v>256</v>
      </c>
      <c r="N222" s="11">
        <f ca="1">IF(AND(TRIM($A222)="Finalized",$K222&lt;&gt;""),"",IF($F222="","",$F222+365-TODAY()))</f>
        <v>256</v>
      </c>
      <c r="O222" s="9">
        <f>IF(AND(TRIM($A222)="Finalized",$K222&lt;&gt;""),"",DATE(2026,12,19))</f>
        <v>46375</v>
      </c>
      <c r="P222" s="8" t="s">
        <v>117</v>
      </c>
      <c r="Q222" s="8" t="s">
        <v>718</v>
      </c>
      <c r="R222" s="8" t="s">
        <v>73</v>
      </c>
      <c r="S222" s="8" t="s">
        <v>88</v>
      </c>
      <c r="T222" s="8" t="s">
        <v>73</v>
      </c>
      <c r="U222" s="8" t="s">
        <v>88</v>
      </c>
      <c r="V222" s="8" t="s">
        <v>455</v>
      </c>
      <c r="W222" s="8" t="s">
        <v>76</v>
      </c>
      <c r="X222" s="8"/>
      <c r="Y222" s="8"/>
      <c r="Z222" s="8"/>
      <c r="AA222" s="8" t="s">
        <v>77</v>
      </c>
      <c r="AB222" s="10">
        <v>17815.21</v>
      </c>
      <c r="AC222" s="10">
        <v>0</v>
      </c>
      <c r="AD222" s="10">
        <v>0</v>
      </c>
      <c r="AE222" s="9">
        <v>46253</v>
      </c>
      <c r="AF222" s="10">
        <v>17815.21</v>
      </c>
      <c r="AG222" s="7">
        <v>47</v>
      </c>
      <c r="AH222" s="8" t="s">
        <v>145</v>
      </c>
      <c r="AI222" s="8" t="s">
        <v>233</v>
      </c>
      <c r="AJ222" s="8" t="s">
        <v>575</v>
      </c>
      <c r="AK222" s="8" t="s">
        <v>308</v>
      </c>
      <c r="AL222" s="7"/>
      <c r="AM222" s="8" t="s">
        <v>272</v>
      </c>
      <c r="AN222" s="8" t="s">
        <v>735</v>
      </c>
      <c r="AO222" s="9">
        <v>46246</v>
      </c>
    </row>
    <row r="223" spans="1:41" x14ac:dyDescent="0.25">
      <c r="A223" s="5" t="str">
        <f>IFERROR(IF(INDEX([6]DME!$A$2:$A$51,MATCH($D223,[6]DME!$D$2:$D$51,0))="","",INDEX([6]DME!$A$2:$A$51,MATCH($D223,[6]DME!$D$2:$D$51,0))),"")</f>
        <v/>
      </c>
      <c r="B223" s="5" t="str">
        <f>IFERROR(IF(INDEX([6]DME!$B$2:$B$51,MATCH($D223,[6]DME!$D$2:$D$51,0))="","",INDEX([6]DME!$B$2:$B$51,MATCH($D223,[6]DME!$D$2:$D$51,0))),"")</f>
        <v/>
      </c>
      <c r="C223" s="6">
        <f>IFERROR(IF(INDEX([6]DME!$C$2:$C$51,MATCH($D223,[6]DME!$D$2:$D$51,0))="","",INDEX([6]DME!$C$2:$C$51,MATCH($D223,[6]DME!$D$2:$D$51,0))),"")</f>
        <v>46211</v>
      </c>
      <c r="D223" s="7">
        <v>564103202</v>
      </c>
      <c r="E223" s="8" t="s">
        <v>736</v>
      </c>
      <c r="F223" s="9">
        <v>46196</v>
      </c>
      <c r="G223" s="8" t="s">
        <v>185</v>
      </c>
      <c r="H223" s="8" t="s">
        <v>185</v>
      </c>
      <c r="I223" s="8" t="s">
        <v>69</v>
      </c>
      <c r="J223" s="8" t="s">
        <v>381</v>
      </c>
      <c r="K223" s="6" t="str">
        <f>IFERROR(IF(INDEX([6]DME!$K$2:$K$51,MATCH($D223,[6]DME!$D$2:$D$51,0))="","",INDEX([6]DME!$K$2:$K$51,MATCH($D223,[6]DME!$D$2:$D$51,0))),"")</f>
        <v/>
      </c>
      <c r="L223" s="11">
        <f ca="1">IF($O223="","",$O223-TODAY())</f>
        <v>72</v>
      </c>
      <c r="M223" s="11">
        <f ca="1">IF(AND(TRIM($A223)="Finalized",$K223&lt;&gt;""),"",IF($F223="","",$F223+365-TODAY()))</f>
        <v>257</v>
      </c>
      <c r="N223" s="11">
        <f ca="1">IF(AND(TRIM($A223)="Finalized",$K223&lt;&gt;""),"",IF($F223="","",$F223+365-TODAY()))</f>
        <v>257</v>
      </c>
      <c r="O223" s="9">
        <f>IF(AND(TRIM($A223)="Finalized",$K223&lt;&gt;""),"",DATE(2026,12,20))</f>
        <v>46376</v>
      </c>
      <c r="P223" s="8" t="s">
        <v>117</v>
      </c>
      <c r="Q223" s="8" t="s">
        <v>718</v>
      </c>
      <c r="R223" s="8" t="s">
        <v>73</v>
      </c>
      <c r="S223" s="8" t="s">
        <v>88</v>
      </c>
      <c r="T223" s="8" t="s">
        <v>73</v>
      </c>
      <c r="U223" s="8" t="s">
        <v>88</v>
      </c>
      <c r="V223" s="8" t="s">
        <v>455</v>
      </c>
      <c r="W223" s="8" t="s">
        <v>89</v>
      </c>
      <c r="X223" s="8" t="s">
        <v>90</v>
      </c>
      <c r="Y223" s="8"/>
      <c r="Z223" s="8"/>
      <c r="AA223" s="8" t="s">
        <v>91</v>
      </c>
      <c r="AB223" s="10">
        <v>5916.4</v>
      </c>
      <c r="AC223" s="10">
        <v>0</v>
      </c>
      <c r="AD223" s="10">
        <v>0</v>
      </c>
      <c r="AE223" s="9">
        <v>46211</v>
      </c>
      <c r="AF223" s="10">
        <v>5916.4</v>
      </c>
      <c r="AG223" s="7">
        <v>46</v>
      </c>
      <c r="AH223" s="8" t="s">
        <v>92</v>
      </c>
      <c r="AI223" s="8" t="s">
        <v>233</v>
      </c>
      <c r="AJ223" s="8" t="s">
        <v>270</v>
      </c>
      <c r="AK223" s="8" t="s">
        <v>145</v>
      </c>
      <c r="AL223" s="7"/>
      <c r="AM223" s="8" t="s">
        <v>272</v>
      </c>
      <c r="AN223" s="8" t="s">
        <v>121</v>
      </c>
      <c r="AO223" s="9">
        <v>46205</v>
      </c>
    </row>
    <row r="224" spans="1:41" x14ac:dyDescent="0.25">
      <c r="A224" s="5" t="str">
        <f>IFERROR(IF(INDEX([1]BH!$A$2:$A$17,MATCH($D224,[1]BH!$D$2:$D$17,0))="","",INDEX([1]BH!$A$2:$A$17,MATCH($D224,[1]BH!$D$2:$D$17,0))),"")</f>
        <v>PAID</v>
      </c>
      <c r="B224" s="5" t="str">
        <f>IFERROR(IF(INDEX([1]BH!$B$2:$B$17,MATCH($D224,[1]BH!$D$2:$D$17,0))="","",INDEX([1]BH!$B$2:$B$17,MATCH($D224,[1]BH!$D$2:$D$17,0))),"")</f>
        <v>Secondary - Pending check</v>
      </c>
      <c r="C224" s="6">
        <f>IFERROR(IF(INDEX([1]BH!$C$2:$C$17,MATCH($D224,[1]BH!$D$2:$D$17,0))="","",INDEX([1]BH!$C$2:$C$17,MATCH($D224,[1]BH!$D$2:$D$17,0))),"")</f>
        <v>46071</v>
      </c>
      <c r="D224" s="7">
        <v>545752977</v>
      </c>
      <c r="E224" s="8" t="s">
        <v>737</v>
      </c>
      <c r="F224" s="9">
        <v>46031</v>
      </c>
      <c r="G224" s="8" t="s">
        <v>123</v>
      </c>
      <c r="H224" s="8" t="s">
        <v>171</v>
      </c>
      <c r="I224" s="8" t="s">
        <v>123</v>
      </c>
      <c r="J224" s="8" t="s">
        <v>738</v>
      </c>
      <c r="K224" s="6">
        <f>IFERROR(IF(INDEX([1]BH!$K$2:$K$17,MATCH($D224,[1]BH!$D$2:$D$17,0))="","",INDEX([1]BH!$K$2:$K$17,MATCH($D224,[1]BH!$D$2:$D$17,0))),"")</f>
        <v>46129</v>
      </c>
      <c r="L224" s="11">
        <f ca="1">IF($O224="","",$O224-TODAY())</f>
        <v>92</v>
      </c>
      <c r="M224" s="11">
        <f ca="1">IF(AND(TRIM($A224)="Finalized",$K224&lt;&gt;""),"",IF($C224="","",$C224+365-TODAY()))</f>
        <v>132</v>
      </c>
      <c r="N224" s="11">
        <f ca="1">IF(AND(TRIM($A224)="Finalized",$K224&lt;&gt;""),"",IF($C224="","",$C224+120-TODAY()))</f>
        <v>-113</v>
      </c>
      <c r="O224" s="9">
        <f>IF(AND(TRIM($A224)="Finalized",$K224&lt;&gt;""),"",DATE(2027,1,9))</f>
        <v>46396</v>
      </c>
      <c r="P224" s="8" t="s">
        <v>73</v>
      </c>
      <c r="Q224" s="8" t="s">
        <v>739</v>
      </c>
      <c r="R224" s="8" t="s">
        <v>73</v>
      </c>
      <c r="S224" s="8" t="s">
        <v>74</v>
      </c>
      <c r="T224" s="8" t="s">
        <v>208</v>
      </c>
      <c r="U224" s="8" t="s">
        <v>74</v>
      </c>
      <c r="V224" s="8" t="s">
        <v>75</v>
      </c>
      <c r="W224" s="8" t="s">
        <v>118</v>
      </c>
      <c r="X224" s="8"/>
      <c r="Y224" s="8"/>
      <c r="Z224" s="8"/>
      <c r="AA224" s="8" t="s">
        <v>266</v>
      </c>
      <c r="AB224" s="10">
        <v>1822.52</v>
      </c>
      <c r="AC224" s="10">
        <v>1569.38</v>
      </c>
      <c r="AD224" s="10">
        <v>197.72</v>
      </c>
      <c r="AE224" s="9">
        <v>46071</v>
      </c>
      <c r="AF224" s="10">
        <v>55.42</v>
      </c>
      <c r="AG224" s="7">
        <v>211</v>
      </c>
      <c r="AH224" s="8" t="s">
        <v>119</v>
      </c>
      <c r="AI224" s="8"/>
      <c r="AJ224" s="8"/>
      <c r="AK224" s="8"/>
      <c r="AL224" s="7">
        <v>550866078</v>
      </c>
      <c r="AM224" s="8" t="s">
        <v>157</v>
      </c>
      <c r="AN224" s="8" t="s">
        <v>121</v>
      </c>
      <c r="AO224" s="9">
        <v>46057</v>
      </c>
    </row>
    <row r="225" spans="1:41" x14ac:dyDescent="0.25">
      <c r="A225" s="5" t="str">
        <f>IFERROR(IF(INDEX([1]DME!$A$2:$A$8,MATCH($D225,[1]DME!$D$2:$D$8,0))="","",INDEX([1]DME!$A$2:$A$8,MATCH($D225,[1]DME!$D$2:$D$8,0))),"")</f>
        <v>Denied</v>
      </c>
      <c r="B225" s="5" t="str">
        <f>IFERROR(IF(INDEX([1]DME!$B$2:$B$8,MATCH($D225,[1]DME!$D$2:$D$8,0))="","",INDEX([1]DME!$B$2:$B$8,MATCH($D225,[1]DME!$D$2:$D$8,0))),"")</f>
        <v>Resubmitted again - Aisha said peoria is active from jan 2026 - Reprocessing claim - Confirmation Number: 26119900211</v>
      </c>
      <c r="C225" s="6">
        <f>IFERROR(IF(INDEX([1]DME!$C$2:$C$8,MATCH($D225,[1]DME!$D$2:$D$8,0))="","",INDEX([1]DME!$C$2:$C$8,MATCH($D225,[1]DME!$D$2:$D$8,0))),"")</f>
        <v>46148</v>
      </c>
      <c r="D225" s="7">
        <v>546188740</v>
      </c>
      <c r="E225" s="8" t="s">
        <v>740</v>
      </c>
      <c r="F225" s="9">
        <v>46031</v>
      </c>
      <c r="G225" s="8" t="s">
        <v>437</v>
      </c>
      <c r="H225" s="8" t="s">
        <v>437</v>
      </c>
      <c r="I225" s="8" t="s">
        <v>741</v>
      </c>
      <c r="J225" s="8" t="s">
        <v>373</v>
      </c>
      <c r="K225" s="6">
        <f>IFERROR(IF(INDEX([1]DME!$K$2:$K$8,MATCH($D225,[1]DME!$D$2:$D$8,0))="","",INDEX([1]DME!$K$2:$K$8,MATCH($D225,[1]DME!$D$2:$D$8,0))),"")</f>
        <v>46300</v>
      </c>
      <c r="L225" s="11">
        <f ca="1">IF($O225="","",$O225-TODAY())</f>
        <v>92</v>
      </c>
      <c r="M225" s="11">
        <f ca="1">IF(AND(TRIM($A225)="Finalized",$K225&lt;&gt;""),"",IF($C225="","",$C225+365-TODAY()))</f>
        <v>209</v>
      </c>
      <c r="N225" s="11">
        <f ca="1">IF(AND(TRIM($A225)="Finalized",$K225&lt;&gt;""),"",IF($C225="","",$C225+120-TODAY()))</f>
        <v>-36</v>
      </c>
      <c r="O225" s="9">
        <f>IF(AND(TRIM($A225)="Finalized",$K225&lt;&gt;""),"",DATE(2027,1,9))</f>
        <v>46396</v>
      </c>
      <c r="P225" s="8" t="s">
        <v>73</v>
      </c>
      <c r="Q225" s="8" t="s">
        <v>739</v>
      </c>
      <c r="R225" s="8" t="s">
        <v>73</v>
      </c>
      <c r="S225" s="8" t="s">
        <v>74</v>
      </c>
      <c r="T225" s="8" t="s">
        <v>208</v>
      </c>
      <c r="U225" s="8" t="s">
        <v>74</v>
      </c>
      <c r="V225" s="8" t="s">
        <v>75</v>
      </c>
      <c r="W225" s="8" t="s">
        <v>89</v>
      </c>
      <c r="X225" s="8" t="s">
        <v>244</v>
      </c>
      <c r="Y225" s="8"/>
      <c r="Z225" s="8"/>
      <c r="AA225" s="8" t="s">
        <v>190</v>
      </c>
      <c r="AB225" s="10">
        <v>2958.2</v>
      </c>
      <c r="AC225" s="10">
        <v>0</v>
      </c>
      <c r="AD225" s="10">
        <v>0</v>
      </c>
      <c r="AE225" s="9">
        <v>46148</v>
      </c>
      <c r="AF225" s="10">
        <v>2958.2</v>
      </c>
      <c r="AG225" s="7">
        <v>211</v>
      </c>
      <c r="AH225" s="8" t="s">
        <v>92</v>
      </c>
      <c r="AI225" s="8" t="s">
        <v>79</v>
      </c>
      <c r="AJ225" s="8"/>
      <c r="AK225" s="8"/>
      <c r="AL225" s="7"/>
      <c r="AM225" s="8" t="s">
        <v>742</v>
      </c>
      <c r="AN225" s="8" t="s">
        <v>743</v>
      </c>
      <c r="AO225" s="9">
        <v>46036</v>
      </c>
    </row>
    <row r="226" spans="1:41" x14ac:dyDescent="0.25">
      <c r="A226" s="5" t="str">
        <f>IFERROR(IF(INDEX([1]GAE!$A$2:$A$12,MATCH($D226,[1]GAE!$D$2:$D$12,0))="","",INDEX([1]GAE!$A$2:$A$12,MATCH($D226,[1]GAE!$D$2:$D$12,0))),"")</f>
        <v>Finalized</v>
      </c>
      <c r="B226" s="5" t="str">
        <f>IFERROR(IF(INDEX([1]GAE!$B$2:$B$12,MATCH($D226,[1]GAE!$D$2:$D$12,0))="","",INDEX([1]GAE!$B$2:$B$12,MATCH($D226,[1]GAE!$D$2:$D$12,0))),"")</f>
        <v/>
      </c>
      <c r="C226" s="6">
        <f>IFERROR(IF(INDEX([1]GAE!$C$2:$C$12,MATCH($D226,[1]GAE!$D$2:$D$12,0))="","",INDEX([1]GAE!$C$2:$C$12,MATCH($D226,[1]GAE!$D$2:$D$12,0))),"")</f>
        <v>46135</v>
      </c>
      <c r="D226" s="7">
        <v>548880209</v>
      </c>
      <c r="E226" s="8" t="s">
        <v>747</v>
      </c>
      <c r="F226" s="9">
        <v>46034</v>
      </c>
      <c r="G226" s="8" t="s">
        <v>123</v>
      </c>
      <c r="H226" s="8" t="s">
        <v>171</v>
      </c>
      <c r="I226" s="8" t="s">
        <v>123</v>
      </c>
      <c r="J226" s="8" t="s">
        <v>748</v>
      </c>
      <c r="K226" s="6" t="str">
        <f>IFERROR(IF(INDEX([1]GAE!$K$2:$K$12,MATCH($D226,[1]GAE!$D$2:$D$12,0))="","",INDEX([1]GAE!$K$2:$K$12,MATCH($D226,[1]GAE!$D$2:$D$12,0))),"")</f>
        <v/>
      </c>
      <c r="L226" s="11">
        <f ca="1">IF($O226="","",$O226-TODAY())</f>
        <v>95</v>
      </c>
      <c r="M226" s="11">
        <f ca="1">IF(AND(TRIM($A226)="Finalized",$K226&lt;&gt;""),"",IF($C226="","",$C226+365-TODAY()))</f>
        <v>196</v>
      </c>
      <c r="N226" s="11">
        <f ca="1">IF(AND(TRIM($A226)="Finalized",$K226&lt;&gt;""),"",IF($C226="","",$C226+120-TODAY()))</f>
        <v>-49</v>
      </c>
      <c r="O226" s="9">
        <f>IF(AND(TRIM($A226)="Finalized",$K226&lt;&gt;""),"",DATE(2027,1,12))</f>
        <v>46399</v>
      </c>
      <c r="P226" s="8" t="s">
        <v>73</v>
      </c>
      <c r="Q226" s="8" t="s">
        <v>739</v>
      </c>
      <c r="R226" s="8" t="s">
        <v>73</v>
      </c>
      <c r="S226" s="8" t="s">
        <v>74</v>
      </c>
      <c r="T226" s="8" t="s">
        <v>208</v>
      </c>
      <c r="U226" s="8" t="s">
        <v>74</v>
      </c>
      <c r="V226" s="8" t="s">
        <v>75</v>
      </c>
      <c r="W226" s="8" t="s">
        <v>101</v>
      </c>
      <c r="X226" s="8" t="s">
        <v>359</v>
      </c>
      <c r="Y226" s="8" t="s">
        <v>456</v>
      </c>
      <c r="Z226" s="8" t="s">
        <v>103</v>
      </c>
      <c r="AA226" s="8" t="s">
        <v>104</v>
      </c>
      <c r="AB226" s="10">
        <v>67599.91</v>
      </c>
      <c r="AC226" s="10">
        <v>66731.289999999994</v>
      </c>
      <c r="AD226" s="10">
        <v>867.75</v>
      </c>
      <c r="AE226" s="9">
        <v>46135</v>
      </c>
      <c r="AF226" s="10">
        <v>0.87</v>
      </c>
      <c r="AG226" s="7">
        <v>208</v>
      </c>
      <c r="AH226" s="8" t="s">
        <v>107</v>
      </c>
      <c r="AI226" s="8" t="s">
        <v>106</v>
      </c>
      <c r="AJ226" s="8"/>
      <c r="AK226" s="8"/>
      <c r="AL226" s="7">
        <v>566386933</v>
      </c>
      <c r="AM226" s="8" t="s">
        <v>108</v>
      </c>
      <c r="AN226" s="8" t="s">
        <v>81</v>
      </c>
      <c r="AO226" s="9">
        <v>46062</v>
      </c>
    </row>
    <row r="227" spans="1:41" x14ac:dyDescent="0.25">
      <c r="A227" s="5" t="str">
        <f>IFERROR(IF(INDEX([1]GAE!$A$2:$A$12,MATCH($D227,[1]GAE!$D$2:$D$12,0))="","",INDEX([1]GAE!$A$2:$A$12,MATCH($D227,[1]GAE!$D$2:$D$12,0))),"")</f>
        <v>Finalized</v>
      </c>
      <c r="B227" s="5" t="str">
        <f>IFERROR(IF(INDEX([1]GAE!$B$2:$B$12,MATCH($D227,[1]GAE!$D$2:$D$12,0))="","",INDEX([1]GAE!$B$2:$B$12,MATCH($D227,[1]GAE!$D$2:$D$12,0))),"")</f>
        <v/>
      </c>
      <c r="C227" s="6">
        <f>IFERROR(IF(INDEX([1]GAE!$C$2:$C$12,MATCH($D227,[1]GAE!$D$2:$D$12,0))="","",INDEX([1]GAE!$C$2:$C$12,MATCH($D227,[1]GAE!$D$2:$D$12,0))),"")</f>
        <v>46147</v>
      </c>
      <c r="D227" s="7">
        <v>548873847</v>
      </c>
      <c r="E227" s="8" t="s">
        <v>753</v>
      </c>
      <c r="F227" s="9">
        <v>46041</v>
      </c>
      <c r="G227" s="8" t="s">
        <v>754</v>
      </c>
      <c r="H227" s="8" t="s">
        <v>171</v>
      </c>
      <c r="I227" s="8" t="s">
        <v>754</v>
      </c>
      <c r="J227" s="8" t="s">
        <v>755</v>
      </c>
      <c r="K227" s="6" t="str">
        <f>IFERROR(IF(INDEX([1]GAE!$K$2:$K$12,MATCH($D227,[1]GAE!$D$2:$D$12,0))="","",INDEX([1]GAE!$K$2:$K$12,MATCH($D227,[1]GAE!$D$2:$D$12,0))),"")</f>
        <v/>
      </c>
      <c r="L227" s="11">
        <f ca="1">IF($O227="","",$O227-TODAY())</f>
        <v>102</v>
      </c>
      <c r="M227" s="11">
        <f ca="1">IF(AND(TRIM($A227)="Finalized",$K227&lt;&gt;""),"",IF($C227="","",$C227+365-TODAY()))</f>
        <v>208</v>
      </c>
      <c r="N227" s="11">
        <f ca="1">IF(AND(TRIM($A227)="Finalized",$K227&lt;&gt;""),"",IF($C227="","",$C227+120-TODAY()))</f>
        <v>-37</v>
      </c>
      <c r="O227" s="9">
        <f>IF(AND(TRIM($A227)="Finalized",$K227&lt;&gt;""),"",DATE(2027,1,19))</f>
        <v>46406</v>
      </c>
      <c r="P227" s="8" t="s">
        <v>73</v>
      </c>
      <c r="Q227" s="8" t="s">
        <v>739</v>
      </c>
      <c r="R227" s="8" t="s">
        <v>73</v>
      </c>
      <c r="S227" s="8" t="s">
        <v>74</v>
      </c>
      <c r="T227" s="8" t="s">
        <v>208</v>
      </c>
      <c r="U227" s="8" t="s">
        <v>74</v>
      </c>
      <c r="V227" s="8" t="s">
        <v>75</v>
      </c>
      <c r="W227" s="8" t="s">
        <v>101</v>
      </c>
      <c r="X227" s="8"/>
      <c r="Y227" s="8"/>
      <c r="Z227" s="8"/>
      <c r="AA227" s="8" t="s">
        <v>77</v>
      </c>
      <c r="AB227" s="10">
        <v>49162.82</v>
      </c>
      <c r="AC227" s="10">
        <v>48759.59</v>
      </c>
      <c r="AD227" s="10">
        <v>233.16</v>
      </c>
      <c r="AE227" s="9">
        <v>46147</v>
      </c>
      <c r="AF227" s="10">
        <v>170.07</v>
      </c>
      <c r="AG227" s="7">
        <v>201</v>
      </c>
      <c r="AH227" s="8" t="s">
        <v>105</v>
      </c>
      <c r="AI227" s="8" t="s">
        <v>106</v>
      </c>
      <c r="AJ227" s="8" t="s">
        <v>107</v>
      </c>
      <c r="AK227" s="8"/>
      <c r="AL227" s="7">
        <v>565292656</v>
      </c>
      <c r="AM227" s="8" t="s">
        <v>108</v>
      </c>
      <c r="AN227" s="8" t="s">
        <v>109</v>
      </c>
      <c r="AO227" s="9">
        <v>46062</v>
      </c>
    </row>
    <row r="228" spans="1:41" x14ac:dyDescent="0.25">
      <c r="A228" s="5" t="str">
        <f>IFERROR(IF(INDEX([1]GAE!$A$2:$A$12,MATCH($D228,[1]GAE!$D$2:$D$12,0))="","",INDEX([1]GAE!$A$2:$A$12,MATCH($D228,[1]GAE!$D$2:$D$12,0))),"")</f>
        <v>Denied</v>
      </c>
      <c r="B228" s="5" t="str">
        <f>IFERROR(IF(INDEX([1]GAE!$B$2:$B$12,MATCH($D228,[1]GAE!$D$2:$D$12,0))="","",INDEX([1]GAE!$B$2:$B$12,MATCH($D228,[1]GAE!$D$2:$D$12,0))),"")</f>
        <v/>
      </c>
      <c r="C228" s="6">
        <f>IFERROR(IF(INDEX([1]GAE!$C$2:$C$12,MATCH($D228,[1]GAE!$D$2:$D$12,0))="","",INDEX([1]GAE!$C$2:$C$12,MATCH($D228,[1]GAE!$D$2:$D$12,0))),"")</f>
        <v>46135</v>
      </c>
      <c r="D228" s="7">
        <v>548883662</v>
      </c>
      <c r="E228" s="8" t="s">
        <v>756</v>
      </c>
      <c r="F228" s="9">
        <v>46041</v>
      </c>
      <c r="G228" s="8" t="s">
        <v>757</v>
      </c>
      <c r="H228" s="8" t="s">
        <v>171</v>
      </c>
      <c r="I228" s="8" t="s">
        <v>757</v>
      </c>
      <c r="J228" s="8" t="s">
        <v>758</v>
      </c>
      <c r="K228" s="6" t="str">
        <f>IFERROR(IF(INDEX([1]GAE!$K$2:$K$12,MATCH($D228,[1]GAE!$D$2:$D$12,0))="","",INDEX([1]GAE!$K$2:$K$12,MATCH($D228,[1]GAE!$D$2:$D$12,0))),"")</f>
        <v/>
      </c>
      <c r="L228" s="11">
        <f ca="1">IF($O228="","",$O228-TODAY())</f>
        <v>102</v>
      </c>
      <c r="M228" s="11">
        <f ca="1">IF(AND(TRIM($A228)="Finalized",$K228&lt;&gt;""),"",IF($C228="","",$C228+365-TODAY()))</f>
        <v>196</v>
      </c>
      <c r="N228" s="11">
        <f ca="1">IF(AND(TRIM($A228)="Finalized",$K228&lt;&gt;""),"",IF($C228="","",$C228+120-TODAY()))</f>
        <v>-49</v>
      </c>
      <c r="O228" s="9">
        <f>IF(AND(TRIM($A228)="Finalized",$K228&lt;&gt;""),"",DATE(2027,1,19))</f>
        <v>46406</v>
      </c>
      <c r="P228" s="8" t="s">
        <v>73</v>
      </c>
      <c r="Q228" s="8" t="s">
        <v>739</v>
      </c>
      <c r="R228" s="8" t="s">
        <v>73</v>
      </c>
      <c r="S228" s="8" t="s">
        <v>74</v>
      </c>
      <c r="T228" s="8" t="s">
        <v>208</v>
      </c>
      <c r="U228" s="8" t="s">
        <v>74</v>
      </c>
      <c r="V228" s="8" t="s">
        <v>75</v>
      </c>
      <c r="W228" s="8" t="s">
        <v>101</v>
      </c>
      <c r="X228" s="8" t="s">
        <v>257</v>
      </c>
      <c r="Y228" s="8" t="s">
        <v>258</v>
      </c>
      <c r="Z228" s="8" t="s">
        <v>103</v>
      </c>
      <c r="AA228" s="8" t="s">
        <v>104</v>
      </c>
      <c r="AB228" s="10">
        <v>67599.91</v>
      </c>
      <c r="AC228" s="10">
        <v>66731.289999999994</v>
      </c>
      <c r="AD228" s="10">
        <v>867.75</v>
      </c>
      <c r="AE228" s="9">
        <v>46135</v>
      </c>
      <c r="AF228" s="10">
        <v>0.87</v>
      </c>
      <c r="AG228" s="7">
        <v>201</v>
      </c>
      <c r="AH228" s="8" t="s">
        <v>105</v>
      </c>
      <c r="AI228" s="8" t="s">
        <v>106</v>
      </c>
      <c r="AJ228" s="8" t="s">
        <v>107</v>
      </c>
      <c r="AK228" s="8"/>
      <c r="AL228" s="7">
        <v>551561155</v>
      </c>
      <c r="AM228" s="8" t="s">
        <v>108</v>
      </c>
      <c r="AN228" s="8" t="s">
        <v>109</v>
      </c>
      <c r="AO228" s="9">
        <v>46062</v>
      </c>
    </row>
    <row r="229" spans="1:41" x14ac:dyDescent="0.25">
      <c r="A229" s="5" t="str">
        <f>IFERROR(IF(INDEX([1]GAE!$A$2:$A$12,MATCH($D229,[1]GAE!$D$2:$D$12,0))="","",INDEX([1]GAE!$A$2:$A$12,MATCH($D229,[1]GAE!$D$2:$D$12,0))),"")</f>
        <v>Finalized</v>
      </c>
      <c r="B229" s="5" t="str">
        <f>IFERROR(IF(INDEX([1]GAE!$B$2:$B$12,MATCH($D229,[1]GAE!$D$2:$D$12,0))="","",INDEX([1]GAE!$B$2:$B$12,MATCH($D229,[1]GAE!$D$2:$D$12,0))),"")</f>
        <v/>
      </c>
      <c r="C229" s="6">
        <f>IFERROR(IF(INDEX([1]GAE!$C$2:$C$12,MATCH($D229,[1]GAE!$D$2:$D$12,0))="","",INDEX([1]GAE!$C$2:$C$12,MATCH($D229,[1]GAE!$D$2:$D$12,0))),"")</f>
        <v>46120</v>
      </c>
      <c r="D229" s="7">
        <v>548916508</v>
      </c>
      <c r="E229" s="8" t="s">
        <v>759</v>
      </c>
      <c r="F229" s="9">
        <v>46041</v>
      </c>
      <c r="G229" s="8" t="s">
        <v>760</v>
      </c>
      <c r="H229" s="8" t="s">
        <v>171</v>
      </c>
      <c r="I229" s="8" t="s">
        <v>760</v>
      </c>
      <c r="J229" s="8" t="s">
        <v>761</v>
      </c>
      <c r="K229" s="6" t="str">
        <f>IFERROR(IF(INDEX([1]GAE!$K$2:$K$12,MATCH($D229,[1]GAE!$D$2:$D$12,0))="","",INDEX([1]GAE!$K$2:$K$12,MATCH($D229,[1]GAE!$D$2:$D$12,0))),"")</f>
        <v/>
      </c>
      <c r="L229" s="11">
        <f ca="1">IF($O229="","",$O229-TODAY())</f>
        <v>102</v>
      </c>
      <c r="M229" s="11">
        <f ca="1">IF(AND(TRIM($A229)="Finalized",$K229&lt;&gt;""),"",IF($C229="","",$C229+365-TODAY()))</f>
        <v>181</v>
      </c>
      <c r="N229" s="11">
        <f ca="1">IF(AND(TRIM($A229)="Finalized",$K229&lt;&gt;""),"",IF($C229="","",$C229+120-TODAY()))</f>
        <v>-64</v>
      </c>
      <c r="O229" s="9">
        <f>IF(AND(TRIM($A229)="Finalized",$K229&lt;&gt;""),"",DATE(2027,1,19))</f>
        <v>46406</v>
      </c>
      <c r="P229" s="8" t="s">
        <v>73</v>
      </c>
      <c r="Q229" s="8" t="s">
        <v>739</v>
      </c>
      <c r="R229" s="8" t="s">
        <v>73</v>
      </c>
      <c r="S229" s="8" t="s">
        <v>74</v>
      </c>
      <c r="T229" s="8" t="s">
        <v>208</v>
      </c>
      <c r="U229" s="8" t="s">
        <v>74</v>
      </c>
      <c r="V229" s="8" t="s">
        <v>75</v>
      </c>
      <c r="W229" s="8" t="s">
        <v>101</v>
      </c>
      <c r="X229" s="8" t="s">
        <v>257</v>
      </c>
      <c r="Y229" s="8" t="s">
        <v>258</v>
      </c>
      <c r="Z229" s="8" t="s">
        <v>103</v>
      </c>
      <c r="AA229" s="8" t="s">
        <v>104</v>
      </c>
      <c r="AB229" s="10">
        <v>67599.91</v>
      </c>
      <c r="AC229" s="10">
        <v>66555.62</v>
      </c>
      <c r="AD229" s="10">
        <v>867.75</v>
      </c>
      <c r="AE229" s="9">
        <v>46120</v>
      </c>
      <c r="AF229" s="10">
        <v>176.54</v>
      </c>
      <c r="AG229" s="7">
        <v>201</v>
      </c>
      <c r="AH229" s="8" t="s">
        <v>105</v>
      </c>
      <c r="AI229" s="8" t="s">
        <v>106</v>
      </c>
      <c r="AJ229" s="8" t="s">
        <v>107</v>
      </c>
      <c r="AK229" s="8"/>
      <c r="AL229" s="7">
        <v>565292638</v>
      </c>
      <c r="AM229" s="8" t="s">
        <v>108</v>
      </c>
      <c r="AN229" s="8" t="s">
        <v>109</v>
      </c>
      <c r="AO229" s="9">
        <v>46062</v>
      </c>
    </row>
    <row r="230" spans="1:41" x14ac:dyDescent="0.25">
      <c r="A230" s="5" t="str">
        <f>IFERROR(IF(INDEX([1]BH!$A$2:$A$17,MATCH($D230,[1]BH!$D$2:$D$17,0))="","",INDEX([1]BH!$A$2:$A$17,MATCH($D230,[1]BH!$D$2:$D$17,0))),"")</f>
        <v>Pending</v>
      </c>
      <c r="B230" s="5" t="str">
        <f>IFERROR(IF(INDEX([1]BH!$B$2:$B$17,MATCH($D230,[1]BH!$D$2:$D$17,0))="","",INDEX([1]BH!$B$2:$B$17,MATCH($D230,[1]BH!$D$2:$D$17,0))),"")</f>
        <v>Secondary - Pending check</v>
      </c>
      <c r="C230" s="6">
        <f>IFERROR(IF(INDEX([1]BH!$C$2:$C$17,MATCH($D230,[1]BH!$D$2:$D$17,0))="","",INDEX([1]BH!$C$2:$C$17,MATCH($D230,[1]BH!$D$2:$D$17,0))),"")</f>
        <v>46071</v>
      </c>
      <c r="D230" s="7">
        <v>547309790</v>
      </c>
      <c r="E230" s="8" t="s">
        <v>762</v>
      </c>
      <c r="F230" s="9">
        <v>46043</v>
      </c>
      <c r="G230" s="8" t="s">
        <v>690</v>
      </c>
      <c r="H230" s="8" t="s">
        <v>171</v>
      </c>
      <c r="I230" s="8" t="s">
        <v>690</v>
      </c>
      <c r="J230" s="8" t="s">
        <v>160</v>
      </c>
      <c r="K230" s="6" t="str">
        <f>IFERROR(IF(INDEX([1]BH!$K$2:$K$17,MATCH($D230,[1]BH!$D$2:$D$17,0))="","",INDEX([1]BH!$K$2:$K$17,MATCH($D230,[1]BH!$D$2:$D$17,0))),"")</f>
        <v/>
      </c>
      <c r="L230" s="11">
        <f ca="1">IF($O230="","",$O230-TODAY())</f>
        <v>104</v>
      </c>
      <c r="M230" s="11">
        <f ca="1">IF(AND(TRIM($A230)="Finalized",$K230&lt;&gt;""),"",IF($C230="","",$C230+365-TODAY()))</f>
        <v>132</v>
      </c>
      <c r="N230" s="11">
        <f ca="1">IF(AND(TRIM($A230)="Finalized",$K230&lt;&gt;""),"",IF($C230="","",$C230+120-TODAY()))</f>
        <v>-113</v>
      </c>
      <c r="O230" s="9">
        <f>IF(AND(TRIM($A230)="Finalized",$K230&lt;&gt;""),"",DATE(2027,1,21))</f>
        <v>46408</v>
      </c>
      <c r="P230" s="8" t="s">
        <v>73</v>
      </c>
      <c r="Q230" s="8" t="s">
        <v>739</v>
      </c>
      <c r="R230" s="8" t="s">
        <v>73</v>
      </c>
      <c r="S230" s="8" t="s">
        <v>74</v>
      </c>
      <c r="T230" s="8" t="s">
        <v>208</v>
      </c>
      <c r="U230" s="8" t="s">
        <v>74</v>
      </c>
      <c r="V230" s="8" t="s">
        <v>75</v>
      </c>
      <c r="W230" s="8" t="s">
        <v>118</v>
      </c>
      <c r="X230" s="8"/>
      <c r="Y230" s="8"/>
      <c r="Z230" s="8"/>
      <c r="AA230" s="8" t="s">
        <v>77</v>
      </c>
      <c r="AB230" s="10">
        <v>976.64</v>
      </c>
      <c r="AC230" s="10">
        <v>846.88</v>
      </c>
      <c r="AD230" s="10">
        <v>101.35</v>
      </c>
      <c r="AE230" s="9">
        <v>46071</v>
      </c>
      <c r="AF230" s="10">
        <v>28.41</v>
      </c>
      <c r="AG230" s="7">
        <v>199</v>
      </c>
      <c r="AH230" s="8" t="s">
        <v>763</v>
      </c>
      <c r="AI230" s="8"/>
      <c r="AJ230" s="8"/>
      <c r="AK230" s="8"/>
      <c r="AL230" s="7">
        <v>550866344</v>
      </c>
      <c r="AM230" s="8" t="s">
        <v>131</v>
      </c>
      <c r="AN230" s="8" t="s">
        <v>132</v>
      </c>
      <c r="AO230" s="9">
        <v>46056</v>
      </c>
    </row>
    <row r="231" spans="1:41" x14ac:dyDescent="0.25">
      <c r="A231" s="5" t="str">
        <f>IFERROR(IF(INDEX([1]BH!$A$2:$A$17,MATCH($D231,[1]BH!$D$2:$D$17,0))="","",INDEX([1]BH!$A$2:$A$17,MATCH($D231,[1]BH!$D$2:$D$17,0))),"")</f>
        <v>Denied</v>
      </c>
      <c r="B231" s="5" t="str">
        <f>IFERROR(IF(INDEX([1]BH!$B$2:$B$17,MATCH($D231,[1]BH!$D$2:$D$17,0))="","",INDEX([1]BH!$B$2:$B$17,MATCH($D231,[1]BH!$D$2:$D$17,0))),"")</f>
        <v/>
      </c>
      <c r="C231" s="6">
        <f>IFERROR(IF(INDEX([1]BH!$C$2:$C$17,MATCH($D231,[1]BH!$D$2:$D$17,0))="","",INDEX([1]BH!$C$2:$C$17,MATCH($D231,[1]BH!$D$2:$D$17,0))),"")</f>
        <v>46129</v>
      </c>
      <c r="D231" s="7">
        <v>555619522</v>
      </c>
      <c r="E231" s="8" t="s">
        <v>764</v>
      </c>
      <c r="F231" s="9">
        <v>46044</v>
      </c>
      <c r="G231" s="8" t="s">
        <v>171</v>
      </c>
      <c r="H231" s="8" t="s">
        <v>171</v>
      </c>
      <c r="I231" s="8" t="s">
        <v>185</v>
      </c>
      <c r="J231" s="8" t="s">
        <v>124</v>
      </c>
      <c r="K231" s="6" t="str">
        <f>IFERROR(IF(INDEX([1]BH!$K$2:$K$17,MATCH($D231,[1]BH!$D$2:$D$17,0))="","",INDEX([1]BH!$K$2:$K$17,MATCH($D231,[1]BH!$D$2:$D$17,0))),"")</f>
        <v/>
      </c>
      <c r="L231" s="11">
        <f ca="1">IF($O231="","",$O231-TODAY())</f>
        <v>105</v>
      </c>
      <c r="M231" s="11">
        <f ca="1">IF(AND(TRIM($A231)="Finalized",$K231&lt;&gt;""),"",IF($C231="","",$C231+365-TODAY()))</f>
        <v>190</v>
      </c>
      <c r="N231" s="11">
        <f ca="1">IF(AND(TRIM($A231)="Finalized",$K231&lt;&gt;""),"",IF($C231="","",$C231+120-TODAY()))</f>
        <v>-55</v>
      </c>
      <c r="O231" s="9">
        <f>IF(AND(TRIM($A231)="Finalized",$K231&lt;&gt;""),"",DATE(2027,1,22))</f>
        <v>46409</v>
      </c>
      <c r="P231" s="8" t="s">
        <v>73</v>
      </c>
      <c r="Q231" s="8" t="s">
        <v>739</v>
      </c>
      <c r="R231" s="8" t="s">
        <v>73</v>
      </c>
      <c r="S231" s="8" t="s">
        <v>74</v>
      </c>
      <c r="T231" s="8" t="s">
        <v>208</v>
      </c>
      <c r="U231" s="8" t="s">
        <v>74</v>
      </c>
      <c r="V231" s="8" t="s">
        <v>75</v>
      </c>
      <c r="W231" s="8" t="s">
        <v>118</v>
      </c>
      <c r="X231" s="8"/>
      <c r="Y231" s="8"/>
      <c r="Z231" s="8"/>
      <c r="AA231" s="8" t="s">
        <v>77</v>
      </c>
      <c r="AB231" s="10">
        <v>1426.25</v>
      </c>
      <c r="AC231" s="10">
        <v>0</v>
      </c>
      <c r="AD231" s="10">
        <v>0</v>
      </c>
      <c r="AE231" s="9">
        <v>46129</v>
      </c>
      <c r="AF231" s="10">
        <v>1426.25</v>
      </c>
      <c r="AG231" s="7">
        <v>198</v>
      </c>
      <c r="AH231" s="8" t="s">
        <v>119</v>
      </c>
      <c r="AI231" s="8"/>
      <c r="AJ231" s="8"/>
      <c r="AK231" s="8"/>
      <c r="AL231" s="7"/>
      <c r="AM231" s="8" t="s">
        <v>120</v>
      </c>
      <c r="AN231" s="8" t="s">
        <v>132</v>
      </c>
      <c r="AO231" s="9">
        <v>46056</v>
      </c>
    </row>
    <row r="232" spans="1:41" x14ac:dyDescent="0.25">
      <c r="A232" s="5" t="str">
        <f>IFERROR(IF(INDEX([1]GAE!$A$2:$A$12,MATCH($D232,[1]GAE!$D$2:$D$12,0))="","",INDEX([1]GAE!$A$2:$A$12,MATCH($D232,[1]GAE!$D$2:$D$12,0))),"")</f>
        <v>Finalized</v>
      </c>
      <c r="B232" s="5" t="str">
        <f>IFERROR(IF(INDEX([1]GAE!$B$2:$B$12,MATCH($D232,[1]GAE!$D$2:$D$12,0))="","",INDEX([1]GAE!$B$2:$B$12,MATCH($D232,[1]GAE!$D$2:$D$12,0))),"")</f>
        <v/>
      </c>
      <c r="C232" s="6">
        <f>IFERROR(IF(INDEX([1]GAE!$C$2:$C$12,MATCH($D232,[1]GAE!$D$2:$D$12,0))="","",INDEX([1]GAE!$C$2:$C$12,MATCH($D232,[1]GAE!$D$2:$D$12,0))),"")</f>
        <v>46120</v>
      </c>
      <c r="D232" s="7">
        <v>548917446</v>
      </c>
      <c r="E232" s="8" t="s">
        <v>765</v>
      </c>
      <c r="F232" s="9">
        <v>46048</v>
      </c>
      <c r="G232" s="8" t="s">
        <v>766</v>
      </c>
      <c r="H232" s="8" t="s">
        <v>171</v>
      </c>
      <c r="I232" s="8" t="s">
        <v>766</v>
      </c>
      <c r="J232" s="8" t="s">
        <v>767</v>
      </c>
      <c r="K232" s="6" t="str">
        <f>IFERROR(IF(INDEX([1]GAE!$K$2:$K$12,MATCH($D232,[1]GAE!$D$2:$D$12,0))="","",INDEX([1]GAE!$K$2:$K$12,MATCH($D232,[1]GAE!$D$2:$D$12,0))),"")</f>
        <v/>
      </c>
      <c r="L232" s="11">
        <f ca="1">IF($O232="","",$O232-TODAY())</f>
        <v>109</v>
      </c>
      <c r="M232" s="11">
        <f ca="1">IF(AND(TRIM($A232)="Finalized",$K232&lt;&gt;""),"",IF($C232="","",$C232+365-TODAY()))</f>
        <v>181</v>
      </c>
      <c r="N232" s="11">
        <f ca="1">IF(AND(TRIM($A232)="Finalized",$K232&lt;&gt;""),"",IF($C232="","",$C232+120-TODAY()))</f>
        <v>-64</v>
      </c>
      <c r="O232" s="9">
        <f>IF(AND(TRIM($A232)="Finalized",$K232&lt;&gt;""),"",DATE(2027,1,26))</f>
        <v>46413</v>
      </c>
      <c r="P232" s="8" t="s">
        <v>73</v>
      </c>
      <c r="Q232" s="8" t="s">
        <v>739</v>
      </c>
      <c r="R232" s="8" t="s">
        <v>73</v>
      </c>
      <c r="S232" s="8" t="s">
        <v>74</v>
      </c>
      <c r="T232" s="8" t="s">
        <v>208</v>
      </c>
      <c r="U232" s="8" t="s">
        <v>74</v>
      </c>
      <c r="V232" s="8" t="s">
        <v>75</v>
      </c>
      <c r="W232" s="8" t="s">
        <v>101</v>
      </c>
      <c r="X232" s="8" t="s">
        <v>359</v>
      </c>
      <c r="Y232" s="8" t="s">
        <v>258</v>
      </c>
      <c r="Z232" s="8" t="s">
        <v>103</v>
      </c>
      <c r="AA232" s="8" t="s">
        <v>604</v>
      </c>
      <c r="AB232" s="10">
        <v>21394.87</v>
      </c>
      <c r="AC232" s="10">
        <v>20631.18</v>
      </c>
      <c r="AD232" s="10">
        <v>506.12</v>
      </c>
      <c r="AE232" s="9">
        <v>46120</v>
      </c>
      <c r="AF232" s="10">
        <v>257.57</v>
      </c>
      <c r="AG232" s="7">
        <v>194</v>
      </c>
      <c r="AH232" s="8" t="s">
        <v>105</v>
      </c>
      <c r="AI232" s="8" t="s">
        <v>106</v>
      </c>
      <c r="AJ232" s="8" t="s">
        <v>107</v>
      </c>
      <c r="AK232" s="8"/>
      <c r="AL232" s="7">
        <v>565292666</v>
      </c>
      <c r="AM232" s="8" t="s">
        <v>108</v>
      </c>
      <c r="AN232" s="8" t="s">
        <v>109</v>
      </c>
      <c r="AO232" s="9">
        <v>46062</v>
      </c>
    </row>
    <row r="233" spans="1:41" x14ac:dyDescent="0.25">
      <c r="A233" s="5" t="str">
        <f>IFERROR(IF(INDEX([1]GAE!$A$2:$A$12,MATCH($D233,[1]GAE!$D$2:$D$12,0))="","",INDEX([1]GAE!$A$2:$A$12,MATCH($D233,[1]GAE!$D$2:$D$12,0))),"")</f>
        <v>Denied</v>
      </c>
      <c r="B233" s="5" t="str">
        <f>IFERROR(IF(INDEX([1]GAE!$B$2:$B$12,MATCH($D233,[1]GAE!$D$2:$D$12,0))="","",INDEX([1]GAE!$B$2:$B$12,MATCH($D233,[1]GAE!$D$2:$D$12,0))),"")</f>
        <v/>
      </c>
      <c r="C233" s="6">
        <f>IFERROR(IF(INDEX([1]GAE!$C$2:$C$12,MATCH($D233,[1]GAE!$D$2:$D$12,0))="","",INDEX([1]GAE!$C$2:$C$12,MATCH($D233,[1]GAE!$D$2:$D$12,0))),"")</f>
        <v>46099</v>
      </c>
      <c r="D233" s="7">
        <v>552345092</v>
      </c>
      <c r="E233" s="8" t="s">
        <v>768</v>
      </c>
      <c r="F233" s="9">
        <v>46048</v>
      </c>
      <c r="G233" s="8" t="s">
        <v>750</v>
      </c>
      <c r="H233" s="8" t="s">
        <v>171</v>
      </c>
      <c r="I233" s="8" t="s">
        <v>750</v>
      </c>
      <c r="J233" s="8" t="s">
        <v>769</v>
      </c>
      <c r="K233" s="6" t="str">
        <f>IFERROR(IF(INDEX([1]GAE!$K$2:$K$12,MATCH($D233,[1]GAE!$D$2:$D$12,0))="","",INDEX([1]GAE!$K$2:$K$12,MATCH($D233,[1]GAE!$D$2:$D$12,0))),"")</f>
        <v/>
      </c>
      <c r="L233" s="11">
        <f ca="1">IF($O233="","",$O233-TODAY())</f>
        <v>109</v>
      </c>
      <c r="M233" s="11">
        <f ca="1">IF(AND(TRIM($A233)="Finalized",$K233&lt;&gt;""),"",IF($C233="","",$C233+365-TODAY()))</f>
        <v>160</v>
      </c>
      <c r="N233" s="11">
        <f ca="1">IF(AND(TRIM($A233)="Finalized",$K233&lt;&gt;""),"",IF($C233="","",$C233+120-TODAY()))</f>
        <v>-85</v>
      </c>
      <c r="O233" s="9">
        <f>IF(AND(TRIM($A233)="Finalized",$K233&lt;&gt;""),"",DATE(2027,1,26))</f>
        <v>46413</v>
      </c>
      <c r="P233" s="8" t="s">
        <v>73</v>
      </c>
      <c r="Q233" s="8" t="s">
        <v>739</v>
      </c>
      <c r="R233" s="8" t="s">
        <v>73</v>
      </c>
      <c r="S233" s="8" t="s">
        <v>74</v>
      </c>
      <c r="T233" s="8" t="s">
        <v>208</v>
      </c>
      <c r="U233" s="8" t="s">
        <v>74</v>
      </c>
      <c r="V233" s="8" t="s">
        <v>75</v>
      </c>
      <c r="W233" s="8" t="s">
        <v>101</v>
      </c>
      <c r="X233" s="8" t="s">
        <v>770</v>
      </c>
      <c r="Y233" s="8"/>
      <c r="Z233" s="8"/>
      <c r="AA233" s="8" t="s">
        <v>77</v>
      </c>
      <c r="AB233" s="10">
        <v>52944.639999999999</v>
      </c>
      <c r="AC233" s="10">
        <v>3692.6</v>
      </c>
      <c r="AD233" s="10">
        <v>89.13</v>
      </c>
      <c r="AE233" s="9">
        <v>46099</v>
      </c>
      <c r="AF233" s="10">
        <v>49162.91</v>
      </c>
      <c r="AG233" s="7">
        <v>194</v>
      </c>
      <c r="AH233" s="8" t="s">
        <v>105</v>
      </c>
      <c r="AI233" s="8" t="s">
        <v>106</v>
      </c>
      <c r="AJ233" s="8" t="s">
        <v>107</v>
      </c>
      <c r="AK233" s="8" t="s">
        <v>771</v>
      </c>
      <c r="AL233" s="7">
        <v>551630154</v>
      </c>
      <c r="AM233" s="8" t="s">
        <v>108</v>
      </c>
      <c r="AN233" s="8" t="s">
        <v>109</v>
      </c>
      <c r="AO233" s="9">
        <v>46063</v>
      </c>
    </row>
    <row r="234" spans="1:41" x14ac:dyDescent="0.25">
      <c r="A234" s="5" t="str">
        <f>IFERROR(IF(INDEX([1]BH!$A$2:$A$17,MATCH($D234,[1]BH!$D$2:$D$17,0))="","",INDEX([1]BH!$A$2:$A$17,MATCH($D234,[1]BH!$D$2:$D$17,0))),"")</f>
        <v>Pending</v>
      </c>
      <c r="B234" s="5" t="str">
        <f>IFERROR(IF(INDEX([1]BH!$B$2:$B$17,MATCH($D234,[1]BH!$D$2:$D$17,0))="","",INDEX([1]BH!$B$2:$B$17,MATCH($D234,[1]BH!$D$2:$D$17,0))),"")</f>
        <v>Secondary</v>
      </c>
      <c r="C234" s="6">
        <f>IFERROR(IF(INDEX([1]BH!$C$2:$C$17,MATCH($D234,[1]BH!$D$2:$D$17,0))="","",INDEX([1]BH!$C$2:$C$17,MATCH($D234,[1]BH!$D$2:$D$17,0))),"")</f>
        <v>46072</v>
      </c>
      <c r="D234" s="7">
        <v>547756234</v>
      </c>
      <c r="E234" s="8" t="s">
        <v>772</v>
      </c>
      <c r="F234" s="9">
        <v>46050</v>
      </c>
      <c r="G234" s="8" t="s">
        <v>773</v>
      </c>
      <c r="H234" s="8" t="s">
        <v>171</v>
      </c>
      <c r="I234" s="8" t="s">
        <v>773</v>
      </c>
      <c r="J234" s="8" t="s">
        <v>160</v>
      </c>
      <c r="K234" s="6" t="str">
        <f>IFERROR(IF(INDEX([1]BH!$K$2:$K$17,MATCH($D234,[1]BH!$D$2:$D$17,0))="","",INDEX([1]BH!$K$2:$K$17,MATCH($D234,[1]BH!$D$2:$D$17,0))),"")</f>
        <v/>
      </c>
      <c r="L234" s="11">
        <f ca="1">IF($O234="","",$O234-TODAY())</f>
        <v>111</v>
      </c>
      <c r="M234" s="11">
        <f ca="1">IF(AND(TRIM($A234)="Finalized",$K234&lt;&gt;""),"",IF($C234="","",$C234+365-TODAY()))</f>
        <v>133</v>
      </c>
      <c r="N234" s="11">
        <f ca="1">IF(AND(TRIM($A234)="Finalized",$K234&lt;&gt;""),"",IF($C234="","",$C234+120-TODAY()))</f>
        <v>-112</v>
      </c>
      <c r="O234" s="9">
        <f>IF(AND(TRIM($A234)="Finalized",$K234&lt;&gt;""),"",DATE(2027,1,28))</f>
        <v>46415</v>
      </c>
      <c r="P234" s="8" t="s">
        <v>73</v>
      </c>
      <c r="Q234" s="8" t="s">
        <v>739</v>
      </c>
      <c r="R234" s="8" t="s">
        <v>73</v>
      </c>
      <c r="S234" s="8" t="s">
        <v>74</v>
      </c>
      <c r="T234" s="8" t="s">
        <v>208</v>
      </c>
      <c r="U234" s="8" t="s">
        <v>74</v>
      </c>
      <c r="V234" s="8" t="s">
        <v>75</v>
      </c>
      <c r="W234" s="8" t="s">
        <v>118</v>
      </c>
      <c r="X234" s="8"/>
      <c r="Y234" s="8"/>
      <c r="Z234" s="8"/>
      <c r="AA234" s="8" t="s">
        <v>77</v>
      </c>
      <c r="AB234" s="10">
        <v>976.64</v>
      </c>
      <c r="AC234" s="10">
        <v>844.25</v>
      </c>
      <c r="AD234" s="10">
        <v>103.98</v>
      </c>
      <c r="AE234" s="9">
        <v>46072</v>
      </c>
      <c r="AF234" s="10">
        <v>28.41</v>
      </c>
      <c r="AG234" s="7">
        <v>192</v>
      </c>
      <c r="AH234" s="8" t="s">
        <v>179</v>
      </c>
      <c r="AI234" s="8"/>
      <c r="AJ234" s="8"/>
      <c r="AK234" s="8"/>
      <c r="AL234" s="7">
        <v>550865889</v>
      </c>
      <c r="AM234" s="8" t="s">
        <v>165</v>
      </c>
      <c r="AN234" s="8" t="s">
        <v>121</v>
      </c>
      <c r="AO234" s="9">
        <v>46057</v>
      </c>
    </row>
    <row r="235" spans="1:41" x14ac:dyDescent="0.25">
      <c r="A235" s="5" t="str">
        <f>IFERROR(IF(INDEX([1]DME!$A$2:$A$8,MATCH($D235,[1]DME!$D$2:$D$8,0))="","",INDEX([1]DME!$A$2:$A$8,MATCH($D235,[1]DME!$D$2:$D$8,0))),"")</f>
        <v>Denied</v>
      </c>
      <c r="B235" s="5" t="str">
        <f>IFERROR(IF(INDEX([1]DME!$B$2:$B$8,MATCH($D235,[1]DME!$D$2:$D$8,0))="","",INDEX([1]DME!$B$2:$B$8,MATCH($D235,[1]DME!$D$2:$D$8,0))),"")</f>
        <v>Reprocess claim - CCN 26084823876002 Pending</v>
      </c>
      <c r="C235" s="6">
        <f>IFERROR(IF(INDEX([1]DME!$C$2:$C$8,MATCH($D235,[1]DME!$D$2:$D$8,0))="","",INDEX([1]DME!$C$2:$C$8,MATCH($D235,[1]DME!$D$2:$D$8,0))),"")</f>
        <v>46196</v>
      </c>
      <c r="D235" s="7">
        <v>561884409</v>
      </c>
      <c r="E235" s="8" t="s">
        <v>774</v>
      </c>
      <c r="F235" s="9">
        <v>46051</v>
      </c>
      <c r="G235" s="8" t="s">
        <v>437</v>
      </c>
      <c r="H235" s="8" t="s">
        <v>437</v>
      </c>
      <c r="I235" s="8" t="s">
        <v>766</v>
      </c>
      <c r="J235" s="8" t="s">
        <v>243</v>
      </c>
      <c r="K235" s="6">
        <f>IFERROR(IF(INDEX([1]DME!$K$2:$K$8,MATCH($D235,[1]DME!$D$2:$D$8,0))="","",INDEX([1]DME!$K$2:$K$8,MATCH($D235,[1]DME!$D$2:$D$8,0))),"")</f>
        <v>46300</v>
      </c>
      <c r="L235" s="11">
        <f ca="1">IF($O235="","",$O235-TODAY())</f>
        <v>112</v>
      </c>
      <c r="M235" s="11">
        <f ca="1">IF(AND(TRIM($A235)="Finalized",$K235&lt;&gt;""),"",IF($C235="","",$C235+365-TODAY()))</f>
        <v>257</v>
      </c>
      <c r="N235" s="11">
        <f ca="1">IF(AND(TRIM($A235)="Finalized",$K235&lt;&gt;""),"",IF($C235="","",$C235+120-TODAY()))</f>
        <v>12</v>
      </c>
      <c r="O235" s="9">
        <f>IF(AND(TRIM($A235)="Finalized",$K235&lt;&gt;""),"",DATE(2027,1,29))</f>
        <v>46416</v>
      </c>
      <c r="P235" s="8" t="s">
        <v>73</v>
      </c>
      <c r="Q235" s="8" t="s">
        <v>739</v>
      </c>
      <c r="R235" s="8" t="s">
        <v>73</v>
      </c>
      <c r="S235" s="8" t="s">
        <v>74</v>
      </c>
      <c r="T235" s="8" t="s">
        <v>208</v>
      </c>
      <c r="U235" s="8" t="s">
        <v>74</v>
      </c>
      <c r="V235" s="8" t="s">
        <v>75</v>
      </c>
      <c r="W235" s="8" t="s">
        <v>89</v>
      </c>
      <c r="X235" s="8" t="s">
        <v>244</v>
      </c>
      <c r="Y235" s="8"/>
      <c r="Z235" s="8"/>
      <c r="AA235" s="8" t="s">
        <v>91</v>
      </c>
      <c r="AB235" s="10">
        <v>5857</v>
      </c>
      <c r="AC235" s="10">
        <v>0</v>
      </c>
      <c r="AD235" s="10">
        <v>0</v>
      </c>
      <c r="AE235" s="9">
        <v>46196</v>
      </c>
      <c r="AF235" s="10">
        <v>5857</v>
      </c>
      <c r="AG235" s="7">
        <v>191</v>
      </c>
      <c r="AH235" s="8" t="s">
        <v>92</v>
      </c>
      <c r="AI235" s="8" t="s">
        <v>145</v>
      </c>
      <c r="AJ235" s="8" t="s">
        <v>318</v>
      </c>
      <c r="AK235" s="8"/>
      <c r="AL235" s="7"/>
      <c r="AM235" s="8" t="s">
        <v>742</v>
      </c>
      <c r="AN235" s="8" t="s">
        <v>743</v>
      </c>
      <c r="AO235" s="9">
        <v>46183</v>
      </c>
    </row>
    <row r="236" spans="1:41" x14ac:dyDescent="0.25">
      <c r="A236" s="5" t="str">
        <f>IFERROR(IF(INDEX([2]GAE!$A$2:$A$6,MATCH($D236,[2]GAE!$D$2:$D$6,0))="","",INDEX([2]GAE!$A$2:$A$6,MATCH($D236,[2]GAE!$D$2:$D$6,0))),"")</f>
        <v>Denied</v>
      </c>
      <c r="B236" s="5" t="str">
        <f>IFERROR(IF(INDEX([2]GAE!$B$2:$B$6,MATCH($D236,[2]GAE!$D$2:$D$6,0))="","",INDEX([2]GAE!$B$2:$B$6,MATCH($D236,[2]GAE!$D$2:$D$6,0))),"")</f>
        <v>Uploaded MR - PIQ-83274799</v>
      </c>
      <c r="C236" s="6">
        <f>IFERROR(IF(INDEX([2]GAE!$C$2:$C$6,MATCH($D236,[2]GAE!$D$2:$D$6,0))="","",INDEX([2]GAE!$C$2:$C$6,MATCH($D236,[2]GAE!$D$2:$D$6,0))),"")</f>
        <v>46155</v>
      </c>
      <c r="D236" s="7">
        <v>549217692</v>
      </c>
      <c r="E236" s="8" t="s">
        <v>775</v>
      </c>
      <c r="F236" s="9">
        <v>46055</v>
      </c>
      <c r="G236" s="8" t="s">
        <v>470</v>
      </c>
      <c r="H236" s="8" t="s">
        <v>470</v>
      </c>
      <c r="I236" s="8" t="s">
        <v>723</v>
      </c>
      <c r="J236" s="8" t="s">
        <v>776</v>
      </c>
      <c r="K236" s="6">
        <f>IFERROR(IF(INDEX([2]GAE!$K$2:$K$6,MATCH($D236,[2]GAE!$D$2:$D$6,0))="","",INDEX([2]GAE!$K$2:$K$6,MATCH($D236,[2]GAE!$D$2:$D$6,0))),"")</f>
        <v>46142</v>
      </c>
      <c r="L236" s="11">
        <f ca="1">IF($O236="","",$O236-TODAY())</f>
        <v>116</v>
      </c>
      <c r="M236" s="11">
        <f ca="1">IF(AND(TRIM($A236)="Finalized",$K236&lt;&gt;""),"",IF($C236="","",$C236+180-TODAY()))</f>
        <v>31</v>
      </c>
      <c r="N236" s="11">
        <f ca="1">IF(AND(TRIM($A236)="Finalized",$K236&lt;&gt;""),"",IF($C236="","",$C236+365-TODAY()))</f>
        <v>216</v>
      </c>
      <c r="O236" s="9">
        <f>IF(AND(TRIM($A236)="Finalized",$K236&lt;&gt;""),"",DATE(2027,2,2))</f>
        <v>46420</v>
      </c>
      <c r="P236" s="8" t="s">
        <v>73</v>
      </c>
      <c r="Q236" s="8" t="s">
        <v>777</v>
      </c>
      <c r="R236" s="8" t="s">
        <v>117</v>
      </c>
      <c r="S236" s="8" t="s">
        <v>74</v>
      </c>
      <c r="T236" s="8" t="s">
        <v>73</v>
      </c>
      <c r="U236" s="8" t="s">
        <v>74</v>
      </c>
      <c r="V236" s="8" t="s">
        <v>204</v>
      </c>
      <c r="W236" s="8" t="s">
        <v>101</v>
      </c>
      <c r="X236" s="8" t="s">
        <v>257</v>
      </c>
      <c r="Y236" s="8" t="s">
        <v>652</v>
      </c>
      <c r="Z236" s="8" t="s">
        <v>153</v>
      </c>
      <c r="AA236" s="8" t="s">
        <v>229</v>
      </c>
      <c r="AB236" s="10">
        <v>14982.38</v>
      </c>
      <c r="AC236" s="10">
        <v>0</v>
      </c>
      <c r="AD236" s="10">
        <v>0</v>
      </c>
      <c r="AE236" s="9">
        <v>46155</v>
      </c>
      <c r="AF236" s="10">
        <v>14982.38</v>
      </c>
      <c r="AG236" s="7">
        <v>187</v>
      </c>
      <c r="AH236" s="8" t="s">
        <v>329</v>
      </c>
      <c r="AI236" s="8" t="s">
        <v>106</v>
      </c>
      <c r="AJ236" s="8" t="s">
        <v>361</v>
      </c>
      <c r="AK236" s="8"/>
      <c r="AL236" s="7"/>
      <c r="AM236" s="8" t="s">
        <v>108</v>
      </c>
      <c r="AN236" s="8" t="s">
        <v>109</v>
      </c>
      <c r="AO236" s="9">
        <v>46064</v>
      </c>
    </row>
    <row r="237" spans="1:41" x14ac:dyDescent="0.25">
      <c r="A237" s="5" t="str">
        <f>IFERROR(IF(INDEX([2]GAE!$A$2:$A$6,MATCH($D237,[2]GAE!$D$2:$D$6,0))="","",INDEX([2]GAE!$A$2:$A$6,MATCH($D237,[2]GAE!$D$2:$D$6,0))),"")</f>
        <v>Received</v>
      </c>
      <c r="B237" s="5" t="str">
        <f>IFERROR(IF(INDEX([2]GAE!$B$2:$B$6,MATCH($D237,[2]GAE!$D$2:$D$6,0))="","",INDEX([2]GAE!$B$2:$B$6,MATCH($D237,[2]GAE!$D$2:$D$6,0))),"")</f>
        <v/>
      </c>
      <c r="C237" s="6">
        <f>IFERROR(IF(INDEX([2]GAE!$C$2:$C$6,MATCH($D237,[2]GAE!$D$2:$D$6,0))="","",INDEX([2]GAE!$C$2:$C$6,MATCH($D237,[2]GAE!$D$2:$D$6,0))),"")</f>
        <v>46135</v>
      </c>
      <c r="D237" s="7">
        <v>549217008</v>
      </c>
      <c r="E237" s="8" t="s">
        <v>759</v>
      </c>
      <c r="F237" s="9">
        <v>46055</v>
      </c>
      <c r="G237" s="8" t="s">
        <v>760</v>
      </c>
      <c r="H237" s="8" t="s">
        <v>171</v>
      </c>
      <c r="I237" s="8" t="s">
        <v>760</v>
      </c>
      <c r="J237" s="8" t="s">
        <v>778</v>
      </c>
      <c r="K237" s="6" t="str">
        <f>IFERROR(IF(INDEX([2]GAE!$K$2:$K$6,MATCH($D237,[2]GAE!$D$2:$D$6,0))="","",INDEX([2]GAE!$K$2:$K$6,MATCH($D237,[2]GAE!$D$2:$D$6,0))),"")</f>
        <v/>
      </c>
      <c r="L237" s="11">
        <f ca="1">IF($O237="","",$O237-TODAY())</f>
        <v>116</v>
      </c>
      <c r="M237" s="11">
        <f ca="1">IF(AND(TRIM($A237)="Finalized",$K237&lt;&gt;""),"",IF($C237="","",$C237+365-TODAY()))</f>
        <v>196</v>
      </c>
      <c r="N237" s="11">
        <f ca="1">IF(AND(TRIM($A237)="Finalized",$K237&lt;&gt;""),"",IF($C237="","",$C237+120-TODAY()))</f>
        <v>-49</v>
      </c>
      <c r="O237" s="9">
        <f>IF(AND(TRIM($A237)="Finalized",$K237&lt;&gt;""),"",DATE(2027,2,2))</f>
        <v>46420</v>
      </c>
      <c r="P237" s="8" t="s">
        <v>73</v>
      </c>
      <c r="Q237" s="8" t="s">
        <v>739</v>
      </c>
      <c r="R237" s="8" t="s">
        <v>73</v>
      </c>
      <c r="S237" s="8" t="s">
        <v>74</v>
      </c>
      <c r="T237" s="8" t="s">
        <v>208</v>
      </c>
      <c r="U237" s="8" t="s">
        <v>74</v>
      </c>
      <c r="V237" s="8" t="s">
        <v>204</v>
      </c>
      <c r="W237" s="8" t="s">
        <v>101</v>
      </c>
      <c r="X237" s="8" t="s">
        <v>257</v>
      </c>
      <c r="Y237" s="8" t="s">
        <v>360</v>
      </c>
      <c r="Z237" s="8" t="s">
        <v>153</v>
      </c>
      <c r="AA237" s="8" t="s">
        <v>210</v>
      </c>
      <c r="AB237" s="10">
        <v>67599.91</v>
      </c>
      <c r="AC237" s="10">
        <v>66731.289999999994</v>
      </c>
      <c r="AD237" s="10">
        <v>867.75</v>
      </c>
      <c r="AE237" s="9">
        <v>46135</v>
      </c>
      <c r="AF237" s="10">
        <v>0.87</v>
      </c>
      <c r="AG237" s="7">
        <v>187</v>
      </c>
      <c r="AH237" s="8" t="s">
        <v>329</v>
      </c>
      <c r="AI237" s="8" t="s">
        <v>106</v>
      </c>
      <c r="AJ237" s="8" t="s">
        <v>361</v>
      </c>
      <c r="AK237" s="8"/>
      <c r="AL237" s="7">
        <v>551630132</v>
      </c>
      <c r="AM237" s="8" t="s">
        <v>108</v>
      </c>
      <c r="AN237" s="8" t="s">
        <v>109</v>
      </c>
      <c r="AO237" s="9">
        <v>46064</v>
      </c>
    </row>
    <row r="238" spans="1:41" x14ac:dyDescent="0.25">
      <c r="A238" s="5" t="str">
        <f>IFERROR(IF(INDEX([2]US!$A$2:$A$6,MATCH($D238,[2]US!$D$2:$D$6,0))="","",INDEX([2]US!$A$2:$A$6,MATCH($D238,[2]US!$D$2:$D$6,0))),"")</f>
        <v>PAID</v>
      </c>
      <c r="B238" s="5" t="str">
        <f>IFERROR(IF(INDEX([2]US!$B$2:$B$6,MATCH($D238,[2]US!$D$2:$D$6,0))="","",INDEX([2]US!$B$2:$B$6,MATCH($D238,[2]US!$D$2:$D$6,0))),"")</f>
        <v>secondary - pending posting - Primary paid - Edited referring provider, and resubmitted</v>
      </c>
      <c r="C238" s="6">
        <f>IFERROR(IF(INDEX([2]US!$C$2:$C$6,MATCH($D238,[2]US!$D$2:$D$6,0))="","",INDEX([2]US!$C$2:$C$6,MATCH($D238,[2]US!$D$2:$D$6,0))),"")</f>
        <v>46211</v>
      </c>
      <c r="D238" s="7">
        <v>563152890</v>
      </c>
      <c r="E238" s="8" t="s">
        <v>779</v>
      </c>
      <c r="F238" s="9">
        <v>46057</v>
      </c>
      <c r="G238" s="8" t="s">
        <v>123</v>
      </c>
      <c r="H238" s="8" t="s">
        <v>171</v>
      </c>
      <c r="I238" s="8" t="s">
        <v>123</v>
      </c>
      <c r="J238" s="8" t="s">
        <v>135</v>
      </c>
      <c r="K238" s="6">
        <f>IFERROR(IF(INDEX([2]US!$K$2:$K$6,MATCH($D238,[2]US!$D$2:$D$6,0))="","",INDEX([2]US!$K$2:$K$6,MATCH($D238,[2]US!$D$2:$D$6,0))),"")</f>
        <v>46196</v>
      </c>
      <c r="L238" s="11">
        <f ca="1">IF($O238="","",$O238-TODAY())</f>
        <v>118</v>
      </c>
      <c r="M238" s="11">
        <f ca="1">IF(AND(TRIM($A238)="Finalized",$K238&lt;&gt;""),"",IF($C238="","",$C238+365-TODAY()))</f>
        <v>272</v>
      </c>
      <c r="N238" s="11">
        <f ca="1">IF(AND(TRIM($A238)="Finalized",$K238&lt;&gt;""),"",IF($C238="","",$C238+120-TODAY()))</f>
        <v>27</v>
      </c>
      <c r="O238" s="9">
        <f>IF(AND(TRIM($A238)="Finalized",$K238&lt;&gt;""),"",DATE(2027,2,4))</f>
        <v>46422</v>
      </c>
      <c r="P238" s="8" t="s">
        <v>73</v>
      </c>
      <c r="Q238" s="8" t="s">
        <v>739</v>
      </c>
      <c r="R238" s="8" t="s">
        <v>73</v>
      </c>
      <c r="S238" s="8" t="s">
        <v>74</v>
      </c>
      <c r="T238" s="8" t="s">
        <v>208</v>
      </c>
      <c r="U238" s="8" t="s">
        <v>74</v>
      </c>
      <c r="V238" s="8" t="s">
        <v>204</v>
      </c>
      <c r="W238" s="8" t="s">
        <v>129</v>
      </c>
      <c r="X238" s="8"/>
      <c r="Y238" s="8"/>
      <c r="Z238" s="8"/>
      <c r="AA238" s="8" t="s">
        <v>77</v>
      </c>
      <c r="AB238" s="10">
        <v>1294.23</v>
      </c>
      <c r="AC238" s="10">
        <v>1127.69</v>
      </c>
      <c r="AD238" s="10">
        <v>130.80000000000001</v>
      </c>
      <c r="AE238" s="9">
        <v>46211</v>
      </c>
      <c r="AF238" s="10">
        <v>35.74</v>
      </c>
      <c r="AG238" s="7">
        <v>185</v>
      </c>
      <c r="AH238" s="8" t="s">
        <v>137</v>
      </c>
      <c r="AI238" s="8" t="s">
        <v>487</v>
      </c>
      <c r="AJ238" s="8" t="s">
        <v>579</v>
      </c>
      <c r="AK238" s="8" t="s">
        <v>780</v>
      </c>
      <c r="AL238" s="7">
        <v>566075115</v>
      </c>
      <c r="AM238" s="8" t="s">
        <v>165</v>
      </c>
      <c r="AN238" s="8" t="s">
        <v>95</v>
      </c>
      <c r="AO238" s="9">
        <v>46072</v>
      </c>
    </row>
    <row r="239" spans="1:41" x14ac:dyDescent="0.25">
      <c r="A239" s="5" t="str">
        <f>IFERROR(IF(INDEX([2]GAE!$A$2:$A$6,MATCH($D239,[2]GAE!$D$2:$D$6,0))="","",INDEX([2]GAE!$A$2:$A$6,MATCH($D239,[2]GAE!$D$2:$D$6,0))),"")</f>
        <v>Denied</v>
      </c>
      <c r="B239" s="5" t="str">
        <f>IFERROR(IF(INDEX([2]GAE!$B$2:$B$6,MATCH($D239,[2]GAE!$D$2:$D$6,0))="","",INDEX([2]GAE!$B$2:$B$6,MATCH($D239,[2]GAE!$D$2:$D$6,0))),"")</f>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
      <c r="C239" s="6">
        <f>IFERROR(IF(INDEX([2]GAE!$C$2:$C$6,MATCH($D239,[2]GAE!$D$2:$D$6,0))="","",INDEX([2]GAE!$C$2:$C$6,MATCH($D239,[2]GAE!$D$2:$D$6,0))),"")</f>
        <v>46126</v>
      </c>
      <c r="D239" s="7">
        <v>549219539</v>
      </c>
      <c r="E239" s="8" t="s">
        <v>781</v>
      </c>
      <c r="F239" s="9">
        <v>46062</v>
      </c>
      <c r="G239" s="8" t="s">
        <v>171</v>
      </c>
      <c r="H239" s="8" t="s">
        <v>171</v>
      </c>
      <c r="I239" s="8" t="s">
        <v>750</v>
      </c>
      <c r="J239" s="8" t="s">
        <v>782</v>
      </c>
      <c r="K239" s="6">
        <f>IFERROR(IF(INDEX([2]GAE!$K$2:$K$6,MATCH($D239,[2]GAE!$D$2:$D$6,0))="","",INDEX([2]GAE!$K$2:$K$6,MATCH($D239,[2]GAE!$D$2:$D$6,0))),"")</f>
        <v>46258</v>
      </c>
      <c r="L239" s="11">
        <f ca="1">IF($O239="","",$O239-TODAY())</f>
        <v>123</v>
      </c>
      <c r="M239" s="11">
        <f ca="1">IF(AND(TRIM($A239)="Finalized",$K239&lt;&gt;""),"",IF($C239="","",$C239+365-TODAY()))</f>
        <v>187</v>
      </c>
      <c r="N239" s="11">
        <f ca="1">IF(AND(TRIM($A239)="Finalized",$K239&lt;&gt;""),"",IF($C239="","",$C239+120-TODAY()))</f>
        <v>-58</v>
      </c>
      <c r="O239" s="9">
        <f>IF(AND(TRIM($A239)="Finalized",$K239&lt;&gt;""),"",DATE(2027,2,9))</f>
        <v>46427</v>
      </c>
      <c r="P239" s="8" t="s">
        <v>73</v>
      </c>
      <c r="Q239" s="8" t="s">
        <v>739</v>
      </c>
      <c r="R239" s="8" t="s">
        <v>73</v>
      </c>
      <c r="S239" s="8" t="s">
        <v>74</v>
      </c>
      <c r="T239" s="8" t="s">
        <v>208</v>
      </c>
      <c r="U239" s="8" t="s">
        <v>74</v>
      </c>
      <c r="V239" s="8" t="s">
        <v>204</v>
      </c>
      <c r="W239" s="8" t="s">
        <v>101</v>
      </c>
      <c r="X239" s="8" t="s">
        <v>783</v>
      </c>
      <c r="Y239" s="8"/>
      <c r="Z239" s="8"/>
      <c r="AA239" s="8" t="s">
        <v>784</v>
      </c>
      <c r="AB239" s="10">
        <v>813.54</v>
      </c>
      <c r="AC239" s="10">
        <v>0</v>
      </c>
      <c r="AD239" s="10">
        <v>0</v>
      </c>
      <c r="AE239" s="9">
        <v>46126</v>
      </c>
      <c r="AF239" s="10">
        <v>813.54</v>
      </c>
      <c r="AG239" s="7">
        <v>180</v>
      </c>
      <c r="AH239" s="8" t="s">
        <v>361</v>
      </c>
      <c r="AI239" s="8" t="s">
        <v>106</v>
      </c>
      <c r="AJ239" s="8"/>
      <c r="AK239" s="8"/>
      <c r="AL239" s="7"/>
      <c r="AM239" s="8" t="s">
        <v>108</v>
      </c>
      <c r="AN239" s="8" t="s">
        <v>81</v>
      </c>
      <c r="AO239" s="9">
        <v>46065</v>
      </c>
    </row>
    <row r="240" spans="1:41" x14ac:dyDescent="0.25">
      <c r="A240" s="5" t="str">
        <f>IFERROR(IF(INDEX([2]DME!$A$2:$A$12,MATCH($D240,[2]DME!$D$2:$D$12,0))="","",INDEX([2]DME!$A$2:$A$12,MATCH($D240,[2]DME!$D$2:$D$12,0))),"")</f>
        <v>Pending</v>
      </c>
      <c r="B240" s="5" t="str">
        <f>IFERROR(IF(INDEX([2]DME!$B$2:$B$12,MATCH($D240,[2]DME!$D$2:$D$12,0))="","",INDEX([2]DME!$B$2:$B$12,MATCH($D240,[2]DME!$D$2:$D$12,0))),"")</f>
        <v xml:space="preserve">secondary - waiting for posting to crossover to secondary - primary paid </v>
      </c>
      <c r="C240" s="6">
        <f>IFERROR(IF(INDEX([2]DME!$C$2:$C$12,MATCH($D240,[2]DME!$D$2:$D$12,0))="","",INDEX([2]DME!$C$2:$C$12,MATCH($D240,[2]DME!$D$2:$D$12,0))),"")</f>
        <v>46105</v>
      </c>
      <c r="D240" s="7">
        <v>553137846</v>
      </c>
      <c r="E240" s="8" t="s">
        <v>785</v>
      </c>
      <c r="F240" s="9">
        <v>46063</v>
      </c>
      <c r="G240" s="8" t="s">
        <v>83</v>
      </c>
      <c r="H240" s="8" t="s">
        <v>437</v>
      </c>
      <c r="I240" s="8" t="s">
        <v>83</v>
      </c>
      <c r="J240" s="8" t="s">
        <v>243</v>
      </c>
      <c r="K240" s="6">
        <f>IFERROR(IF(INDEX([2]DME!$K$2:$K$12,MATCH($D240,[2]DME!$D$2:$D$12,0))="","",INDEX([2]DME!$K$2:$K$12,MATCH($D240,[2]DME!$D$2:$D$12,0))),"")</f>
        <v>46300</v>
      </c>
      <c r="L240" s="11">
        <f ca="1">IF($O240="","",$O240-TODAY())</f>
        <v>124</v>
      </c>
      <c r="M240" s="11">
        <f ca="1">IF(AND(TRIM($A240)="Finalized",$K240&lt;&gt;""),"",IF($C240="","",$C240+365-TODAY()))</f>
        <v>166</v>
      </c>
      <c r="N240" s="11">
        <f ca="1">IF(AND(TRIM($A240)="Finalized",$K240&lt;&gt;""),"",IF($C240="","",$C240+120-TODAY()))</f>
        <v>-79</v>
      </c>
      <c r="O240" s="9">
        <f>IF(AND(TRIM($A240)="Finalized",$K240&lt;&gt;""),"",DATE(2027,2,10))</f>
        <v>46428</v>
      </c>
      <c r="P240" s="8" t="s">
        <v>73</v>
      </c>
      <c r="Q240" s="8" t="s">
        <v>739</v>
      </c>
      <c r="R240" s="8" t="s">
        <v>73</v>
      </c>
      <c r="S240" s="8" t="s">
        <v>74</v>
      </c>
      <c r="T240" s="8" t="s">
        <v>208</v>
      </c>
      <c r="U240" s="8" t="s">
        <v>74</v>
      </c>
      <c r="V240" s="8" t="s">
        <v>204</v>
      </c>
      <c r="W240" s="8" t="s">
        <v>89</v>
      </c>
      <c r="X240" s="8" t="s">
        <v>244</v>
      </c>
      <c r="Y240" s="8"/>
      <c r="Z240" s="8"/>
      <c r="AA240" s="8" t="s">
        <v>91</v>
      </c>
      <c r="AB240" s="10">
        <v>5916.4</v>
      </c>
      <c r="AC240" s="10">
        <v>5047.72</v>
      </c>
      <c r="AD240" s="10">
        <v>692.12</v>
      </c>
      <c r="AE240" s="9">
        <v>46105</v>
      </c>
      <c r="AF240" s="10">
        <v>176.56</v>
      </c>
      <c r="AG240" s="7">
        <v>179</v>
      </c>
      <c r="AH240" s="8" t="s">
        <v>92</v>
      </c>
      <c r="AI240" s="8"/>
      <c r="AJ240" s="8"/>
      <c r="AK240" s="8"/>
      <c r="AL240" s="7">
        <v>564731184</v>
      </c>
      <c r="AM240" s="8" t="s">
        <v>742</v>
      </c>
      <c r="AN240" s="8" t="s">
        <v>743</v>
      </c>
      <c r="AO240" s="9">
        <v>46099</v>
      </c>
    </row>
    <row r="241" spans="1:41" x14ac:dyDescent="0.25">
      <c r="A241" s="5" t="str">
        <f>IFERROR(IF(INDEX([2]US!$A$2:$A$6,MATCH($D241,[2]US!$D$2:$D$6,0))="","",INDEX([2]US!$A$2:$A$6,MATCH($D241,[2]US!$D$2:$D$6,0))),"")</f>
        <v>PAID</v>
      </c>
      <c r="B241" s="5" t="str">
        <f>IFERROR(IF(INDEX([2]US!$B$2:$B$6,MATCH($D241,[2]US!$D$2:$D$6,0))="","",INDEX([2]US!$B$2:$B$6,MATCH($D241,[2]US!$D$2:$D$6,0))),"")</f>
        <v>secondary - pending posting - Primary paid - Edited referring provider, and resubmitted</v>
      </c>
      <c r="C241" s="6">
        <f>IFERROR(IF(INDEX([2]US!$C$2:$C$6,MATCH($D241,[2]US!$D$2:$D$6,0))="","",INDEX([2]US!$C$2:$C$6,MATCH($D241,[2]US!$D$2:$D$6,0))),"")</f>
        <v>46211</v>
      </c>
      <c r="D241" s="7">
        <v>563153622</v>
      </c>
      <c r="E241" s="8" t="s">
        <v>787</v>
      </c>
      <c r="F241" s="9">
        <v>46065</v>
      </c>
      <c r="G241" s="8" t="s">
        <v>750</v>
      </c>
      <c r="H241" s="8" t="s">
        <v>171</v>
      </c>
      <c r="I241" s="8" t="s">
        <v>750</v>
      </c>
      <c r="J241" s="8" t="s">
        <v>352</v>
      </c>
      <c r="K241" s="6">
        <f>IFERROR(IF(INDEX([2]US!$K$2:$K$6,MATCH($D241,[2]US!$D$2:$D$6,0))="","",INDEX([2]US!$K$2:$K$6,MATCH($D241,[2]US!$D$2:$D$6,0))),"")</f>
        <v>46196</v>
      </c>
      <c r="L241" s="11">
        <f ca="1">IF($O241="","",$O241-TODAY())</f>
        <v>126</v>
      </c>
      <c r="M241" s="11">
        <f ca="1">IF(AND(TRIM($A241)="Finalized",$K241&lt;&gt;""),"",IF($C241="","",$C241+365-TODAY()))</f>
        <v>272</v>
      </c>
      <c r="N241" s="11">
        <f ca="1">IF(AND(TRIM($A241)="Finalized",$K241&lt;&gt;""),"",IF($C241="","",$C241+120-TODAY()))</f>
        <v>27</v>
      </c>
      <c r="O241" s="9">
        <f>IF(AND(TRIM($A241)="Finalized",$K241&lt;&gt;""),"",DATE(2027,2,12))</f>
        <v>46430</v>
      </c>
      <c r="P241" s="8" t="s">
        <v>73</v>
      </c>
      <c r="Q241" s="8" t="s">
        <v>739</v>
      </c>
      <c r="R241" s="8" t="s">
        <v>73</v>
      </c>
      <c r="S241" s="8" t="s">
        <v>74</v>
      </c>
      <c r="T241" s="8" t="s">
        <v>208</v>
      </c>
      <c r="U241" s="8" t="s">
        <v>74</v>
      </c>
      <c r="V241" s="8" t="s">
        <v>204</v>
      </c>
      <c r="W241" s="8" t="s">
        <v>129</v>
      </c>
      <c r="X241" s="8"/>
      <c r="Y241" s="8"/>
      <c r="Z241" s="8"/>
      <c r="AA241" s="8" t="s">
        <v>77</v>
      </c>
      <c r="AB241" s="10">
        <v>2943.43</v>
      </c>
      <c r="AC241" s="10">
        <v>2603.25</v>
      </c>
      <c r="AD241" s="10">
        <v>265.7</v>
      </c>
      <c r="AE241" s="9">
        <v>46211</v>
      </c>
      <c r="AF241" s="10">
        <v>74.48</v>
      </c>
      <c r="AG241" s="7">
        <v>177</v>
      </c>
      <c r="AH241" s="8" t="s">
        <v>788</v>
      </c>
      <c r="AI241" s="8"/>
      <c r="AJ241" s="8"/>
      <c r="AK241" s="8"/>
      <c r="AL241" s="7">
        <v>565916751</v>
      </c>
      <c r="AM241" s="8" t="s">
        <v>131</v>
      </c>
      <c r="AN241" s="8" t="s">
        <v>132</v>
      </c>
      <c r="AO241" s="9">
        <v>46119</v>
      </c>
    </row>
    <row r="242" spans="1:41" x14ac:dyDescent="0.25">
      <c r="A242" s="5" t="str">
        <f>IFERROR(IF(INDEX([2]US!$A$2:$A$6,MATCH($D242,[2]US!$D$2:$D$6,0))="","",INDEX([2]US!$A$2:$A$6,MATCH($D242,[2]US!$D$2:$D$6,0))),"")</f>
        <v>Pending</v>
      </c>
      <c r="B242" s="5" t="str">
        <f>IFERROR(IF(INDEX([2]US!$B$2:$B$6,MATCH($D242,[2]US!$D$2:$D$6,0))="","",INDEX([2]US!$B$2:$B$6,MATCH($D242,[2]US!$D$2:$D$6,0))),"")</f>
        <v>secondary - Added primary claim ID and submitted electronically - Medicare paid as primary - Resubmitted to Medicare</v>
      </c>
      <c r="C242" s="6">
        <f>IFERROR(IF(INDEX([2]US!$C$2:$C$6,MATCH($D242,[2]US!$D$2:$D$6,0))="","",INDEX([2]US!$C$2:$C$6,MATCH($D242,[2]US!$D$2:$D$6,0))),"")</f>
        <v>46211</v>
      </c>
      <c r="D242" s="7">
        <v>563161793</v>
      </c>
      <c r="E242" s="8" t="s">
        <v>789</v>
      </c>
      <c r="F242" s="9">
        <v>46065</v>
      </c>
      <c r="G242" s="8" t="s">
        <v>84</v>
      </c>
      <c r="H242" s="8" t="s">
        <v>171</v>
      </c>
      <c r="I242" s="8" t="s">
        <v>84</v>
      </c>
      <c r="J242" s="8" t="s">
        <v>135</v>
      </c>
      <c r="K242" s="6">
        <f>IFERROR(IF(INDEX([2]US!$K$2:$K$6,MATCH($D242,[2]US!$D$2:$D$6,0))="","",INDEX([2]US!$K$2:$K$6,MATCH($D242,[2]US!$D$2:$D$6,0))),"")</f>
        <v>46251</v>
      </c>
      <c r="L242" s="11">
        <f ca="1">IF($O242="","",$O242-TODAY())</f>
        <v>126</v>
      </c>
      <c r="M242" s="11">
        <f ca="1">IF(AND(TRIM($A242)="Finalized",$K242&lt;&gt;""),"",IF($C242="","",$C242+365-TODAY()))</f>
        <v>272</v>
      </c>
      <c r="N242" s="11">
        <f ca="1">IF(AND(TRIM($A242)="Finalized",$K242&lt;&gt;""),"",IF($C242="","",$C242+120-TODAY()))</f>
        <v>27</v>
      </c>
      <c r="O242" s="9">
        <f>IF(AND(TRIM($A242)="Finalized",$K242&lt;&gt;""),"",DATE(2027,2,12))</f>
        <v>46430</v>
      </c>
      <c r="P242" s="8" t="s">
        <v>73</v>
      </c>
      <c r="Q242" s="8" t="s">
        <v>739</v>
      </c>
      <c r="R242" s="8" t="s">
        <v>73</v>
      </c>
      <c r="S242" s="8" t="s">
        <v>74</v>
      </c>
      <c r="T242" s="8" t="s">
        <v>208</v>
      </c>
      <c r="U242" s="8" t="s">
        <v>74</v>
      </c>
      <c r="V242" s="8" t="s">
        <v>204</v>
      </c>
      <c r="W242" s="8" t="s">
        <v>129</v>
      </c>
      <c r="X242" s="8"/>
      <c r="Y242" s="8"/>
      <c r="Z242" s="8"/>
      <c r="AA242" s="8" t="s">
        <v>77</v>
      </c>
      <c r="AB242" s="10">
        <v>1294.23</v>
      </c>
      <c r="AC242" s="10">
        <v>1131</v>
      </c>
      <c r="AD242" s="10">
        <v>127.49</v>
      </c>
      <c r="AE242" s="9">
        <v>46211</v>
      </c>
      <c r="AF242" s="10">
        <v>35.74</v>
      </c>
      <c r="AG242" s="7">
        <v>177</v>
      </c>
      <c r="AH242" s="8" t="s">
        <v>137</v>
      </c>
      <c r="AI242" s="8" t="s">
        <v>330</v>
      </c>
      <c r="AJ242" s="8" t="s">
        <v>790</v>
      </c>
      <c r="AK242" s="8" t="s">
        <v>264</v>
      </c>
      <c r="AL242" s="7">
        <v>566075130</v>
      </c>
      <c r="AM242" s="8" t="s">
        <v>131</v>
      </c>
      <c r="AN242" s="8" t="s">
        <v>132</v>
      </c>
      <c r="AO242" s="9">
        <v>46076</v>
      </c>
    </row>
    <row r="243" spans="1:41" x14ac:dyDescent="0.25">
      <c r="A243" s="5" t="str">
        <f>IFERROR(IF(INDEX([2]DME!$A$2:$A$12,MATCH($D243,[2]DME!$D$2:$D$12,0))="","",INDEX([2]DME!$A$2:$A$12,MATCH($D243,[2]DME!$D$2:$D$12,0))),"")</f>
        <v>Pending</v>
      </c>
      <c r="B243" s="5" t="str">
        <f>IFERROR(IF(INDEX([2]DME!$B$2:$B$12,MATCH($D243,[2]DME!$D$2:$D$12,0))="","",INDEX([2]DME!$B$2:$B$12,MATCH($D243,[2]DME!$D$2:$D$12,0))),"")</f>
        <v xml:space="preserve">secondary - we need to crossover to secondary - primary paid </v>
      </c>
      <c r="C243" s="6">
        <f>IFERROR(IF(INDEX([2]DME!$C$2:$C$12,MATCH($D243,[2]DME!$D$2:$D$12,0))="","",INDEX([2]DME!$C$2:$C$12,MATCH($D243,[2]DME!$D$2:$D$12,0))),"")</f>
        <v>46133</v>
      </c>
      <c r="D243" s="7">
        <v>550531610</v>
      </c>
      <c r="E243" s="8" t="s">
        <v>791</v>
      </c>
      <c r="F243" s="9">
        <v>46066</v>
      </c>
      <c r="G243" s="8" t="s">
        <v>83</v>
      </c>
      <c r="H243" s="8" t="s">
        <v>437</v>
      </c>
      <c r="I243" s="8" t="s">
        <v>83</v>
      </c>
      <c r="J243" s="8" t="s">
        <v>522</v>
      </c>
      <c r="K243" s="6">
        <f>IFERROR(IF(INDEX([2]DME!$K$2:$K$12,MATCH($D243,[2]DME!$D$2:$D$12,0))="","",INDEX([2]DME!$K$2:$K$12,MATCH($D243,[2]DME!$D$2:$D$12,0))),"")</f>
        <v>46300</v>
      </c>
      <c r="L243" s="11">
        <f ca="1">IF($O243="","",$O243-TODAY())</f>
        <v>127</v>
      </c>
      <c r="M243" s="11">
        <f ca="1">IF(AND(TRIM($A243)="Finalized",$K243&lt;&gt;""),"",IF($C243="","",$C243+365-TODAY()))</f>
        <v>194</v>
      </c>
      <c r="N243" s="11">
        <f ca="1">IF(AND(TRIM($A243)="Finalized",$K243&lt;&gt;""),"",IF($C243="","",$C243+120-TODAY()))</f>
        <v>-51</v>
      </c>
      <c r="O243" s="9">
        <f>IF(AND(TRIM($A243)="Finalized",$K243&lt;&gt;""),"",DATE(2027,2,13))</f>
        <v>46431</v>
      </c>
      <c r="P243" s="8" t="s">
        <v>73</v>
      </c>
      <c r="Q243" s="8" t="s">
        <v>739</v>
      </c>
      <c r="R243" s="8" t="s">
        <v>73</v>
      </c>
      <c r="S243" s="8" t="s">
        <v>74</v>
      </c>
      <c r="T243" s="8" t="s">
        <v>208</v>
      </c>
      <c r="U243" s="8" t="s">
        <v>74</v>
      </c>
      <c r="V243" s="8" t="s">
        <v>204</v>
      </c>
      <c r="W243" s="8" t="s">
        <v>89</v>
      </c>
      <c r="X243" s="8" t="s">
        <v>90</v>
      </c>
      <c r="Y243" s="8"/>
      <c r="Z243" s="8"/>
      <c r="AA243" s="8" t="s">
        <v>479</v>
      </c>
      <c r="AB243" s="10">
        <v>72707.600000000006</v>
      </c>
      <c r="AC243" s="10">
        <v>62032.38</v>
      </c>
      <c r="AD243" s="10">
        <v>8505.4599999999991</v>
      </c>
      <c r="AE243" s="9">
        <v>46133</v>
      </c>
      <c r="AF243" s="10">
        <v>2169.7600000000002</v>
      </c>
      <c r="AG243" s="7">
        <v>176</v>
      </c>
      <c r="AH243" s="8" t="s">
        <v>92</v>
      </c>
      <c r="AI243" s="8" t="s">
        <v>324</v>
      </c>
      <c r="AJ243" s="8" t="s">
        <v>78</v>
      </c>
      <c r="AK243" s="8"/>
      <c r="AL243" s="7">
        <v>563428910</v>
      </c>
      <c r="AM243" s="8" t="s">
        <v>742</v>
      </c>
      <c r="AN243" s="8" t="s">
        <v>743</v>
      </c>
      <c r="AO243" s="9">
        <v>46077</v>
      </c>
    </row>
    <row r="244" spans="1:41" x14ac:dyDescent="0.25">
      <c r="A244" s="5" t="str">
        <f>IFERROR(IF(INDEX([2]GAE!$A$2:$A$6,MATCH($D244,[2]GAE!$D$2:$D$6,0))="","",INDEX([2]GAE!$A$2:$A$6,MATCH($D244,[2]GAE!$D$2:$D$6,0))),"")</f>
        <v>Denied</v>
      </c>
      <c r="B244" s="5" t="str">
        <f>IFERROR(IF(INDEX([2]GAE!$B$2:$B$6,MATCH($D244,[2]GAE!$D$2:$D$6,0))="","",INDEX([2]GAE!$B$2:$B$6,MATCH($D244,[2]GAE!$D$2:$D$6,0))),"")</f>
        <v>Uploaded MR - PIQ-83275318</v>
      </c>
      <c r="C244" s="6">
        <f>IFERROR(IF(INDEX([2]GAE!$C$2:$C$6,MATCH($D244,[2]GAE!$D$2:$D$6,0))="","",INDEX([2]GAE!$C$2:$C$6,MATCH($D244,[2]GAE!$D$2:$D$6,0))),"")</f>
        <v>46155</v>
      </c>
      <c r="D244" s="7">
        <v>551974048</v>
      </c>
      <c r="E244" s="8" t="s">
        <v>775</v>
      </c>
      <c r="F244" s="9">
        <v>46069</v>
      </c>
      <c r="G244" s="8" t="s">
        <v>470</v>
      </c>
      <c r="H244" s="8" t="s">
        <v>470</v>
      </c>
      <c r="I244" s="8" t="s">
        <v>723</v>
      </c>
      <c r="J244" s="8" t="s">
        <v>792</v>
      </c>
      <c r="K244" s="6">
        <f>IFERROR(IF(INDEX([2]GAE!$K$2:$K$6,MATCH($D244,[2]GAE!$D$2:$D$6,0))="","",INDEX([2]GAE!$K$2:$K$6,MATCH($D244,[2]GAE!$D$2:$D$6,0))),"")</f>
        <v>46142</v>
      </c>
      <c r="L244" s="11">
        <f ca="1">IF($O244="","",$O244-TODAY())</f>
        <v>130</v>
      </c>
      <c r="M244" s="11">
        <f ca="1">IF(AND(TRIM($A244)="Finalized",$K244&lt;&gt;""),"",IF($C244="","",$C244+180-TODAY()))</f>
        <v>31</v>
      </c>
      <c r="N244" s="11">
        <f ca="1">IF(AND(TRIM($A244)="Finalized",$K244&lt;&gt;""),"",IF($C244="","",$C244+365-TODAY()))</f>
        <v>216</v>
      </c>
      <c r="O244" s="9">
        <f>IF(AND(TRIM($A244)="Finalized",$K244&lt;&gt;""),"",DATE(2027,2,16))</f>
        <v>46434</v>
      </c>
      <c r="P244" s="8" t="s">
        <v>73</v>
      </c>
      <c r="Q244" s="8" t="s">
        <v>777</v>
      </c>
      <c r="R244" s="8" t="s">
        <v>117</v>
      </c>
      <c r="S244" s="8" t="s">
        <v>74</v>
      </c>
      <c r="T244" s="8" t="s">
        <v>73</v>
      </c>
      <c r="U244" s="8" t="s">
        <v>74</v>
      </c>
      <c r="V244" s="8" t="s">
        <v>204</v>
      </c>
      <c r="W244" s="8" t="s">
        <v>101</v>
      </c>
      <c r="X244" s="8" t="s">
        <v>257</v>
      </c>
      <c r="Y244" s="8" t="s">
        <v>652</v>
      </c>
      <c r="Z244" s="8" t="s">
        <v>103</v>
      </c>
      <c r="AA244" s="8" t="s">
        <v>716</v>
      </c>
      <c r="AB244" s="10">
        <v>12959.73</v>
      </c>
      <c r="AC244" s="10">
        <v>0</v>
      </c>
      <c r="AD244" s="10">
        <v>0</v>
      </c>
      <c r="AE244" s="9">
        <v>46155</v>
      </c>
      <c r="AF244" s="10">
        <v>12959.73</v>
      </c>
      <c r="AG244" s="7">
        <v>173</v>
      </c>
      <c r="AH244" s="8" t="s">
        <v>105</v>
      </c>
      <c r="AI244" s="8" t="s">
        <v>106</v>
      </c>
      <c r="AJ244" s="8" t="s">
        <v>107</v>
      </c>
      <c r="AK244" s="8"/>
      <c r="AL244" s="7"/>
      <c r="AM244" s="8" t="s">
        <v>108</v>
      </c>
      <c r="AN244" s="8" t="s">
        <v>109</v>
      </c>
      <c r="AO244" s="9">
        <v>46090</v>
      </c>
    </row>
    <row r="245" spans="1:41" x14ac:dyDescent="0.25">
      <c r="A245" s="5" t="str">
        <f>IFERROR(IF(INDEX([2]US!$A$2:$A$6,MATCH($D245,[2]US!$D$2:$D$6,0))="","",INDEX([2]US!$A$2:$A$6,MATCH($D245,[2]US!$D$2:$D$6,0))),"")</f>
        <v>PAID</v>
      </c>
      <c r="B245" s="5" t="str">
        <f>IFERROR(IF(INDEX([2]US!$B$2:$B$6,MATCH($D245,[2]US!$D$2:$D$6,0))="","",INDEX([2]US!$B$2:$B$6,MATCH($D245,[2]US!$D$2:$D$6,0))),"")</f>
        <v>secondary - pending posting - Primary paid - Edited referring provider, and resubmitted</v>
      </c>
      <c r="C245" s="6">
        <f>IFERROR(IF(INDEX([2]US!$C$2:$C$6,MATCH($D245,[2]US!$D$2:$D$6,0))="","",INDEX([2]US!$C$2:$C$6,MATCH($D245,[2]US!$D$2:$D$6,0))),"")</f>
        <v>46210</v>
      </c>
      <c r="D245" s="7">
        <v>563152081</v>
      </c>
      <c r="E245" s="8" t="s">
        <v>801</v>
      </c>
      <c r="F245" s="9">
        <v>46070</v>
      </c>
      <c r="G245" s="8" t="s">
        <v>750</v>
      </c>
      <c r="H245" s="8" t="s">
        <v>171</v>
      </c>
      <c r="I245" s="8" t="s">
        <v>750</v>
      </c>
      <c r="J245" s="8" t="s">
        <v>135</v>
      </c>
      <c r="K245" s="6">
        <f>IFERROR(IF(INDEX([2]US!$K$2:$K$6,MATCH($D245,[2]US!$D$2:$D$6,0))="","",INDEX([2]US!$K$2:$K$6,MATCH($D245,[2]US!$D$2:$D$6,0))),"")</f>
        <v>46196</v>
      </c>
      <c r="L245" s="11">
        <f ca="1">IF($O245="","",$O245-TODAY())</f>
        <v>131</v>
      </c>
      <c r="M245" s="11">
        <f ca="1">IF(AND(TRIM($A245)="Finalized",$K245&lt;&gt;""),"",IF($C245="","",$C245+365-TODAY()))</f>
        <v>271</v>
      </c>
      <c r="N245" s="11">
        <f ca="1">IF(AND(TRIM($A245)="Finalized",$K245&lt;&gt;""),"",IF($C245="","",$C245+120-TODAY()))</f>
        <v>26</v>
      </c>
      <c r="O245" s="9">
        <f>IF(AND(TRIM($A245)="Finalized",$K245&lt;&gt;""),"",DATE(2027,2,17))</f>
        <v>46435</v>
      </c>
      <c r="P245" s="8" t="s">
        <v>73</v>
      </c>
      <c r="Q245" s="8" t="s">
        <v>739</v>
      </c>
      <c r="R245" s="8" t="s">
        <v>73</v>
      </c>
      <c r="S245" s="8" t="s">
        <v>74</v>
      </c>
      <c r="T245" s="8" t="s">
        <v>208</v>
      </c>
      <c r="U245" s="8" t="s">
        <v>74</v>
      </c>
      <c r="V245" s="8" t="s">
        <v>204</v>
      </c>
      <c r="W245" s="8" t="s">
        <v>129</v>
      </c>
      <c r="X245" s="8"/>
      <c r="Y245" s="8"/>
      <c r="Z245" s="8"/>
      <c r="AA245" s="8" t="s">
        <v>77</v>
      </c>
      <c r="AB245" s="10">
        <v>1294.23</v>
      </c>
      <c r="AC245" s="10">
        <v>1131</v>
      </c>
      <c r="AD245" s="10">
        <v>127.49</v>
      </c>
      <c r="AE245" s="9">
        <v>46210</v>
      </c>
      <c r="AF245" s="10">
        <v>35.74</v>
      </c>
      <c r="AG245" s="7">
        <v>172</v>
      </c>
      <c r="AH245" s="8" t="s">
        <v>175</v>
      </c>
      <c r="AI245" s="8"/>
      <c r="AJ245" s="8"/>
      <c r="AK245" s="8"/>
      <c r="AL245" s="7">
        <v>566075094</v>
      </c>
      <c r="AM245" s="8" t="s">
        <v>157</v>
      </c>
      <c r="AN245" s="8" t="s">
        <v>158</v>
      </c>
      <c r="AO245" s="9">
        <v>46076</v>
      </c>
    </row>
    <row r="246" spans="1:41" x14ac:dyDescent="0.25">
      <c r="A246" s="5" t="str">
        <f>IFERROR(IF(INDEX([2]ORTHO!$A$2:$A$11,MATCH($D246,[2]ORTHO!$D$2:$D$11,0))="","",INDEX([2]ORTHO!$A$2:$A$11,MATCH($D246,[2]ORTHO!$D$2:$D$11,0))),"")</f>
        <v>Finalized</v>
      </c>
      <c r="B246" s="5" t="str">
        <f>IFERROR(IF(INDEX([2]ORTHO!$B$2:$B$11,MATCH($D246,[2]ORTHO!$D$2:$D$11,0))="","",INDEX([2]ORTHO!$B$2:$B$11,MATCH($D246,[2]ORTHO!$D$2:$D$11,0))),"")</f>
        <v/>
      </c>
      <c r="C246" s="6">
        <f>IFERROR(IF(INDEX([2]ORTHO!$C$2:$C$11,MATCH($D246,[2]ORTHO!$D$2:$D$11,0))="","",INDEX([2]ORTHO!$C$2:$C$11,MATCH($D246,[2]ORTHO!$D$2:$D$11,0))),"")</f>
        <v>46128</v>
      </c>
      <c r="D246" s="7">
        <v>549835748</v>
      </c>
      <c r="E246" s="8" t="s">
        <v>802</v>
      </c>
      <c r="F246" s="9">
        <v>46070</v>
      </c>
      <c r="G246" s="8" t="s">
        <v>803</v>
      </c>
      <c r="H246" s="8" t="s">
        <v>171</v>
      </c>
      <c r="I246" s="8" t="s">
        <v>803</v>
      </c>
      <c r="J246" s="8" t="s">
        <v>70</v>
      </c>
      <c r="K246" s="6" t="str">
        <f>IFERROR(IF(INDEX([2]ORTHO!$K$2:$K$11,MATCH($D246,[2]ORTHO!$D$2:$D$11,0))="","",INDEX([2]ORTHO!$K$2:$K$11,MATCH($D246,[2]ORTHO!$D$2:$D$11,0))),"")</f>
        <v/>
      </c>
      <c r="L246" s="11">
        <f ca="1">IF($O246="","",$O246-TODAY())</f>
        <v>131</v>
      </c>
      <c r="M246" s="11">
        <f ca="1">IF(AND(TRIM($A246)="Finalized",$K246&lt;&gt;""),"",IF($C246="","",$C246+365-TODAY()))</f>
        <v>189</v>
      </c>
      <c r="N246" s="11">
        <f ca="1">IF(AND(TRIM($A246)="Finalized",$K246&lt;&gt;""),"",IF($C246="","",$C246+120-TODAY()))</f>
        <v>-56</v>
      </c>
      <c r="O246" s="9">
        <f>IF(AND(TRIM($A246)="Finalized",$K246&lt;&gt;""),"",DATE(2027,2,17))</f>
        <v>46435</v>
      </c>
      <c r="P246" s="8" t="s">
        <v>73</v>
      </c>
      <c r="Q246" s="8" t="s">
        <v>739</v>
      </c>
      <c r="R246" s="8" t="s">
        <v>73</v>
      </c>
      <c r="S246" s="8" t="s">
        <v>74</v>
      </c>
      <c r="T246" s="8" t="s">
        <v>208</v>
      </c>
      <c r="U246" s="8" t="s">
        <v>74</v>
      </c>
      <c r="V246" s="8" t="s">
        <v>204</v>
      </c>
      <c r="W246" s="8" t="s">
        <v>76</v>
      </c>
      <c r="X246" s="8"/>
      <c r="Y246" s="8"/>
      <c r="Z246" s="8"/>
      <c r="AA246" s="8" t="s">
        <v>77</v>
      </c>
      <c r="AB246" s="10">
        <v>2493.33</v>
      </c>
      <c r="AC246" s="10">
        <v>2340.02</v>
      </c>
      <c r="AD246" s="10">
        <v>153.15</v>
      </c>
      <c r="AE246" s="9">
        <v>46128</v>
      </c>
      <c r="AF246" s="10">
        <v>0.16</v>
      </c>
      <c r="AG246" s="7">
        <v>172</v>
      </c>
      <c r="AH246" s="8" t="s">
        <v>78</v>
      </c>
      <c r="AI246" s="8" t="s">
        <v>149</v>
      </c>
      <c r="AJ246" s="8"/>
      <c r="AK246" s="8"/>
      <c r="AL246" s="7">
        <v>557765015</v>
      </c>
      <c r="AM246" s="8" t="s">
        <v>154</v>
      </c>
      <c r="AN246" s="8" t="s">
        <v>109</v>
      </c>
      <c r="AO246" s="9">
        <v>46072</v>
      </c>
    </row>
    <row r="247" spans="1:41" x14ac:dyDescent="0.25">
      <c r="A247" s="5" t="str">
        <f>IFERROR(IF(INDEX([2]US!$A$2:$A$6,MATCH($D247,[2]US!$D$2:$D$6,0))="","",INDEX([2]US!$A$2:$A$6,MATCH($D247,[2]US!$D$2:$D$6,0))),"")</f>
        <v>PAID</v>
      </c>
      <c r="B247" s="5" t="str">
        <f>IFERROR(IF(INDEX([2]US!$B$2:$B$6,MATCH($D247,[2]US!$D$2:$D$6,0))="","",INDEX([2]US!$B$2:$B$6,MATCH($D247,[2]US!$D$2:$D$6,0))),"")</f>
        <v>secondary - pending posting - Primary paid - Edited referring provider, and resubmitted</v>
      </c>
      <c r="C247" s="6">
        <f>IFERROR(IF(INDEX([2]US!$C$2:$C$6,MATCH($D247,[2]US!$D$2:$D$6,0))="","",INDEX([2]US!$C$2:$C$6,MATCH($D247,[2]US!$D$2:$D$6,0))),"")</f>
        <v>46210</v>
      </c>
      <c r="D247" s="7">
        <v>563152473</v>
      </c>
      <c r="E247" s="8" t="s">
        <v>779</v>
      </c>
      <c r="F247" s="9">
        <v>46071</v>
      </c>
      <c r="G247" s="8" t="s">
        <v>123</v>
      </c>
      <c r="H247" s="8" t="s">
        <v>171</v>
      </c>
      <c r="I247" s="8" t="s">
        <v>123</v>
      </c>
      <c r="J247" s="8" t="s">
        <v>378</v>
      </c>
      <c r="K247" s="6">
        <f>IFERROR(IF(INDEX([2]US!$K$2:$K$6,MATCH($D247,[2]US!$D$2:$D$6,0))="","",INDEX([2]US!$K$2:$K$6,MATCH($D247,[2]US!$D$2:$D$6,0))),"")</f>
        <v>46196</v>
      </c>
      <c r="L247" s="11">
        <f ca="1">IF($O247="","",$O247-TODAY())</f>
        <v>132</v>
      </c>
      <c r="M247" s="11">
        <f ca="1">IF(AND(TRIM($A247)="Finalized",$K247&lt;&gt;""),"",IF($C247="","",$C247+365-TODAY()))</f>
        <v>271</v>
      </c>
      <c r="N247" s="11">
        <f ca="1">IF(AND(TRIM($A247)="Finalized",$K247&lt;&gt;""),"",IF($C247="","",$C247+120-TODAY()))</f>
        <v>26</v>
      </c>
      <c r="O247" s="9">
        <f>IF(AND(TRIM($A247)="Finalized",$K247&lt;&gt;""),"",DATE(2027,2,18))</f>
        <v>46436</v>
      </c>
      <c r="P247" s="8" t="s">
        <v>73</v>
      </c>
      <c r="Q247" s="8" t="s">
        <v>739</v>
      </c>
      <c r="R247" s="8" t="s">
        <v>73</v>
      </c>
      <c r="S247" s="8" t="s">
        <v>74</v>
      </c>
      <c r="T247" s="8" t="s">
        <v>208</v>
      </c>
      <c r="U247" s="8" t="s">
        <v>74</v>
      </c>
      <c r="V247" s="8" t="s">
        <v>204</v>
      </c>
      <c r="W247" s="8" t="s">
        <v>129</v>
      </c>
      <c r="X247" s="8"/>
      <c r="Y247" s="8"/>
      <c r="Z247" s="8"/>
      <c r="AA247" s="8" t="s">
        <v>77</v>
      </c>
      <c r="AB247" s="10">
        <v>879.06</v>
      </c>
      <c r="AC247" s="10">
        <v>758.3</v>
      </c>
      <c r="AD247" s="10">
        <v>94.84</v>
      </c>
      <c r="AE247" s="9">
        <v>46210</v>
      </c>
      <c r="AF247" s="10">
        <v>25.92</v>
      </c>
      <c r="AG247" s="7">
        <v>171</v>
      </c>
      <c r="AH247" s="8" t="s">
        <v>130</v>
      </c>
      <c r="AI247" s="8"/>
      <c r="AJ247" s="8"/>
      <c r="AK247" s="8"/>
      <c r="AL247" s="7">
        <v>566075128</v>
      </c>
      <c r="AM247" s="8" t="s">
        <v>165</v>
      </c>
      <c r="AN247" s="8" t="s">
        <v>95</v>
      </c>
      <c r="AO247" s="9">
        <v>46119</v>
      </c>
    </row>
    <row r="248" spans="1:41" x14ac:dyDescent="0.25">
      <c r="A248" s="5" t="str">
        <f>IFERROR(IF(INDEX([2]ORTHO!$A$2:$A$11,MATCH($D248,[2]ORTHO!$D$2:$D$11,0))="","",INDEX([2]ORTHO!$A$2:$A$11,MATCH($D248,[2]ORTHO!$D$2:$D$11,0))),"")</f>
        <v>Pending</v>
      </c>
      <c r="B248" s="5" t="str">
        <f>IFERROR(IF(INDEX([2]ORTHO!$B$2:$B$11,MATCH($D248,[2]ORTHO!$D$2:$D$11,0))="","",INDEX([2]ORTHO!$B$2:$B$11,MATCH($D248,[2]ORTHO!$D$2:$D$11,0))),"")</f>
        <v>secondary - Added primary claim ID and submitted electronically</v>
      </c>
      <c r="C248" s="6">
        <f>IFERROR(IF(INDEX([2]ORTHO!$C$2:$C$11,MATCH($D248,[2]ORTHO!$D$2:$D$11,0))="","",INDEX([2]ORTHO!$C$2:$C$11,MATCH($D248,[2]ORTHO!$D$2:$D$11,0))),"")</f>
        <v>46091</v>
      </c>
      <c r="D248" s="7">
        <v>550306697</v>
      </c>
      <c r="E248" s="8" t="s">
        <v>808</v>
      </c>
      <c r="F248" s="9">
        <v>46073</v>
      </c>
      <c r="G248" s="8" t="s">
        <v>123</v>
      </c>
      <c r="H248" s="8" t="s">
        <v>171</v>
      </c>
      <c r="I248" s="8" t="s">
        <v>123</v>
      </c>
      <c r="J248" s="8" t="s">
        <v>70</v>
      </c>
      <c r="K248" s="6">
        <f>IFERROR(IF(INDEX([2]ORTHO!$K$2:$K$11,MATCH($D248,[2]ORTHO!$D$2:$D$11,0))="","",INDEX([2]ORTHO!$K$2:$K$11,MATCH($D248,[2]ORTHO!$D$2:$D$11,0))),"")</f>
        <v>46251</v>
      </c>
      <c r="L248" s="11">
        <f ca="1">IF($O248="","",$O248-TODAY())</f>
        <v>134</v>
      </c>
      <c r="M248" s="11">
        <f ca="1">IF(AND(TRIM($A248)="Finalized",$K248&lt;&gt;""),"",IF($C248="","",$C248+365-TODAY()))</f>
        <v>152</v>
      </c>
      <c r="N248" s="11">
        <f ca="1">IF(AND(TRIM($A248)="Finalized",$K248&lt;&gt;""),"",IF($C248="","",$C248+120-TODAY()))</f>
        <v>-93</v>
      </c>
      <c r="O248" s="9">
        <f>IF(AND(TRIM($A248)="Finalized",$K248&lt;&gt;""),"",DATE(2027,2,20))</f>
        <v>46438</v>
      </c>
      <c r="P248" s="8" t="s">
        <v>73</v>
      </c>
      <c r="Q248" s="8" t="s">
        <v>739</v>
      </c>
      <c r="R248" s="8" t="s">
        <v>73</v>
      </c>
      <c r="S248" s="8" t="s">
        <v>74</v>
      </c>
      <c r="T248" s="8" t="s">
        <v>208</v>
      </c>
      <c r="U248" s="8" t="s">
        <v>74</v>
      </c>
      <c r="V248" s="8" t="s">
        <v>204</v>
      </c>
      <c r="W248" s="8" t="s">
        <v>76</v>
      </c>
      <c r="X248" s="8"/>
      <c r="Y248" s="8"/>
      <c r="Z248" s="8"/>
      <c r="AA248" s="8" t="s">
        <v>77</v>
      </c>
      <c r="AB248" s="10">
        <v>2493.33</v>
      </c>
      <c r="AC248" s="10">
        <v>2340.79</v>
      </c>
      <c r="AD248" s="10">
        <v>121.54</v>
      </c>
      <c r="AE248" s="9">
        <v>46091</v>
      </c>
      <c r="AF248" s="10">
        <v>31</v>
      </c>
      <c r="AG248" s="7">
        <v>169</v>
      </c>
      <c r="AH248" s="8" t="s">
        <v>78</v>
      </c>
      <c r="AI248" s="8"/>
      <c r="AJ248" s="8"/>
      <c r="AK248" s="8"/>
      <c r="AL248" s="7">
        <v>562575912</v>
      </c>
      <c r="AM248" s="8" t="s">
        <v>543</v>
      </c>
      <c r="AN248" s="8" t="s">
        <v>81</v>
      </c>
      <c r="AO248" s="9">
        <v>46077</v>
      </c>
    </row>
    <row r="249" spans="1:41" x14ac:dyDescent="0.25">
      <c r="A249" s="5" t="str">
        <f>IFERROR(IF(INDEX([2]DME!$A$2:$A$12,MATCH($D249,[2]DME!$D$2:$D$12,0))="","",INDEX([2]DME!$A$2:$A$12,MATCH($D249,[2]DME!$D$2:$D$12,0))),"")</f>
        <v>Denied</v>
      </c>
      <c r="B249" s="5" t="str">
        <f>IFERROR(IF(INDEX([2]DME!$B$2:$B$12,MATCH($D249,[2]DME!$D$2:$D$12,0))="","",INDEX([2]DME!$B$2:$B$12,MATCH($D249,[2]DME!$D$2:$D$12,0))),"")</f>
        <v>Gilbert - jurisdiction issue</v>
      </c>
      <c r="C249" s="6">
        <f>IFERROR(IF(INDEX([2]DME!$C$2:$C$12,MATCH($D249,[2]DME!$D$2:$D$12,0))="","",INDEX([2]DME!$C$2:$C$12,MATCH($D249,[2]DME!$D$2:$D$12,0))),"")</f>
        <v>46147</v>
      </c>
      <c r="D249" s="7">
        <v>557715576</v>
      </c>
      <c r="E249" s="8" t="s">
        <v>809</v>
      </c>
      <c r="F249" s="9">
        <v>46076</v>
      </c>
      <c r="G249" s="8" t="s">
        <v>810</v>
      </c>
      <c r="H249" s="8" t="s">
        <v>810</v>
      </c>
      <c r="I249" s="8" t="s">
        <v>123</v>
      </c>
      <c r="J249" s="8" t="s">
        <v>522</v>
      </c>
      <c r="K249" s="6" t="str">
        <f>IFERROR(IF(INDEX([2]DME!$K$2:$K$12,MATCH($D249,[2]DME!$D$2:$D$12,0))="","",INDEX([2]DME!$K$2:$K$12,MATCH($D249,[2]DME!$D$2:$D$12,0))),"")</f>
        <v/>
      </c>
      <c r="L249" s="11">
        <f ca="1">IF($O249="","",$O249-TODAY())</f>
        <v>137</v>
      </c>
      <c r="M249" s="11">
        <f ca="1">IF(AND(TRIM($A249)="Finalized",$K249&lt;&gt;""),"",IF($C249="","",$C249+365-TODAY()))</f>
        <v>208</v>
      </c>
      <c r="N249" s="11">
        <f ca="1">IF(AND(TRIM($A249)="Finalized",$K249&lt;&gt;""),"",IF($C249="","",$C249+120-TODAY()))</f>
        <v>-37</v>
      </c>
      <c r="O249" s="9">
        <f>IF(AND(TRIM($A249)="Finalized",$K249&lt;&gt;""),"",DATE(2027,2,23))</f>
        <v>46441</v>
      </c>
      <c r="P249" s="8" t="s">
        <v>73</v>
      </c>
      <c r="Q249" s="8" t="s">
        <v>739</v>
      </c>
      <c r="R249" s="8" t="s">
        <v>73</v>
      </c>
      <c r="S249" s="8" t="s">
        <v>74</v>
      </c>
      <c r="T249" s="8" t="s">
        <v>208</v>
      </c>
      <c r="U249" s="8" t="s">
        <v>74</v>
      </c>
      <c r="V249" s="8" t="s">
        <v>204</v>
      </c>
      <c r="W249" s="8" t="s">
        <v>89</v>
      </c>
      <c r="X249" s="8" t="s">
        <v>90</v>
      </c>
      <c r="Y249" s="8"/>
      <c r="Z249" s="8"/>
      <c r="AA249" s="8" t="s">
        <v>479</v>
      </c>
      <c r="AB249" s="10">
        <v>72707.600000000006</v>
      </c>
      <c r="AC249" s="10">
        <v>0</v>
      </c>
      <c r="AD249" s="10">
        <v>0</v>
      </c>
      <c r="AE249" s="9">
        <v>46147</v>
      </c>
      <c r="AF249" s="10">
        <v>72707.600000000006</v>
      </c>
      <c r="AG249" s="7">
        <v>166</v>
      </c>
      <c r="AH249" s="8" t="s">
        <v>92</v>
      </c>
      <c r="AI249" s="8" t="s">
        <v>78</v>
      </c>
      <c r="AJ249" s="8"/>
      <c r="AK249" s="8"/>
      <c r="AL249" s="7"/>
      <c r="AM249" s="8" t="s">
        <v>811</v>
      </c>
      <c r="AN249" s="8" t="s">
        <v>812</v>
      </c>
      <c r="AO249" s="9">
        <v>46085</v>
      </c>
    </row>
    <row r="250" spans="1:41" x14ac:dyDescent="0.25">
      <c r="A250" s="5" t="str">
        <f>IFERROR(IF(INDEX([2]ORTHO!$A$2:$A$11,MATCH($D250,[2]ORTHO!$D$2:$D$11,0))="","",INDEX([2]ORTHO!$A$2:$A$11,MATCH($D250,[2]ORTHO!$D$2:$D$11,0))),"")</f>
        <v>Denied</v>
      </c>
      <c r="B250" s="5" t="str">
        <f>IFERROR(IF(INDEX([2]ORTHO!$B$2:$B$11,MATCH($D250,[2]ORTHO!$D$2:$D$11,0))="","",INDEX([2]ORTHO!$B$2:$B$11,MATCH($D250,[2]ORTHO!$D$2:$D$11,0))),"")</f>
        <v>Added service line with 63030 - Split bilateral service with mod RT and LT, and resubmitted</v>
      </c>
      <c r="C250" s="6">
        <f>IFERROR(IF(INDEX([2]ORTHO!$C$2:$C$11,MATCH($D250,[2]ORTHO!$D$2:$D$11,0))="","",INDEX([2]ORTHO!$C$2:$C$11,MATCH($D250,[2]ORTHO!$D$2:$D$11,0))),"")</f>
        <v>46202</v>
      </c>
      <c r="D250" s="7">
        <v>563073824</v>
      </c>
      <c r="E250" s="8" t="s">
        <v>813</v>
      </c>
      <c r="F250" s="9">
        <v>46079</v>
      </c>
      <c r="G250" s="8" t="s">
        <v>814</v>
      </c>
      <c r="H250" s="8" t="s">
        <v>171</v>
      </c>
      <c r="I250" s="8" t="s">
        <v>814</v>
      </c>
      <c r="J250" s="8" t="s">
        <v>815</v>
      </c>
      <c r="K250" s="6">
        <f>IFERROR(IF(INDEX([2]ORTHO!$K$2:$K$11,MATCH($D250,[2]ORTHO!$D$2:$D$11,0))="","",INDEX([2]ORTHO!$K$2:$K$11,MATCH($D250,[2]ORTHO!$D$2:$D$11,0))),"")</f>
        <v>46195</v>
      </c>
      <c r="L250" s="11">
        <f ca="1">IF($O250="","",$O250-TODAY())</f>
        <v>140</v>
      </c>
      <c r="M250" s="11">
        <f ca="1">IF(AND(TRIM($A250)="Finalized",$K250&lt;&gt;""),"",IF($C250="","",$C250+365-TODAY()))</f>
        <v>263</v>
      </c>
      <c r="N250" s="11">
        <f ca="1">IF(AND(TRIM($A250)="Finalized",$K250&lt;&gt;""),"",IF($C250="","",$C250+120-TODAY()))</f>
        <v>18</v>
      </c>
      <c r="O250" s="9">
        <f>IF(AND(TRIM($A250)="Finalized",$K250&lt;&gt;""),"",DATE(2027,2,26))</f>
        <v>46444</v>
      </c>
      <c r="P250" s="8" t="s">
        <v>73</v>
      </c>
      <c r="Q250" s="8" t="s">
        <v>739</v>
      </c>
      <c r="R250" s="8" t="s">
        <v>73</v>
      </c>
      <c r="S250" s="8" t="s">
        <v>74</v>
      </c>
      <c r="T250" s="8" t="s">
        <v>208</v>
      </c>
      <c r="U250" s="8" t="s">
        <v>74</v>
      </c>
      <c r="V250" s="8" t="s">
        <v>204</v>
      </c>
      <c r="W250" s="8" t="s">
        <v>76</v>
      </c>
      <c r="X250" s="8" t="s">
        <v>816</v>
      </c>
      <c r="Y250" s="8"/>
      <c r="Z250" s="8"/>
      <c r="AA250" s="8" t="s">
        <v>77</v>
      </c>
      <c r="AB250" s="10">
        <v>20217.61</v>
      </c>
      <c r="AC250" s="10">
        <v>0</v>
      </c>
      <c r="AD250" s="10">
        <v>1013.09</v>
      </c>
      <c r="AE250" s="9">
        <v>46202</v>
      </c>
      <c r="AF250" s="10">
        <v>19204.52</v>
      </c>
      <c r="AG250" s="7">
        <v>163</v>
      </c>
      <c r="AH250" s="8" t="s">
        <v>145</v>
      </c>
      <c r="AI250" s="8" t="s">
        <v>79</v>
      </c>
      <c r="AJ250" s="8" t="s">
        <v>241</v>
      </c>
      <c r="AK250" s="8" t="s">
        <v>215</v>
      </c>
      <c r="AL250" s="7">
        <v>554801761</v>
      </c>
      <c r="AM250" s="8" t="s">
        <v>217</v>
      </c>
      <c r="AN250" s="8" t="s">
        <v>109</v>
      </c>
      <c r="AO250" s="9">
        <v>46093</v>
      </c>
    </row>
    <row r="251" spans="1:41" x14ac:dyDescent="0.25">
      <c r="A251" s="5" t="str">
        <f>IFERROR(IF(INDEX([3]ORTHO!$A$2:$A$16,MATCH($D251,[3]ORTHO!$D$2:$D$16,0))="","",INDEX([3]ORTHO!$A$2:$A$16,MATCH($D251,[3]ORTHO!$D$2:$D$16,0))),"")</f>
        <v>Denied</v>
      </c>
      <c r="B251" s="5" t="str">
        <f>IFERROR(IF(INDEX([3]ORTHO!$B$2:$B$16,MATCH($D251,[3]ORTHO!$D$2:$D$16,0))="","",INDEX([3]ORTHO!$B$2:$B$16,MATCH($D251,[3]ORTHO!$D$2:$D$16,0))),"")</f>
        <v>Corrected auth #, and resubmitted - UTN # required</v>
      </c>
      <c r="C251" s="6">
        <f>IFERROR(IF(INDEX([3]ORTHO!$C$2:$C$16,MATCH($D251,[3]ORTHO!$D$2:$D$16,0))="","",INDEX([3]ORTHO!$C$2:$C$16,MATCH($D251,[3]ORTHO!$D$2:$D$16,0))),"")</f>
        <v>46107</v>
      </c>
      <c r="D251" s="7">
        <v>553613990</v>
      </c>
      <c r="E251" s="8" t="s">
        <v>819</v>
      </c>
      <c r="F251" s="9">
        <v>46083</v>
      </c>
      <c r="G251" s="8" t="s">
        <v>171</v>
      </c>
      <c r="H251" s="8" t="s">
        <v>171</v>
      </c>
      <c r="I251" s="8" t="s">
        <v>750</v>
      </c>
      <c r="J251" s="8" t="s">
        <v>820</v>
      </c>
      <c r="K251" s="6">
        <f>IFERROR(IF(INDEX([3]ORTHO!$K$2:$K$16,MATCH($D251,[3]ORTHO!$D$2:$D$16,0))="","",INDEX([3]ORTHO!$K$2:$K$16,MATCH($D251,[3]ORTHO!$D$2:$D$16,0))),"")</f>
        <v>46279</v>
      </c>
      <c r="L251" s="11">
        <f ca="1">IF($O251="","",$O251-TODAY())</f>
        <v>144</v>
      </c>
      <c r="M251" s="11">
        <f ca="1">IF(AND(TRIM($A251)="Finalized",$K251&lt;&gt;""),"",IF($C251="","",$C251+365-TODAY()))</f>
        <v>168</v>
      </c>
      <c r="N251" s="11">
        <f ca="1">IF(AND(TRIM($A251)="Finalized",$K251&lt;&gt;""),"",IF($C251="","",$C251+120-TODAY()))</f>
        <v>-77</v>
      </c>
      <c r="O251" s="9">
        <f>IF(AND(TRIM($A251)="Finalized",$K251&lt;&gt;""),"",DATE(2027,3,2))</f>
        <v>46448</v>
      </c>
      <c r="P251" s="8" t="s">
        <v>73</v>
      </c>
      <c r="Q251" s="8" t="s">
        <v>739</v>
      </c>
      <c r="R251" s="8" t="s">
        <v>73</v>
      </c>
      <c r="S251" s="8" t="s">
        <v>74</v>
      </c>
      <c r="T251" s="8" t="s">
        <v>208</v>
      </c>
      <c r="U251" s="8" t="s">
        <v>74</v>
      </c>
      <c r="V251" s="8" t="s">
        <v>256</v>
      </c>
      <c r="W251" s="8" t="s">
        <v>76</v>
      </c>
      <c r="X251" s="8"/>
      <c r="Y251" s="8"/>
      <c r="Z251" s="8"/>
      <c r="AA251" s="8" t="s">
        <v>77</v>
      </c>
      <c r="AB251" s="10">
        <v>5784.24</v>
      </c>
      <c r="AC251" s="10">
        <v>0</v>
      </c>
      <c r="AD251" s="10">
        <v>0</v>
      </c>
      <c r="AE251" s="9">
        <v>46107</v>
      </c>
      <c r="AF251" s="10">
        <v>5784.24</v>
      </c>
      <c r="AG251" s="7">
        <v>159</v>
      </c>
      <c r="AH251" s="8" t="s">
        <v>78</v>
      </c>
      <c r="AI251" s="8" t="s">
        <v>79</v>
      </c>
      <c r="AJ251" s="8"/>
      <c r="AK251" s="8"/>
      <c r="AL251" s="7"/>
      <c r="AM251" s="8" t="s">
        <v>217</v>
      </c>
      <c r="AN251" s="8" t="s">
        <v>109</v>
      </c>
      <c r="AO251" s="9">
        <v>46105</v>
      </c>
    </row>
    <row r="252" spans="1:41" x14ac:dyDescent="0.25">
      <c r="A252" s="5" t="str">
        <f>IFERROR(IF(INDEX([3]ORTHO!$A$2:$A$16,MATCH($D252,[3]ORTHO!$D$2:$D$16,0))="","",INDEX([3]ORTHO!$A$2:$A$16,MATCH($D252,[3]ORTHO!$D$2:$D$16,0))),"")</f>
        <v>Denied</v>
      </c>
      <c r="B252" s="5" t="str">
        <f>IFERROR(IF(INDEX([3]ORTHO!$B$2:$B$16,MATCH($D252,[3]ORTHO!$D$2:$D$16,0))="","",INDEX([3]ORTHO!$B$2:$B$16,MATCH($D252,[3]ORTHO!$D$2:$D$16,0))),"")</f>
        <v>Claim sent back for reprocessing - Confirmation Number: 4726257491890 - Rendering provider MCCUNNIFF - DND Missing/incomplete/invalid credentialing data</v>
      </c>
      <c r="C252" s="6">
        <f>IFERROR(IF(INDEX([3]ORTHO!$C$2:$C$16,MATCH($D252,[3]ORTHO!$D$2:$D$16,0))="","",INDEX([3]ORTHO!$C$2:$C$16,MATCH($D252,[3]ORTHO!$D$2:$D$16,0))),"")</f>
        <v>46203</v>
      </c>
      <c r="D252" s="7">
        <v>552282896</v>
      </c>
      <c r="E252" s="8" t="s">
        <v>821</v>
      </c>
      <c r="F252" s="9">
        <v>46085</v>
      </c>
      <c r="G252" s="8" t="s">
        <v>171</v>
      </c>
      <c r="H252" s="8" t="s">
        <v>171</v>
      </c>
      <c r="I252" s="8" t="s">
        <v>123</v>
      </c>
      <c r="J252" s="8" t="s">
        <v>344</v>
      </c>
      <c r="K252" s="6">
        <f>IFERROR(IF(INDEX([3]ORTHO!$K$2:$K$16,MATCH($D252,[3]ORTHO!$D$2:$D$16,0))="","",INDEX([3]ORTHO!$K$2:$K$16,MATCH($D252,[3]ORTHO!$D$2:$D$16,0))),"")</f>
        <v>46279</v>
      </c>
      <c r="L252" s="11">
        <f ca="1">IF($O252="","",$O252-TODAY())</f>
        <v>146</v>
      </c>
      <c r="M252" s="11">
        <f ca="1">IF(AND(TRIM($A252)="Finalized",$K252&lt;&gt;""),"",IF($C252="","",$C252+365-TODAY()))</f>
        <v>264</v>
      </c>
      <c r="N252" s="11">
        <f ca="1">IF(AND(TRIM($A252)="Finalized",$K252&lt;&gt;""),"",IF($C252="","",$C252+120-TODAY()))</f>
        <v>19</v>
      </c>
      <c r="O252" s="9">
        <f>IF(AND(TRIM($A252)="Finalized",$K252&lt;&gt;""),"",DATE(2027,3,4))</f>
        <v>46450</v>
      </c>
      <c r="P252" s="8" t="s">
        <v>73</v>
      </c>
      <c r="Q252" s="8" t="s">
        <v>739</v>
      </c>
      <c r="R252" s="8" t="s">
        <v>73</v>
      </c>
      <c r="S252" s="8" t="s">
        <v>74</v>
      </c>
      <c r="T252" s="8" t="s">
        <v>208</v>
      </c>
      <c r="U252" s="8" t="s">
        <v>74</v>
      </c>
      <c r="V252" s="8" t="s">
        <v>256</v>
      </c>
      <c r="W252" s="8" t="s">
        <v>76</v>
      </c>
      <c r="X252" s="8"/>
      <c r="Y252" s="8"/>
      <c r="Z252" s="8"/>
      <c r="AA252" s="8" t="s">
        <v>77</v>
      </c>
      <c r="AB252" s="10">
        <v>9056.39</v>
      </c>
      <c r="AC252" s="10">
        <v>0</v>
      </c>
      <c r="AD252" s="10">
        <v>0</v>
      </c>
      <c r="AE252" s="9">
        <v>46203</v>
      </c>
      <c r="AF252" s="10">
        <v>9056.39</v>
      </c>
      <c r="AG252" s="7">
        <v>157</v>
      </c>
      <c r="AH252" s="8" t="s">
        <v>233</v>
      </c>
      <c r="AI252" s="8" t="s">
        <v>215</v>
      </c>
      <c r="AJ252" s="8" t="s">
        <v>270</v>
      </c>
      <c r="AK252" s="8" t="s">
        <v>585</v>
      </c>
      <c r="AL252" s="7"/>
      <c r="AM252" s="8" t="s">
        <v>272</v>
      </c>
      <c r="AN252" s="8" t="s">
        <v>109</v>
      </c>
      <c r="AO252" s="9">
        <v>46197</v>
      </c>
    </row>
    <row r="253" spans="1:41" x14ac:dyDescent="0.25">
      <c r="A253" s="5" t="str">
        <f>IFERROR(IF(INDEX([3]US!$A$2:$A$15,MATCH($D253,[3]US!$D$2:$D$15,0))="","",INDEX([3]US!$A$2:$A$15,MATCH($D253,[3]US!$D$2:$D$15,0))),"")</f>
        <v>Denied</v>
      </c>
      <c r="B253" s="5" t="str">
        <f>IFERROR(IF(INDEX([3]US!$B$2:$B$15,MATCH($D253,[3]US!$D$2:$D$15,0))="","",INDEX([3]US!$B$2:$B$15,MATCH($D253,[3]US!$D$2:$D$15,0))),"")</f>
        <v>Corrected ordering/referring provider, and resubmitted</v>
      </c>
      <c r="C253" s="6">
        <f>IFERROR(IF(INDEX([3]US!$C$2:$C$15,MATCH($D253,[3]US!$D$2:$D$15,0))="","",INDEX([3]US!$C$2:$C$15,MATCH($D253,[3]US!$D$2:$D$15,0))),"")</f>
        <v>46113</v>
      </c>
      <c r="D253" s="7">
        <v>571606148</v>
      </c>
      <c r="E253" s="8" t="s">
        <v>801</v>
      </c>
      <c r="F253" s="9">
        <v>46091</v>
      </c>
      <c r="G253" s="8" t="s">
        <v>171</v>
      </c>
      <c r="H253" s="8" t="s">
        <v>171</v>
      </c>
      <c r="I253" s="8" t="s">
        <v>750</v>
      </c>
      <c r="J253" s="8" t="s">
        <v>135</v>
      </c>
      <c r="K253" s="6">
        <f>IFERROR(IF(INDEX([3]US!$K$2:$K$15,MATCH($D253,[3]US!$D$2:$D$15,0))="","",INDEX([3]US!$K$2:$K$15,MATCH($D253,[3]US!$D$2:$D$15,0))),"")</f>
        <v>46278</v>
      </c>
      <c r="L253" s="11">
        <f ca="1">IF($O253="","",$O253-TODAY())</f>
        <v>152</v>
      </c>
      <c r="M253" s="11">
        <f ca="1">IF(AND(TRIM($A253)="Finalized",$K253&lt;&gt;""),"",IF($C253="","",$C253+365-TODAY()))</f>
        <v>174</v>
      </c>
      <c r="N253" s="11">
        <f ca="1">IF(AND(TRIM($A253)="Finalized",$K253&lt;&gt;""),"",IF($C253="","",$C253+120-TODAY()))</f>
        <v>-71</v>
      </c>
      <c r="O253" s="9">
        <f>IF(AND(TRIM($A253)="Finalized",$K253&lt;&gt;""),"",DATE(2027,3,10))</f>
        <v>46456</v>
      </c>
      <c r="P253" s="8" t="s">
        <v>73</v>
      </c>
      <c r="Q253" s="8" t="s">
        <v>739</v>
      </c>
      <c r="R253" s="8" t="s">
        <v>73</v>
      </c>
      <c r="S253" s="8" t="s">
        <v>74</v>
      </c>
      <c r="T253" s="8" t="s">
        <v>208</v>
      </c>
      <c r="U253" s="8" t="s">
        <v>74</v>
      </c>
      <c r="V253" s="8" t="s">
        <v>256</v>
      </c>
      <c r="W253" s="8" t="s">
        <v>129</v>
      </c>
      <c r="X253" s="8"/>
      <c r="Y253" s="8"/>
      <c r="Z253" s="8"/>
      <c r="AA253" s="8" t="s">
        <v>77</v>
      </c>
      <c r="AB253" s="10">
        <v>1294.23</v>
      </c>
      <c r="AC253" s="10">
        <v>0</v>
      </c>
      <c r="AD253" s="10">
        <v>0</v>
      </c>
      <c r="AE253" s="9">
        <v>46113</v>
      </c>
      <c r="AF253" s="10">
        <v>1294.23</v>
      </c>
      <c r="AG253" s="7">
        <v>151</v>
      </c>
      <c r="AH253" s="8" t="s">
        <v>825</v>
      </c>
      <c r="AI253" s="8" t="s">
        <v>175</v>
      </c>
      <c r="AJ253" s="8" t="s">
        <v>329</v>
      </c>
      <c r="AK253" s="8"/>
      <c r="AL253" s="7"/>
      <c r="AM253" s="8" t="s">
        <v>157</v>
      </c>
      <c r="AN253" s="8" t="s">
        <v>158</v>
      </c>
      <c r="AO253" s="9">
        <v>46106</v>
      </c>
    </row>
    <row r="254" spans="1:41" x14ac:dyDescent="0.25">
      <c r="A254" s="5" t="str">
        <f>IFERROR(IF(INDEX([3]BH!$A$2:$A$32,MATCH($D254,[3]BH!$D$2:$D$32,0))="","",INDEX([3]BH!$A$2:$A$32,MATCH($D254,[3]BH!$D$2:$D$32,0))),"")</f>
        <v>Pending</v>
      </c>
      <c r="B254" s="5" t="str">
        <f>IFERROR(IF(INDEX([3]BH!$B$2:$B$32,MATCH($D254,[3]BH!$D$2:$D$32,0))="","",INDEX([3]BH!$B$2:$B$32,MATCH($D254,[3]BH!$D$2:$D$32,0))),"")</f>
        <v>secondary - Primary paid - Updated Supplemental insurance info, and resubmitted</v>
      </c>
      <c r="C254" s="6">
        <f>IFERROR(IF(INDEX([3]BH!$C$2:$C$32,MATCH($D254,[3]BH!$D$2:$D$32,0))="","",INDEX([3]BH!$C$2:$C$32,MATCH($D254,[3]BH!$D$2:$D$32,0))),"")</f>
        <v>46283</v>
      </c>
      <c r="D254" s="7">
        <v>552644739</v>
      </c>
      <c r="E254" s="8" t="s">
        <v>827</v>
      </c>
      <c r="F254" s="9">
        <v>46093</v>
      </c>
      <c r="G254" s="8" t="s">
        <v>171</v>
      </c>
      <c r="H254" s="8" t="s">
        <v>171</v>
      </c>
      <c r="I254" s="8" t="s">
        <v>750</v>
      </c>
      <c r="J254" s="8" t="s">
        <v>195</v>
      </c>
      <c r="K254" s="6">
        <f>IFERROR(IF(INDEX([3]BH!$K$2:$K$32,MATCH($D254,[3]BH!$D$2:$D$32,0))="","",INDEX([3]BH!$K$2:$K$32,MATCH($D254,[3]BH!$D$2:$D$32,0))),"")</f>
        <v>46290</v>
      </c>
      <c r="L254" s="11">
        <f ca="1">IF($O254="","",$O254-TODAY())</f>
        <v>154</v>
      </c>
      <c r="M254" s="11">
        <f ca="1">IF(AND(TRIM($A254)="Finalized",$K254&lt;&gt;""),"",IF($C254="","",$C254+365-TODAY()))</f>
        <v>344</v>
      </c>
      <c r="N254" s="11">
        <f ca="1">IF(AND(TRIM($A254)="Finalized",$K254&lt;&gt;""),"",IF($C254="","",$C254+120-TODAY()))</f>
        <v>99</v>
      </c>
      <c r="O254" s="9">
        <f>IF(AND(TRIM($A254)="Finalized",$K254&lt;&gt;""),"",DATE(2027,3,12))</f>
        <v>46458</v>
      </c>
      <c r="P254" s="8" t="s">
        <v>73</v>
      </c>
      <c r="Q254" s="8" t="s">
        <v>739</v>
      </c>
      <c r="R254" s="8" t="s">
        <v>73</v>
      </c>
      <c r="S254" s="8" t="s">
        <v>74</v>
      </c>
      <c r="T254" s="8" t="s">
        <v>208</v>
      </c>
      <c r="U254" s="8" t="s">
        <v>74</v>
      </c>
      <c r="V254" s="8" t="s">
        <v>256</v>
      </c>
      <c r="W254" s="8" t="s">
        <v>118</v>
      </c>
      <c r="X254" s="8"/>
      <c r="Y254" s="8"/>
      <c r="Z254" s="8"/>
      <c r="AA254" s="8" t="s">
        <v>77</v>
      </c>
      <c r="AB254" s="10">
        <v>1426.25</v>
      </c>
      <c r="AC254" s="10">
        <v>0</v>
      </c>
      <c r="AD254" s="10">
        <v>0</v>
      </c>
      <c r="AE254" s="9"/>
      <c r="AF254" s="10">
        <v>1426.25</v>
      </c>
      <c r="AG254" s="7">
        <v>149</v>
      </c>
      <c r="AH254" s="8" t="s">
        <v>161</v>
      </c>
      <c r="AI254" s="8"/>
      <c r="AJ254" s="8"/>
      <c r="AK254" s="8"/>
      <c r="AL254" s="7"/>
      <c r="AM254" s="8" t="s">
        <v>154</v>
      </c>
      <c r="AN254" s="8" t="s">
        <v>132</v>
      </c>
      <c r="AO254" s="9">
        <v>46119</v>
      </c>
    </row>
    <row r="255" spans="1:41" x14ac:dyDescent="0.25">
      <c r="A255" s="5" t="str">
        <f>IFERROR(IF(INDEX([3]ORTHO!$A$2:$A$16,MATCH($D255,[3]ORTHO!$D$2:$D$16,0))="","",INDEX([3]ORTHO!$A$2:$A$16,MATCH($D255,[3]ORTHO!$D$2:$D$16,0))),"")</f>
        <v>Pending</v>
      </c>
      <c r="B255" s="5" t="str">
        <f>IFERROR(IF(INDEX([3]ORTHO!$B$2:$B$16,MATCH($D255,[3]ORTHO!$D$2:$D$16,0))="","",INDEX([3]ORTHO!$B$2:$B$16,MATCH($D255,[3]ORTHO!$D$2:$D$16,0))),"")</f>
        <v>Payment approved - DX updated new one M54.16 resubmitted by Felipe - DND These are non-covered services because this is not deemed a 'medical necessity' by the payer</v>
      </c>
      <c r="C255" s="6">
        <f>IFERROR(IF(INDEX([3]ORTHO!$C$2:$C$16,MATCH($D255,[3]ORTHO!$D$2:$D$16,0))="","",INDEX([3]ORTHO!$C$2:$C$16,MATCH($D255,[3]ORTHO!$D$2:$D$16,0))),"")</f>
        <v>46108</v>
      </c>
      <c r="D255" s="7">
        <v>553223068</v>
      </c>
      <c r="E255" s="8" t="s">
        <v>833</v>
      </c>
      <c r="F255" s="9">
        <v>46099</v>
      </c>
      <c r="G255" s="8" t="s">
        <v>171</v>
      </c>
      <c r="H255" s="8" t="s">
        <v>171</v>
      </c>
      <c r="I255" s="8" t="s">
        <v>123</v>
      </c>
      <c r="J255" s="8" t="s">
        <v>70</v>
      </c>
      <c r="K255" s="6">
        <f>IFERROR(IF(INDEX([3]ORTHO!$K$2:$K$16,MATCH($D255,[3]ORTHO!$D$2:$D$16,0))="","",INDEX([3]ORTHO!$K$2:$K$16,MATCH($D255,[3]ORTHO!$D$2:$D$16,0))),"")</f>
        <v>46266</v>
      </c>
      <c r="L255" s="11">
        <f ca="1">IF($O255="","",$O255-TODAY())</f>
        <v>160</v>
      </c>
      <c r="M255" s="11">
        <f ca="1">IF(AND(TRIM($A255)="Finalized",$K255&lt;&gt;""),"",IF($C255="","",$C255+365-TODAY()))</f>
        <v>169</v>
      </c>
      <c r="N255" s="11">
        <f ca="1">IF(AND(TRIM($A255)="Finalized",$K255&lt;&gt;""),"",IF($C255="","",$C255+120-TODAY()))</f>
        <v>-76</v>
      </c>
      <c r="O255" s="9">
        <f>IF(AND(TRIM($A255)="Finalized",$K255&lt;&gt;""),"",DATE(2027,3,18))</f>
        <v>46464</v>
      </c>
      <c r="P255" s="8" t="s">
        <v>73</v>
      </c>
      <c r="Q255" s="8" t="s">
        <v>739</v>
      </c>
      <c r="R255" s="8" t="s">
        <v>73</v>
      </c>
      <c r="S255" s="8" t="s">
        <v>74</v>
      </c>
      <c r="T255" s="8" t="s">
        <v>208</v>
      </c>
      <c r="U255" s="8" t="s">
        <v>74</v>
      </c>
      <c r="V255" s="8" t="s">
        <v>256</v>
      </c>
      <c r="W255" s="8" t="s">
        <v>76</v>
      </c>
      <c r="X255" s="8"/>
      <c r="Y255" s="8"/>
      <c r="Z255" s="8"/>
      <c r="AA255" s="8" t="s">
        <v>77</v>
      </c>
      <c r="AB255" s="10">
        <v>2493.33</v>
      </c>
      <c r="AC255" s="10">
        <v>0</v>
      </c>
      <c r="AD255" s="10">
        <v>0</v>
      </c>
      <c r="AE255" s="9">
        <v>46108</v>
      </c>
      <c r="AF255" s="10">
        <v>2493.33</v>
      </c>
      <c r="AG255" s="7">
        <v>143</v>
      </c>
      <c r="AH255" s="8" t="s">
        <v>834</v>
      </c>
      <c r="AI255" s="8" t="s">
        <v>835</v>
      </c>
      <c r="AJ255" s="8"/>
      <c r="AK255" s="8"/>
      <c r="AL255" s="7"/>
      <c r="AM255" s="8" t="s">
        <v>543</v>
      </c>
      <c r="AN255" s="8" t="s">
        <v>81</v>
      </c>
      <c r="AO255" s="9">
        <v>46101</v>
      </c>
    </row>
    <row r="256" spans="1:41" x14ac:dyDescent="0.25">
      <c r="A256" s="5" t="str">
        <f>IFERROR(IF(INDEX([3]ORTHO!$A$2:$A$16,MATCH($D256,[3]ORTHO!$D$2:$D$16,0))="","",INDEX([3]ORTHO!$A$2:$A$16,MATCH($D256,[3]ORTHO!$D$2:$D$16,0))),"")</f>
        <v>Denied</v>
      </c>
      <c r="B256" s="5" t="str">
        <f>IFERROR(IF(INDEX([3]ORTHO!$B$2:$B$16,MATCH($D256,[3]ORTHO!$D$2:$D$16,0))="","",INDEX([3]ORTHO!$B$2:$B$16,MATCH($D256,[3]ORTHO!$D$2:$D$16,0))),"")</f>
        <v>Claim sent back for reprocessing - Confirmation Number: 4726257492330 - Rendering provider MCCUNNIFF - DND Missing/incomplete/invalid credentialing data</v>
      </c>
      <c r="C256" s="6">
        <f>IFERROR(IF(INDEX([3]ORTHO!$C$2:$C$16,MATCH($D256,[3]ORTHO!$D$2:$D$16,0))="","",INDEX([3]ORTHO!$C$2:$C$16,MATCH($D256,[3]ORTHO!$D$2:$D$16,0))),"")</f>
        <v>46203</v>
      </c>
      <c r="D256" s="7">
        <v>555372244</v>
      </c>
      <c r="E256" s="8" t="s">
        <v>836</v>
      </c>
      <c r="F256" s="9">
        <v>46104</v>
      </c>
      <c r="G256" s="8" t="s">
        <v>171</v>
      </c>
      <c r="H256" s="8" t="s">
        <v>171</v>
      </c>
      <c r="I256" s="8" t="s">
        <v>123</v>
      </c>
      <c r="J256" s="8" t="s">
        <v>837</v>
      </c>
      <c r="K256" s="6">
        <f>IFERROR(IF(INDEX([3]ORTHO!$K$2:$K$16,MATCH($D256,[3]ORTHO!$D$2:$D$16,0))="","",INDEX([3]ORTHO!$K$2:$K$16,MATCH($D256,[3]ORTHO!$D$2:$D$16,0))),"")</f>
        <v>46279</v>
      </c>
      <c r="L256" s="11">
        <f ca="1">IF($O256="","",$O256-TODAY())</f>
        <v>165</v>
      </c>
      <c r="M256" s="11">
        <f ca="1">IF(AND(TRIM($A256)="Finalized",$K256&lt;&gt;""),"",IF($C256="","",$C256+365-TODAY()))</f>
        <v>264</v>
      </c>
      <c r="N256" s="11">
        <f ca="1">IF(AND(TRIM($A256)="Finalized",$K256&lt;&gt;""),"",IF($C256="","",$C256+120-TODAY()))</f>
        <v>19</v>
      </c>
      <c r="O256" s="9">
        <f>IF(AND(TRIM($A256)="Finalized",$K256&lt;&gt;""),"",DATE(2027,3,23))</f>
        <v>46469</v>
      </c>
      <c r="P256" s="8" t="s">
        <v>73</v>
      </c>
      <c r="Q256" s="8" t="s">
        <v>739</v>
      </c>
      <c r="R256" s="8" t="s">
        <v>73</v>
      </c>
      <c r="S256" s="8" t="s">
        <v>74</v>
      </c>
      <c r="T256" s="8" t="s">
        <v>208</v>
      </c>
      <c r="U256" s="8" t="s">
        <v>74</v>
      </c>
      <c r="V256" s="8" t="s">
        <v>256</v>
      </c>
      <c r="W256" s="8" t="s">
        <v>76</v>
      </c>
      <c r="X256" s="8" t="s">
        <v>838</v>
      </c>
      <c r="Y256" s="8"/>
      <c r="Z256" s="8"/>
      <c r="AA256" s="8" t="s">
        <v>77</v>
      </c>
      <c r="AB256" s="10">
        <v>19949.23</v>
      </c>
      <c r="AC256" s="10">
        <v>0</v>
      </c>
      <c r="AD256" s="10">
        <v>0</v>
      </c>
      <c r="AE256" s="9">
        <v>46203</v>
      </c>
      <c r="AF256" s="10">
        <v>19949.23</v>
      </c>
      <c r="AG256" s="7">
        <v>138</v>
      </c>
      <c r="AH256" s="8" t="s">
        <v>839</v>
      </c>
      <c r="AI256" s="8" t="s">
        <v>840</v>
      </c>
      <c r="AJ256" s="8" t="s">
        <v>324</v>
      </c>
      <c r="AK256" s="8" t="s">
        <v>79</v>
      </c>
      <c r="AL256" s="7"/>
      <c r="AM256" s="8" t="s">
        <v>272</v>
      </c>
      <c r="AN256" s="8" t="s">
        <v>109</v>
      </c>
      <c r="AO256" s="9">
        <v>46197</v>
      </c>
    </row>
    <row r="257" spans="1:41" x14ac:dyDescent="0.25">
      <c r="A257" s="5" t="str">
        <f>IFERROR(IF(INDEX([3]DME!$A$2:$A$11,MATCH($D257,[3]DME!$D$2:$D$11,0))="","",INDEX([3]DME!$A$2:$A$11,MATCH($D257,[3]DME!$D$2:$D$11,0))),"")</f>
        <v>Denied</v>
      </c>
      <c r="B257" s="5" t="str">
        <f>IFERROR(IF(INDEX([3]DME!$B$2:$B$11,MATCH($D257,[3]DME!$D$2:$D$11,0))="","",INDEX([3]DME!$B$2:$B$11,MATCH($D257,[3]DME!$D$2:$D$11,0))),"")</f>
        <v xml:space="preserve">Added UTN, and resubmitted - DND no auth </v>
      </c>
      <c r="C257" s="6">
        <f>IFERROR(IF(INDEX([3]DME!$C$2:$C$11,MATCH($D257,[3]DME!$D$2:$D$11,0))="","",INDEX([3]DME!$C$2:$C$11,MATCH($D257,[3]DME!$D$2:$D$11,0))),"")</f>
        <v>46122</v>
      </c>
      <c r="D257" s="7">
        <v>554946837</v>
      </c>
      <c r="E257" s="8" t="s">
        <v>841</v>
      </c>
      <c r="F257" s="9">
        <v>46104</v>
      </c>
      <c r="G257" s="8" t="s">
        <v>437</v>
      </c>
      <c r="H257" s="8" t="s">
        <v>437</v>
      </c>
      <c r="I257" s="8" t="s">
        <v>84</v>
      </c>
      <c r="J257" s="8" t="s">
        <v>649</v>
      </c>
      <c r="K257" s="6">
        <f>IFERROR(IF(INDEX([3]DME!$K$2:$K$11,MATCH($D257,[3]DME!$D$2:$D$11,0))="","",INDEX([3]DME!$K$2:$K$11,MATCH($D257,[3]DME!$D$2:$D$11,0))),"")</f>
        <v>46300</v>
      </c>
      <c r="L257" s="11">
        <f ca="1">IF($O257="","",$O257-TODAY())</f>
        <v>165</v>
      </c>
      <c r="M257" s="11">
        <f ca="1">IF(AND(TRIM($A257)="Finalized",$K257&lt;&gt;""),"",IF($C257="","",$C257+365-TODAY()))</f>
        <v>183</v>
      </c>
      <c r="N257" s="11">
        <f ca="1">IF(AND(TRIM($A257)="Finalized",$K257&lt;&gt;""),"",IF($C257="","",$C257+120-TODAY()))</f>
        <v>-62</v>
      </c>
      <c r="O257" s="9">
        <f>IF(AND(TRIM($A257)="Finalized",$K257&lt;&gt;""),"",DATE(2027,3,23))</f>
        <v>46469</v>
      </c>
      <c r="P257" s="8" t="s">
        <v>73</v>
      </c>
      <c r="Q257" s="8" t="s">
        <v>739</v>
      </c>
      <c r="R257" s="8" t="s">
        <v>73</v>
      </c>
      <c r="S257" s="8" t="s">
        <v>74</v>
      </c>
      <c r="T257" s="8" t="s">
        <v>208</v>
      </c>
      <c r="U257" s="8" t="s">
        <v>74</v>
      </c>
      <c r="V257" s="8" t="s">
        <v>256</v>
      </c>
      <c r="W257" s="8" t="s">
        <v>89</v>
      </c>
      <c r="X257" s="8" t="s">
        <v>232</v>
      </c>
      <c r="Y257" s="8"/>
      <c r="Z257" s="8"/>
      <c r="AA257" s="8" t="s">
        <v>77</v>
      </c>
      <c r="AB257" s="10">
        <v>6392.96</v>
      </c>
      <c r="AC257" s="10">
        <v>0</v>
      </c>
      <c r="AD257" s="10">
        <v>0</v>
      </c>
      <c r="AE257" s="9">
        <v>46122</v>
      </c>
      <c r="AF257" s="10">
        <v>6392.96</v>
      </c>
      <c r="AG257" s="7">
        <v>138</v>
      </c>
      <c r="AH257" s="8" t="s">
        <v>319</v>
      </c>
      <c r="AI257" s="8" t="s">
        <v>575</v>
      </c>
      <c r="AJ257" s="8" t="s">
        <v>145</v>
      </c>
      <c r="AK257" s="8"/>
      <c r="AL257" s="7"/>
      <c r="AM257" s="8" t="s">
        <v>806</v>
      </c>
      <c r="AN257" s="8" t="s">
        <v>743</v>
      </c>
      <c r="AO257" s="9">
        <v>46118</v>
      </c>
    </row>
    <row r="258" spans="1:41" x14ac:dyDescent="0.25">
      <c r="A258" s="5" t="str">
        <f>IFERROR(IF(INDEX([3]ORTHO!$A$2:$A$16,MATCH($D258,[3]ORTHO!$D$2:$D$16,0))="","",INDEX([3]ORTHO!$A$2:$A$16,MATCH($D258,[3]ORTHO!$D$2:$D$16,0))),"")</f>
        <v>Pending</v>
      </c>
      <c r="B258" s="5" t="str">
        <f>IFERROR(IF(INDEX([3]ORTHO!$B$2:$B$16,MATCH($D258,[3]ORTHO!$D$2:$D$16,0))="","",INDEX([3]ORTHO!$B$2:$B$16,MATCH($D258,[3]ORTHO!$D$2:$D$16,0))),"")</f>
        <v xml:space="preserve">secondary - Added COB info to crossover electronically - Primary paid </v>
      </c>
      <c r="C258" s="6">
        <f>IFERROR(IF(INDEX([3]ORTHO!$C$2:$C$16,MATCH($D258,[3]ORTHO!$D$2:$D$16,0))="","",INDEX([3]ORTHO!$C$2:$C$16,MATCH($D258,[3]ORTHO!$D$2:$D$16,0))),"")</f>
        <v>46122</v>
      </c>
      <c r="D258" s="7">
        <v>553825634</v>
      </c>
      <c r="E258" s="8" t="s">
        <v>844</v>
      </c>
      <c r="F258" s="9">
        <v>46106</v>
      </c>
      <c r="G258" s="8" t="s">
        <v>332</v>
      </c>
      <c r="H258" s="8" t="s">
        <v>171</v>
      </c>
      <c r="I258" s="8" t="s">
        <v>332</v>
      </c>
      <c r="J258" s="8" t="s">
        <v>70</v>
      </c>
      <c r="K258" s="6">
        <f>IFERROR(IF(INDEX([3]ORTHO!$K$2:$K$16,MATCH($D258,[3]ORTHO!$D$2:$D$16,0))="","",INDEX([3]ORTHO!$K$2:$K$16,MATCH($D258,[3]ORTHO!$D$2:$D$16,0))),"")</f>
        <v>46279</v>
      </c>
      <c r="L258" s="11">
        <f ca="1">IF($O258="","",$O258-TODAY())</f>
        <v>167</v>
      </c>
      <c r="M258" s="11">
        <f ca="1">IF(AND(TRIM($A258)="Finalized",$K258&lt;&gt;""),"",IF($C258="","",$C258+365-TODAY()))</f>
        <v>183</v>
      </c>
      <c r="N258" s="11">
        <f ca="1">IF(AND(TRIM($A258)="Finalized",$K258&lt;&gt;""),"",IF($C258="","",$C258+120-TODAY()))</f>
        <v>-62</v>
      </c>
      <c r="O258" s="9">
        <f>IF(AND(TRIM($A258)="Finalized",$K258&lt;&gt;""),"",DATE(2027,3,25))</f>
        <v>46471</v>
      </c>
      <c r="P258" s="8" t="s">
        <v>73</v>
      </c>
      <c r="Q258" s="8" t="s">
        <v>739</v>
      </c>
      <c r="R258" s="8" t="s">
        <v>73</v>
      </c>
      <c r="S258" s="8" t="s">
        <v>74</v>
      </c>
      <c r="T258" s="8" t="s">
        <v>208</v>
      </c>
      <c r="U258" s="8" t="s">
        <v>74</v>
      </c>
      <c r="V258" s="8" t="s">
        <v>256</v>
      </c>
      <c r="W258" s="8" t="s">
        <v>76</v>
      </c>
      <c r="X258" s="8"/>
      <c r="Y258" s="8"/>
      <c r="Z258" s="8"/>
      <c r="AA258" s="8" t="s">
        <v>77</v>
      </c>
      <c r="AB258" s="10">
        <v>2493.33</v>
      </c>
      <c r="AC258" s="10">
        <v>2351.73</v>
      </c>
      <c r="AD258" s="10">
        <v>110.6</v>
      </c>
      <c r="AE258" s="9">
        <v>46122</v>
      </c>
      <c r="AF258" s="10">
        <v>31</v>
      </c>
      <c r="AG258" s="7">
        <v>136</v>
      </c>
      <c r="AH258" s="8" t="s">
        <v>149</v>
      </c>
      <c r="AI258" s="8"/>
      <c r="AJ258" s="8"/>
      <c r="AK258" s="8"/>
      <c r="AL258" s="7">
        <v>557571095</v>
      </c>
      <c r="AM258" s="8" t="s">
        <v>157</v>
      </c>
      <c r="AN258" s="8" t="s">
        <v>81</v>
      </c>
      <c r="AO258" s="9">
        <v>46107</v>
      </c>
    </row>
    <row r="259" spans="1:41" x14ac:dyDescent="0.25">
      <c r="A259" s="5" t="str">
        <f>IFERROR(IF(INDEX([3]BH!$A$2:$A$32,MATCH($D259,[3]BH!$D$2:$D$32,0))="","",INDEX([3]BH!$A$2:$A$32,MATCH($D259,[3]BH!$D$2:$D$32,0))),"")</f>
        <v>Under Review</v>
      </c>
      <c r="B259" s="5" t="str">
        <f>IFERROR(IF(INDEX([3]BH!$B$2:$B$32,MATCH($D259,[3]BH!$D$2:$D$32,0))="","",INDEX([3]BH!$B$2:$B$32,MATCH($D259,[3]BH!$D$2:$D$32,0))),"")</f>
        <v>Waiting for payment to be posted, so I can cross over to secondary - Primary paid - Edited rendering and referral provider, and resubmitted - Invalid rendering provider NPIInvalid rendering provider NPI - Rejected</v>
      </c>
      <c r="C259" s="6">
        <f>IFERROR(IF(INDEX([3]BH!$C$2:$C$32,MATCH($D259,[3]BH!$D$2:$D$32,0))="","",INDEX([3]BH!$C$2:$C$32,MATCH($D259,[3]BH!$D$2:$D$32,0))),"")</f>
        <v>46268</v>
      </c>
      <c r="D259" s="7">
        <v>555138984</v>
      </c>
      <c r="E259" s="8" t="s">
        <v>808</v>
      </c>
      <c r="F259" s="9">
        <v>46108</v>
      </c>
      <c r="G259" s="8" t="s">
        <v>171</v>
      </c>
      <c r="H259" s="8" t="s">
        <v>171</v>
      </c>
      <c r="I259" s="8" t="s">
        <v>123</v>
      </c>
      <c r="J259" s="8" t="s">
        <v>203</v>
      </c>
      <c r="K259" s="6">
        <f>IFERROR(IF(INDEX([3]BH!$K$2:$K$32,MATCH($D259,[3]BH!$D$2:$D$32,0))="","",INDEX([3]BH!$K$2:$K$32,MATCH($D259,[3]BH!$D$2:$D$32,0))),"")</f>
        <v>46254</v>
      </c>
      <c r="L259" s="11">
        <f ca="1">IF($O259="","",$O259-TODAY())</f>
        <v>169</v>
      </c>
      <c r="M259" s="11">
        <f ca="1">IF(AND(TRIM($A259)="Finalized",$K259&lt;&gt;""),"",IF($C259="","",$C259+365-TODAY()))</f>
        <v>329</v>
      </c>
      <c r="N259" s="11">
        <f ca="1">IF(AND(TRIM($A259)="Finalized",$K259&lt;&gt;""),"",IF($C259="","",$C259+120-TODAY()))</f>
        <v>84</v>
      </c>
      <c r="O259" s="9">
        <f>IF(AND(TRIM($A259)="Finalized",$K259&lt;&gt;""),"",DATE(2027,3,27))</f>
        <v>46473</v>
      </c>
      <c r="P259" s="8" t="s">
        <v>73</v>
      </c>
      <c r="Q259" s="8" t="s">
        <v>739</v>
      </c>
      <c r="R259" s="8" t="s">
        <v>73</v>
      </c>
      <c r="S259" s="8" t="s">
        <v>74</v>
      </c>
      <c r="T259" s="8" t="s">
        <v>208</v>
      </c>
      <c r="U259" s="8" t="s">
        <v>74</v>
      </c>
      <c r="V259" s="8" t="s">
        <v>256</v>
      </c>
      <c r="W259" s="8" t="s">
        <v>118</v>
      </c>
      <c r="X259" s="8"/>
      <c r="Y259" s="8"/>
      <c r="Z259" s="8"/>
      <c r="AA259" s="8" t="s">
        <v>77</v>
      </c>
      <c r="AB259" s="10">
        <v>1372.91</v>
      </c>
      <c r="AC259" s="10">
        <v>0</v>
      </c>
      <c r="AD259" s="10">
        <v>0</v>
      </c>
      <c r="AE259" s="9"/>
      <c r="AF259" s="10">
        <v>1372.91</v>
      </c>
      <c r="AG259" s="7">
        <v>134</v>
      </c>
      <c r="AH259" s="8" t="s">
        <v>119</v>
      </c>
      <c r="AI259" s="8"/>
      <c r="AJ259" s="8"/>
      <c r="AK259" s="8"/>
      <c r="AL259" s="7"/>
      <c r="AM259" s="8" t="s">
        <v>630</v>
      </c>
      <c r="AN259" s="8" t="s">
        <v>132</v>
      </c>
      <c r="AO259" s="9">
        <v>46119</v>
      </c>
    </row>
    <row r="260" spans="1:41" x14ac:dyDescent="0.25">
      <c r="A260" s="5" t="str">
        <f>IFERROR(IF(INDEX([3]BH!$A$2:$A$32,MATCH($D260,[3]BH!$D$2:$D$32,0))="","",INDEX([3]BH!$A$2:$A$32,MATCH($D260,[3]BH!$D$2:$D$32,0))),"")</f>
        <v>Pending</v>
      </c>
      <c r="B260" s="5" t="str">
        <f>IFERROR(IF(INDEX([3]BH!$B$2:$B$32,MATCH($D260,[3]BH!$D$2:$D$32,0))="","",INDEX([3]BH!$B$2:$B$32,MATCH($D260,[3]BH!$D$2:$D$32,0))),"")</f>
        <v xml:space="preserve">secondary - Medicare didn't crossover to Mercy Care - Transmit electronically - Primary paid </v>
      </c>
      <c r="C260" s="6">
        <f>IFERROR(IF(INDEX([3]BH!$C$2:$C$32,MATCH($D260,[3]BH!$D$2:$D$32,0))="","",INDEX([3]BH!$C$2:$C$32,MATCH($D260,[3]BH!$D$2:$D$32,0))),"")</f>
        <v>46134</v>
      </c>
      <c r="D260" s="7">
        <v>554160609</v>
      </c>
      <c r="E260" s="8" t="s">
        <v>845</v>
      </c>
      <c r="F260" s="9">
        <v>46108</v>
      </c>
      <c r="G260" s="8" t="s">
        <v>723</v>
      </c>
      <c r="H260" s="8" t="s">
        <v>171</v>
      </c>
      <c r="I260" s="8" t="s">
        <v>723</v>
      </c>
      <c r="J260" s="8" t="s">
        <v>203</v>
      </c>
      <c r="K260" s="6">
        <f>IFERROR(IF(INDEX([3]BH!$K$2:$K$32,MATCH($D260,[3]BH!$D$2:$D$32,0))="","",INDEX([3]BH!$K$2:$K$32,MATCH($D260,[3]BH!$D$2:$D$32,0))),"")</f>
        <v>46268</v>
      </c>
      <c r="L260" s="11">
        <f ca="1">IF($O260="","",$O260-TODAY())</f>
        <v>169</v>
      </c>
      <c r="M260" s="11">
        <f ca="1">IF(AND(TRIM($A260)="Finalized",$K260&lt;&gt;""),"",IF($C260="","",$C260+365-TODAY()))</f>
        <v>195</v>
      </c>
      <c r="N260" s="11">
        <f ca="1">IF(AND(TRIM($A260)="Finalized",$K260&lt;&gt;""),"",IF($C260="","",$C260+120-TODAY()))</f>
        <v>-50</v>
      </c>
      <c r="O260" s="9">
        <f>IF(AND(TRIM($A260)="Finalized",$K260&lt;&gt;""),"",DATE(2027,3,27))</f>
        <v>46473</v>
      </c>
      <c r="P260" s="8" t="s">
        <v>73</v>
      </c>
      <c r="Q260" s="8" t="s">
        <v>739</v>
      </c>
      <c r="R260" s="8" t="s">
        <v>73</v>
      </c>
      <c r="S260" s="8" t="s">
        <v>74</v>
      </c>
      <c r="T260" s="8" t="s">
        <v>208</v>
      </c>
      <c r="U260" s="8" t="s">
        <v>74</v>
      </c>
      <c r="V260" s="8" t="s">
        <v>256</v>
      </c>
      <c r="W260" s="8" t="s">
        <v>118</v>
      </c>
      <c r="X260" s="8"/>
      <c r="Y260" s="8"/>
      <c r="Z260" s="8"/>
      <c r="AA260" s="8" t="s">
        <v>77</v>
      </c>
      <c r="AB260" s="10">
        <v>1372.91</v>
      </c>
      <c r="AC260" s="10">
        <v>1184.44</v>
      </c>
      <c r="AD260" s="10">
        <v>148.02000000000001</v>
      </c>
      <c r="AE260" s="9">
        <v>46134</v>
      </c>
      <c r="AF260" s="10">
        <v>40.450000000000003</v>
      </c>
      <c r="AG260" s="7">
        <v>134</v>
      </c>
      <c r="AH260" s="8" t="s">
        <v>530</v>
      </c>
      <c r="AI260" s="8"/>
      <c r="AJ260" s="8"/>
      <c r="AK260" s="8"/>
      <c r="AL260" s="7">
        <v>559120425</v>
      </c>
      <c r="AM260" s="8" t="s">
        <v>165</v>
      </c>
      <c r="AN260" s="8" t="s">
        <v>132</v>
      </c>
      <c r="AO260" s="9">
        <v>46119</v>
      </c>
    </row>
    <row r="261" spans="1:41" x14ac:dyDescent="0.25">
      <c r="A261" s="5" t="str">
        <f>IFERROR(IF(INDEX([3]ORTHO!$A$2:$A$16,MATCH($D261,[3]ORTHO!$D$2:$D$16,0))="","",INDEX([3]ORTHO!$A$2:$A$16,MATCH($D261,[3]ORTHO!$D$2:$D$16,0))),"")</f>
        <v>Pending</v>
      </c>
      <c r="B261" s="5" t="str">
        <f>IFERROR(IF(INDEX([3]ORTHO!$B$2:$B$16,MATCH($D261,[3]ORTHO!$D$2:$D$16,0))="","",INDEX([3]ORTHO!$B$2:$B$16,MATCH($D261,[3]ORTHO!$D$2:$D$16,0))),"")</f>
        <v xml:space="preserve">secondary - Added COB info to crossover electronically - Primary paid </v>
      </c>
      <c r="C261" s="6">
        <f>IFERROR(IF(INDEX([3]ORTHO!$C$2:$C$16,MATCH($D261,[3]ORTHO!$D$2:$D$16,0))="","",INDEX([3]ORTHO!$C$2:$C$16,MATCH($D261,[3]ORTHO!$D$2:$D$16,0))),"")</f>
        <v>46126</v>
      </c>
      <c r="D261" s="7">
        <v>554186385</v>
      </c>
      <c r="E261" s="8" t="s">
        <v>846</v>
      </c>
      <c r="F261" s="9">
        <v>46108</v>
      </c>
      <c r="G261" s="8" t="s">
        <v>185</v>
      </c>
      <c r="H261" s="8" t="s">
        <v>171</v>
      </c>
      <c r="I261" s="8" t="s">
        <v>185</v>
      </c>
      <c r="J261" s="8" t="s">
        <v>181</v>
      </c>
      <c r="K261" s="6">
        <f>IFERROR(IF(INDEX([3]ORTHO!$K$2:$K$16,MATCH($D261,[3]ORTHO!$D$2:$D$16,0))="","",INDEX([3]ORTHO!$K$2:$K$16,MATCH($D261,[3]ORTHO!$D$2:$D$16,0))),"")</f>
        <v>46279</v>
      </c>
      <c r="L261" s="11">
        <f ca="1">IF($O261="","",$O261-TODAY())</f>
        <v>169</v>
      </c>
      <c r="M261" s="11">
        <f ca="1">IF(AND(TRIM($A261)="Finalized",$K261&lt;&gt;""),"",IF($C261="","",$C261+365-TODAY()))</f>
        <v>187</v>
      </c>
      <c r="N261" s="11">
        <f ca="1">IF(AND(TRIM($A261)="Finalized",$K261&lt;&gt;""),"",IF($C261="","",$C261+120-TODAY()))</f>
        <v>-58</v>
      </c>
      <c r="O261" s="9">
        <f>IF(AND(TRIM($A261)="Finalized",$K261&lt;&gt;""),"",DATE(2027,3,27))</f>
        <v>46473</v>
      </c>
      <c r="P261" s="8" t="s">
        <v>73</v>
      </c>
      <c r="Q261" s="8" t="s">
        <v>739</v>
      </c>
      <c r="R261" s="8" t="s">
        <v>73</v>
      </c>
      <c r="S261" s="8" t="s">
        <v>74</v>
      </c>
      <c r="T261" s="8" t="s">
        <v>208</v>
      </c>
      <c r="U261" s="8" t="s">
        <v>74</v>
      </c>
      <c r="V261" s="8" t="s">
        <v>256</v>
      </c>
      <c r="W261" s="8" t="s">
        <v>76</v>
      </c>
      <c r="X261" s="8" t="s">
        <v>153</v>
      </c>
      <c r="Y261" s="8"/>
      <c r="Z261" s="8"/>
      <c r="AA261" s="8" t="s">
        <v>77</v>
      </c>
      <c r="AB261" s="10">
        <v>5614.63</v>
      </c>
      <c r="AC261" s="10">
        <v>4889.05</v>
      </c>
      <c r="AD261" s="10">
        <v>578.1</v>
      </c>
      <c r="AE261" s="9">
        <v>46126</v>
      </c>
      <c r="AF261" s="10">
        <v>147.47999999999999</v>
      </c>
      <c r="AG261" s="7">
        <v>134</v>
      </c>
      <c r="AH261" s="8" t="s">
        <v>182</v>
      </c>
      <c r="AI261" s="8"/>
      <c r="AJ261" s="8"/>
      <c r="AK261" s="8"/>
      <c r="AL261" s="7">
        <v>557570916</v>
      </c>
      <c r="AM261" s="8" t="s">
        <v>278</v>
      </c>
      <c r="AN261" s="8" t="s">
        <v>109</v>
      </c>
      <c r="AO261" s="9">
        <v>46112</v>
      </c>
    </row>
    <row r="262" spans="1:41" x14ac:dyDescent="0.25">
      <c r="A262" s="5" t="str">
        <f>IFERROR(IF(INDEX([3]BH!$A$2:$A$32,MATCH($D262,[3]BH!$D$2:$D$32,0))="","",INDEX([3]BH!$A$2:$A$32,MATCH($D262,[3]BH!$D$2:$D$32,0))),"")</f>
        <v>Denied</v>
      </c>
      <c r="B262" s="5" t="str">
        <f>IFERROR(IF(INDEX([3]BH!$B$2:$B$32,MATCH($D262,[3]BH!$D$2:$D$32,0))="","",INDEX([3]BH!$B$2:$B$32,MATCH($D262,[3]BH!$D$2:$D$32,0))),"")</f>
        <v xml:space="preserve">Resubmitted to Banner - Expected to be denied due to timely filing </v>
      </c>
      <c r="C262" s="6">
        <f>IFERROR(IF(INDEX([3]BH!$C$2:$C$32,MATCH($D262,[3]BH!$D$2:$D$32,0))="","",INDEX([3]BH!$C$2:$C$32,MATCH($D262,[3]BH!$D$2:$D$32,0))),"")</f>
        <v>46125</v>
      </c>
      <c r="D262" s="7">
        <v>554403926</v>
      </c>
      <c r="E262" s="8" t="s">
        <v>847</v>
      </c>
      <c r="F262" s="9">
        <v>46111</v>
      </c>
      <c r="G262" s="8" t="s">
        <v>171</v>
      </c>
      <c r="H262" s="8" t="s">
        <v>171</v>
      </c>
      <c r="I262" s="8" t="s">
        <v>446</v>
      </c>
      <c r="J262" s="8" t="s">
        <v>195</v>
      </c>
      <c r="K262" s="6">
        <f>IFERROR(IF(INDEX([3]BH!$K$2:$K$32,MATCH($D262,[3]BH!$D$2:$D$32,0))="","",INDEX([3]BH!$K$2:$K$32,MATCH($D262,[3]BH!$D$2:$D$32,0))),"")</f>
        <v>46268</v>
      </c>
      <c r="L262" s="11">
        <f ca="1">IF($O262="","",$O262-TODAY())</f>
        <v>172</v>
      </c>
      <c r="M262" s="11">
        <f ca="1">IF(AND(TRIM($A262)="Finalized",$K262&lt;&gt;""),"",IF($C262="","",$C262+365-TODAY()))</f>
        <v>186</v>
      </c>
      <c r="N262" s="11">
        <f ca="1">IF(AND(TRIM($A262)="Finalized",$K262&lt;&gt;""),"",IF($C262="","",$C262+120-TODAY()))</f>
        <v>-59</v>
      </c>
      <c r="O262" s="9">
        <f>IF(AND(TRIM($A262)="Finalized",$K262&lt;&gt;""),"",DATE(2027,3,30))</f>
        <v>46476</v>
      </c>
      <c r="P262" s="8" t="s">
        <v>73</v>
      </c>
      <c r="Q262" s="8" t="s">
        <v>739</v>
      </c>
      <c r="R262" s="8" t="s">
        <v>73</v>
      </c>
      <c r="S262" s="8" t="s">
        <v>74</v>
      </c>
      <c r="T262" s="8" t="s">
        <v>208</v>
      </c>
      <c r="U262" s="8" t="s">
        <v>74</v>
      </c>
      <c r="V262" s="8" t="s">
        <v>256</v>
      </c>
      <c r="W262" s="8" t="s">
        <v>118</v>
      </c>
      <c r="X262" s="8"/>
      <c r="Y262" s="8"/>
      <c r="Z262" s="8"/>
      <c r="AA262" s="8" t="s">
        <v>77</v>
      </c>
      <c r="AB262" s="10">
        <v>1426.25</v>
      </c>
      <c r="AC262" s="10">
        <v>0</v>
      </c>
      <c r="AD262" s="10">
        <v>0</v>
      </c>
      <c r="AE262" s="9">
        <v>46125</v>
      </c>
      <c r="AF262" s="10">
        <v>1426.25</v>
      </c>
      <c r="AG262" s="7">
        <v>131</v>
      </c>
      <c r="AH262" s="8" t="s">
        <v>161</v>
      </c>
      <c r="AI262" s="8"/>
      <c r="AJ262" s="8"/>
      <c r="AK262" s="8"/>
      <c r="AL262" s="7"/>
      <c r="AM262" s="8" t="s">
        <v>80</v>
      </c>
      <c r="AN262" s="8" t="s">
        <v>121</v>
      </c>
      <c r="AO262" s="9">
        <v>46119</v>
      </c>
    </row>
    <row r="263" spans="1:41" x14ac:dyDescent="0.25">
      <c r="A263" s="5" t="str">
        <f>IFERROR(IF(INDEX([3]US!$A$2:$A$15,MATCH($D263,[3]US!$D$2:$D$15,0))="","",INDEX([3]US!$A$2:$A$15,MATCH($D263,[3]US!$D$2:$D$15,0))),"")</f>
        <v>Denied</v>
      </c>
      <c r="B263" s="5" t="str">
        <f>IFERROR(IF(INDEX([3]US!$B$2:$B$15,MATCH($D263,[3]US!$D$2:$D$15,0))="","",INDEX([3]US!$B$2:$B$15,MATCH($D263,[3]US!$D$2:$D$15,0))),"")</f>
        <v>Corrected ordering/referring provider, and resubmitted</v>
      </c>
      <c r="C263" s="6">
        <f>IFERROR(IF(INDEX([3]US!$C$2:$C$15,MATCH($D263,[3]US!$D$2:$D$15,0))="","",INDEX([3]US!$C$2:$C$15,MATCH($D263,[3]US!$D$2:$D$15,0))),"")</f>
        <v>46126</v>
      </c>
      <c r="D263" s="7">
        <v>571606263</v>
      </c>
      <c r="E263" s="8" t="s">
        <v>849</v>
      </c>
      <c r="F263" s="9">
        <v>46112</v>
      </c>
      <c r="G263" s="8" t="s">
        <v>171</v>
      </c>
      <c r="H263" s="8" t="s">
        <v>171</v>
      </c>
      <c r="I263" s="8" t="s">
        <v>114</v>
      </c>
      <c r="J263" s="8" t="s">
        <v>262</v>
      </c>
      <c r="K263" s="6">
        <f>IFERROR(IF(INDEX([3]US!$K$2:$K$15,MATCH($D263,[3]US!$D$2:$D$15,0))="","",INDEX([3]US!$K$2:$K$15,MATCH($D263,[3]US!$D$2:$D$15,0))),"")</f>
        <v>46278</v>
      </c>
      <c r="L263" s="11">
        <f ca="1">IF($O263="","",$O263-TODAY())</f>
        <v>173</v>
      </c>
      <c r="M263" s="11">
        <f ca="1">IF(AND(TRIM($A263)="Finalized",$K263&lt;&gt;""),"",IF($C263="","",$C263+365-TODAY()))</f>
        <v>187</v>
      </c>
      <c r="N263" s="11">
        <f ca="1">IF(AND(TRIM($A263)="Finalized",$K263&lt;&gt;""),"",IF($C263="","",$C263+120-TODAY()))</f>
        <v>-58</v>
      </c>
      <c r="O263" s="9">
        <f>IF(AND(TRIM($A263)="Finalized",$K263&lt;&gt;""),"",DATE(2027,3,31))</f>
        <v>46477</v>
      </c>
      <c r="P263" s="8" t="s">
        <v>73</v>
      </c>
      <c r="Q263" s="8" t="s">
        <v>739</v>
      </c>
      <c r="R263" s="8" t="s">
        <v>73</v>
      </c>
      <c r="S263" s="8" t="s">
        <v>74</v>
      </c>
      <c r="T263" s="8" t="s">
        <v>208</v>
      </c>
      <c r="U263" s="8" t="s">
        <v>74</v>
      </c>
      <c r="V263" s="8" t="s">
        <v>256</v>
      </c>
      <c r="W263" s="8" t="s">
        <v>129</v>
      </c>
      <c r="X263" s="8"/>
      <c r="Y263" s="8"/>
      <c r="Z263" s="8"/>
      <c r="AA263" s="8" t="s">
        <v>77</v>
      </c>
      <c r="AB263" s="10">
        <v>2173.29</v>
      </c>
      <c r="AC263" s="10">
        <v>0</v>
      </c>
      <c r="AD263" s="10">
        <v>0</v>
      </c>
      <c r="AE263" s="9">
        <v>46126</v>
      </c>
      <c r="AF263" s="10">
        <v>2173.29</v>
      </c>
      <c r="AG263" s="7">
        <v>130</v>
      </c>
      <c r="AH263" s="8" t="s">
        <v>850</v>
      </c>
      <c r="AI263" s="8" t="s">
        <v>367</v>
      </c>
      <c r="AJ263" s="8" t="s">
        <v>175</v>
      </c>
      <c r="AK263" s="8"/>
      <c r="AL263" s="7"/>
      <c r="AM263" s="8" t="s">
        <v>157</v>
      </c>
      <c r="AN263" s="8" t="s">
        <v>158</v>
      </c>
      <c r="AO263" s="9">
        <v>46121</v>
      </c>
    </row>
    <row r="264" spans="1:41" x14ac:dyDescent="0.25">
      <c r="A264" s="5" t="str">
        <f>IFERROR(IF(INDEX([4]BH!$A$2:$A$12,MATCH($D264,[4]BH!$D$2:$D$12,0))="","",INDEX([4]BH!$A$2:$A$12,MATCH($D264,[4]BH!$D$2:$D$12,0))),"")</f>
        <v>Denied</v>
      </c>
      <c r="B264" s="5" t="str">
        <f>IFERROR(IF(INDEX([4]BH!$B$2:$B$12,MATCH($D264,[4]BH!$D$2:$D$12,0))="","",INDEX([4]BH!$B$2:$B$12,MATCH($D264,[4]BH!$D$2:$D$12,0))),"")</f>
        <v>Resubmitted to Humana - HCO/HMO listed Humana - DND Charges are covered under a capitation agreement/managed care plan</v>
      </c>
      <c r="C264" s="6">
        <f>IFERROR(IF(INDEX([4]BH!$C$2:$C$12,MATCH($D264,[4]BH!$D$2:$D$12,0))="","",INDEX([4]BH!$C$2:$C$12,MATCH($D264,[4]BH!$D$2:$D$12,0))),"")</f>
        <v>46157</v>
      </c>
      <c r="D264" s="7">
        <v>554943318</v>
      </c>
      <c r="E264" s="8" t="s">
        <v>853</v>
      </c>
      <c r="F264" s="9">
        <v>46113</v>
      </c>
      <c r="G264" s="8" t="s">
        <v>171</v>
      </c>
      <c r="H264" s="8" t="s">
        <v>171</v>
      </c>
      <c r="I264" s="8" t="s">
        <v>69</v>
      </c>
      <c r="J264" s="8" t="s">
        <v>203</v>
      </c>
      <c r="K264" s="6">
        <f>IFERROR(IF(INDEX([4]BH!$K$2:$K$12,MATCH($D264,[4]BH!$D$2:$D$12,0))="","",INDEX([4]BH!$K$2:$K$12,MATCH($D264,[4]BH!$D$2:$D$12,0))),"")</f>
        <v>46265</v>
      </c>
      <c r="L264" s="11">
        <f ca="1">IF($O264="","",$O264-TODAY())</f>
        <v>174</v>
      </c>
      <c r="M264" s="11">
        <f ca="1">IF(AND(TRIM($A264)="Finalized",$K264&lt;&gt;""),"",IF($C264="","",$C264+365-TODAY()))</f>
        <v>218</v>
      </c>
      <c r="N264" s="11">
        <f ca="1">IF(AND(TRIM($A264)="Finalized",$K264&lt;&gt;""),"",IF($C264="","",$C264+120-TODAY()))</f>
        <v>-27</v>
      </c>
      <c r="O264" s="9">
        <f>IF(AND(TRIM($A264)="Finalized",$K264&lt;&gt;""),"",DATE(2027,4,1))</f>
        <v>46478</v>
      </c>
      <c r="P264" s="8" t="s">
        <v>73</v>
      </c>
      <c r="Q264" s="8" t="s">
        <v>739</v>
      </c>
      <c r="R264" s="8" t="s">
        <v>73</v>
      </c>
      <c r="S264" s="8" t="s">
        <v>74</v>
      </c>
      <c r="T264" s="8" t="s">
        <v>208</v>
      </c>
      <c r="U264" s="8" t="s">
        <v>74</v>
      </c>
      <c r="V264" s="8" t="s">
        <v>339</v>
      </c>
      <c r="W264" s="8" t="s">
        <v>118</v>
      </c>
      <c r="X264" s="8"/>
      <c r="Y264" s="8"/>
      <c r="Z264" s="8"/>
      <c r="AA264" s="8" t="s">
        <v>77</v>
      </c>
      <c r="AB264" s="10">
        <v>1372.91</v>
      </c>
      <c r="AC264" s="10">
        <v>0</v>
      </c>
      <c r="AD264" s="10">
        <v>0</v>
      </c>
      <c r="AE264" s="9">
        <v>46157</v>
      </c>
      <c r="AF264" s="10">
        <v>1372.91</v>
      </c>
      <c r="AG264" s="7">
        <v>129</v>
      </c>
      <c r="AH264" s="8" t="s">
        <v>119</v>
      </c>
      <c r="AI264" s="8"/>
      <c r="AJ264" s="8"/>
      <c r="AK264" s="8"/>
      <c r="AL264" s="7"/>
      <c r="AM264" s="8" t="s">
        <v>120</v>
      </c>
      <c r="AN264" s="8" t="s">
        <v>132</v>
      </c>
      <c r="AO264" s="9">
        <v>46153</v>
      </c>
    </row>
    <row r="265" spans="1:41" x14ac:dyDescent="0.25">
      <c r="A265" s="5" t="str">
        <f>IFERROR(IF(INDEX([4]DME!$A$2:$A$34,MATCH($D265,[4]DME!$D$2:$D$34,0))="","",INDEX([4]DME!$A$2:$A$34,MATCH($D265,[4]DME!$D$2:$D$34,0))),"")</f>
        <v>Denied</v>
      </c>
      <c r="B265" s="5" t="str">
        <f>IFERROR(IF(INDEX([4]DME!$B$2:$B$34,MATCH($D265,[4]DME!$D$2:$D$34,0))="","",INDEX([4]DME!$B$2:$B$34,MATCH($D265,[4]DME!$D$2:$D$34,0))),"")</f>
        <v>Filed appeal with MR on portal - Confirmation Number: 148586224 - L1851 requires auth, and we didn't get one</v>
      </c>
      <c r="C265" s="6">
        <f>IFERROR(IF(INDEX([4]DME!$C$2:$C$34,MATCH($D265,[4]DME!$D$2:$D$34,0))="","",INDEX([4]DME!$C$2:$C$34,MATCH($D265,[4]DME!$D$2:$D$34,0))),"")</f>
        <v>46127</v>
      </c>
      <c r="D265" s="7">
        <v>555436823</v>
      </c>
      <c r="E265" s="8" t="s">
        <v>854</v>
      </c>
      <c r="F265" s="9">
        <v>46114</v>
      </c>
      <c r="G265" s="8" t="s">
        <v>437</v>
      </c>
      <c r="H265" s="8" t="s">
        <v>437</v>
      </c>
      <c r="I265" s="8" t="s">
        <v>123</v>
      </c>
      <c r="J265" s="8" t="s">
        <v>464</v>
      </c>
      <c r="K265" s="6">
        <f>IFERROR(IF(INDEX([4]DME!$K$2:$K$34,MATCH($D265,[4]DME!$D$2:$D$34,0))="","",INDEX([4]DME!$K$2:$K$34,MATCH($D265,[4]DME!$D$2:$D$34,0))),"")</f>
        <v>46283</v>
      </c>
      <c r="L265" s="11">
        <f ca="1">IF($O265="","",$O265-TODAY())</f>
        <v>175</v>
      </c>
      <c r="M265" s="11">
        <f ca="1">IF(AND(TRIM($A265)="Finalized",$K265&lt;&gt;""),"",IF($C265="","",$C265+365-TODAY()))</f>
        <v>188</v>
      </c>
      <c r="N265" s="11">
        <f ca="1">IF(AND(TRIM($A265)="Finalized",$K265&lt;&gt;""),"",IF($C265="","",$C265+120-TODAY()))</f>
        <v>-57</v>
      </c>
      <c r="O265" s="9">
        <f>IF(AND(TRIM($A265)="Finalized",$K265&lt;&gt;""),"",DATE(2027,4,2))</f>
        <v>46479</v>
      </c>
      <c r="P265" s="8" t="s">
        <v>73</v>
      </c>
      <c r="Q265" s="8" t="s">
        <v>739</v>
      </c>
      <c r="R265" s="8" t="s">
        <v>73</v>
      </c>
      <c r="S265" s="8" t="s">
        <v>74</v>
      </c>
      <c r="T265" s="8" t="s">
        <v>208</v>
      </c>
      <c r="U265" s="8" t="s">
        <v>74</v>
      </c>
      <c r="V265" s="8" t="s">
        <v>339</v>
      </c>
      <c r="W265" s="8" t="s">
        <v>89</v>
      </c>
      <c r="X265" s="8" t="s">
        <v>232</v>
      </c>
      <c r="Y265" s="8" t="s">
        <v>103</v>
      </c>
      <c r="Z265" s="8"/>
      <c r="AA265" s="8" t="s">
        <v>77</v>
      </c>
      <c r="AB265" s="10">
        <v>4520.1099999999997</v>
      </c>
      <c r="AC265" s="10">
        <v>0</v>
      </c>
      <c r="AD265" s="10">
        <v>0</v>
      </c>
      <c r="AE265" s="9">
        <v>46127</v>
      </c>
      <c r="AF265" s="10">
        <v>4520.1099999999997</v>
      </c>
      <c r="AG265" s="7">
        <v>128</v>
      </c>
      <c r="AH265" s="8" t="s">
        <v>855</v>
      </c>
      <c r="AI265" s="8" t="s">
        <v>107</v>
      </c>
      <c r="AJ265" s="8"/>
      <c r="AK265" s="8"/>
      <c r="AL265" s="7"/>
      <c r="AM265" s="8" t="s">
        <v>806</v>
      </c>
      <c r="AN265" s="8" t="s">
        <v>746</v>
      </c>
      <c r="AO265" s="9">
        <v>46121</v>
      </c>
    </row>
    <row r="266" spans="1:41" x14ac:dyDescent="0.25">
      <c r="A266" s="5" t="str">
        <f>IFERROR(IF(INDEX([4]ORTHO!$A$2:$A$21,MATCH($D266,[4]ORTHO!$D$2:$D$21,0))="","",INDEX([4]ORTHO!$A$2:$A$21,MATCH($D266,[4]ORTHO!$D$2:$D$21,0))),"")</f>
        <v>Denied</v>
      </c>
      <c r="B266" s="5" t="str">
        <f>IFERROR(IF(INDEX([4]ORTHO!$B$2:$B$21,MATCH($D266,[4]ORTHO!$D$2:$D$21,0))="","",INDEX([4]ORTHO!$B$2:$B$21,MATCH($D266,[4]ORTHO!$D$2:$D$21,0))),"")</f>
        <v>Filed new authorization on zyter # OPIXSO0914152025 -Authorization OPSQQU0402203650 was approved for 63655, but only from 06/30/2026 to 07/01/2026 - DND 63655 no auth</v>
      </c>
      <c r="C266" s="6">
        <f>IFERROR(IF(INDEX([4]ORTHO!$C$2:$C$21,MATCH($D266,[4]ORTHO!$D$2:$D$21,0))="","",INDEX([4]ORTHO!$C$2:$C$21,MATCH($D266,[4]ORTHO!$D$2:$D$21,0))),"")</f>
        <v>46135</v>
      </c>
      <c r="D266" s="7">
        <v>556660363</v>
      </c>
      <c r="E266" s="8" t="s">
        <v>856</v>
      </c>
      <c r="F266" s="9">
        <v>46118</v>
      </c>
      <c r="G266" s="8" t="s">
        <v>171</v>
      </c>
      <c r="H266" s="8" t="s">
        <v>171</v>
      </c>
      <c r="I266" s="8" t="s">
        <v>83</v>
      </c>
      <c r="J266" s="8" t="s">
        <v>820</v>
      </c>
      <c r="K266" s="6">
        <f>IFERROR(IF(INDEX([4]ORTHO!$K$2:$K$21,MATCH($D266,[4]ORTHO!$D$2:$D$21,0))="","",INDEX([4]ORTHO!$K$2:$K$21,MATCH($D266,[4]ORTHO!$D$2:$D$21,0))),"")</f>
        <v>46279</v>
      </c>
      <c r="L266" s="11">
        <f ca="1">IF($O266="","",$O266-TODAY())</f>
        <v>179</v>
      </c>
      <c r="M266" s="11">
        <f ca="1">IF(AND(TRIM($A266)="Finalized",$K266&lt;&gt;""),"",IF($C266="","",$C266+365-TODAY()))</f>
        <v>196</v>
      </c>
      <c r="N266" s="11">
        <f ca="1">IF(AND(TRIM($A266)="Finalized",$K266&lt;&gt;""),"",IF($C266="","",$C266+120-TODAY()))</f>
        <v>-49</v>
      </c>
      <c r="O266" s="9">
        <f>IF(AND(TRIM($A266)="Finalized",$K266&lt;&gt;""),"",DATE(2027,4,6))</f>
        <v>46483</v>
      </c>
      <c r="P266" s="8" t="s">
        <v>73</v>
      </c>
      <c r="Q266" s="8" t="s">
        <v>739</v>
      </c>
      <c r="R266" s="8" t="s">
        <v>73</v>
      </c>
      <c r="S266" s="8" t="s">
        <v>74</v>
      </c>
      <c r="T266" s="8" t="s">
        <v>208</v>
      </c>
      <c r="U266" s="8" t="s">
        <v>74</v>
      </c>
      <c r="V266" s="8" t="s">
        <v>339</v>
      </c>
      <c r="W266" s="8" t="s">
        <v>76</v>
      </c>
      <c r="X266" s="8"/>
      <c r="Y266" s="8"/>
      <c r="Z266" s="8"/>
      <c r="AA266" s="8" t="s">
        <v>77</v>
      </c>
      <c r="AB266" s="10">
        <v>5784.24</v>
      </c>
      <c r="AC266" s="10">
        <v>0</v>
      </c>
      <c r="AD266" s="10">
        <v>0</v>
      </c>
      <c r="AE266" s="9">
        <v>46135</v>
      </c>
      <c r="AF266" s="10">
        <v>5784.24</v>
      </c>
      <c r="AG266" s="7">
        <v>124</v>
      </c>
      <c r="AH266" s="8" t="s">
        <v>857</v>
      </c>
      <c r="AI266" s="8" t="s">
        <v>575</v>
      </c>
      <c r="AJ266" s="8"/>
      <c r="AK266" s="8"/>
      <c r="AL266" s="7"/>
      <c r="AM266" s="8" t="s">
        <v>217</v>
      </c>
      <c r="AN266" s="8" t="s">
        <v>109</v>
      </c>
      <c r="AO266" s="9">
        <v>46133</v>
      </c>
    </row>
    <row r="267" spans="1:41" x14ac:dyDescent="0.25">
      <c r="A267" s="5" t="str">
        <f>IFERROR(IF(INDEX([4]ORTHO!$A$2:$A$21,MATCH($D267,[4]ORTHO!$D$2:$D$21,0))="","",INDEX([4]ORTHO!$A$2:$A$21,MATCH($D267,[4]ORTHO!$D$2:$D$21,0))),"")</f>
        <v>Denied</v>
      </c>
      <c r="B267" s="5" t="str">
        <f>IFERROR(IF(INDEX([4]ORTHO!$B$2:$B$21,MATCH($D267,[4]ORTHO!$D$2:$D$21,0))="","",INDEX([4]ORTHO!$B$2:$B$21,MATCH($D267,[4]ORTHO!$D$2:$D$21,0))),"")</f>
        <v xml:space="preserve">Filed authorization on zyter - Details Overview - OPFOEY0914142230 - No auth request found for 63655 - DND 63655 no auth </v>
      </c>
      <c r="C267" s="6">
        <f>IFERROR(IF(INDEX([4]ORTHO!$C$2:$C$21,MATCH($D267,[4]ORTHO!$D$2:$D$21,0))="","",INDEX([4]ORTHO!$C$2:$C$21,MATCH($D267,[4]ORTHO!$D$2:$D$21,0))),"")</f>
        <v>46140</v>
      </c>
      <c r="D267" s="7">
        <v>556661876</v>
      </c>
      <c r="E267" s="8" t="s">
        <v>858</v>
      </c>
      <c r="F267" s="9">
        <v>46118</v>
      </c>
      <c r="G267" s="8" t="s">
        <v>171</v>
      </c>
      <c r="H267" s="8" t="s">
        <v>171</v>
      </c>
      <c r="I267" s="8" t="s">
        <v>803</v>
      </c>
      <c r="J267" s="8" t="s">
        <v>820</v>
      </c>
      <c r="K267" s="6">
        <f>IFERROR(IF(INDEX([4]ORTHO!$K$2:$K$21,MATCH($D267,[4]ORTHO!$D$2:$D$21,0))="","",INDEX([4]ORTHO!$K$2:$K$21,MATCH($D267,[4]ORTHO!$D$2:$D$21,0))),"")</f>
        <v>46279</v>
      </c>
      <c r="L267" s="11">
        <f ca="1">IF($O267="","",$O267-TODAY())</f>
        <v>179</v>
      </c>
      <c r="M267" s="11">
        <f ca="1">IF(AND(TRIM($A267)="Finalized",$K267&lt;&gt;""),"",IF($C267="","",$C267+365-TODAY()))</f>
        <v>201</v>
      </c>
      <c r="N267" s="11">
        <f ca="1">IF(AND(TRIM($A267)="Finalized",$K267&lt;&gt;""),"",IF($C267="","",$C267+120-TODAY()))</f>
        <v>-44</v>
      </c>
      <c r="O267" s="9">
        <f>IF(AND(TRIM($A267)="Finalized",$K267&lt;&gt;""),"",DATE(2027,4,6))</f>
        <v>46483</v>
      </c>
      <c r="P267" s="8" t="s">
        <v>73</v>
      </c>
      <c r="Q267" s="8" t="s">
        <v>739</v>
      </c>
      <c r="R267" s="8" t="s">
        <v>73</v>
      </c>
      <c r="S267" s="8" t="s">
        <v>74</v>
      </c>
      <c r="T267" s="8" t="s">
        <v>208</v>
      </c>
      <c r="U267" s="8" t="s">
        <v>74</v>
      </c>
      <c r="V267" s="8" t="s">
        <v>339</v>
      </c>
      <c r="W267" s="8" t="s">
        <v>76</v>
      </c>
      <c r="X267" s="8"/>
      <c r="Y267" s="8"/>
      <c r="Z267" s="8"/>
      <c r="AA267" s="8" t="s">
        <v>77</v>
      </c>
      <c r="AB267" s="10">
        <v>5784.24</v>
      </c>
      <c r="AC267" s="10">
        <v>0</v>
      </c>
      <c r="AD267" s="10">
        <v>0</v>
      </c>
      <c r="AE267" s="9">
        <v>46140</v>
      </c>
      <c r="AF267" s="10">
        <v>5784.24</v>
      </c>
      <c r="AG267" s="7">
        <v>124</v>
      </c>
      <c r="AH267" s="8" t="s">
        <v>149</v>
      </c>
      <c r="AI267" s="8" t="s">
        <v>78</v>
      </c>
      <c r="AJ267" s="8"/>
      <c r="AK267" s="8"/>
      <c r="AL267" s="7"/>
      <c r="AM267" s="8" t="s">
        <v>217</v>
      </c>
      <c r="AN267" s="8" t="s">
        <v>109</v>
      </c>
      <c r="AO267" s="9">
        <v>46133</v>
      </c>
    </row>
    <row r="268" spans="1:41" x14ac:dyDescent="0.25">
      <c r="A268" s="5" t="str">
        <f>IFERROR(IF(INDEX([4]US!$A$2:$A$23,MATCH($D268,[4]US!$D$2:$D$23,0))="","",INDEX([4]US!$A$2:$A$23,MATCH($D268,[4]US!$D$2:$D$23,0))),"")</f>
        <v>Denied</v>
      </c>
      <c r="B268" s="5" t="str">
        <f>IFERROR(IF(INDEX([4]US!$B$2:$B$23,MATCH($D268,[4]US!$D$2:$D$23,0))="","",INDEX([4]US!$B$2:$B$23,MATCH($D268,[4]US!$D$2:$D$23,0))),"")</f>
        <v>Corrected ordering/referring provider, and resubmitted</v>
      </c>
      <c r="C268" s="6">
        <f>IFERROR(IF(INDEX([4]US!$C$2:$C$23,MATCH($D268,[4]US!$D$2:$D$23,0))="","",INDEX([4]US!$C$2:$C$23,MATCH($D268,[4]US!$D$2:$D$23,0))),"")</f>
        <v>46157</v>
      </c>
      <c r="D268" s="7">
        <v>558637906</v>
      </c>
      <c r="E268" s="8" t="s">
        <v>859</v>
      </c>
      <c r="F268" s="9">
        <v>46120</v>
      </c>
      <c r="G268" s="8" t="s">
        <v>171</v>
      </c>
      <c r="H268" s="8" t="s">
        <v>171</v>
      </c>
      <c r="I268" s="8" t="s">
        <v>803</v>
      </c>
      <c r="J268" s="8" t="s">
        <v>860</v>
      </c>
      <c r="K268" s="6">
        <f>IFERROR(IF(INDEX([4]US!$K$2:$K$23,MATCH($D268,[4]US!$D$2:$D$23,0))="","",INDEX([4]US!$K$2:$K$23,MATCH($D268,[4]US!$D$2:$D$23,0))),"")</f>
        <v>46277</v>
      </c>
      <c r="L268" s="11">
        <f ca="1">IF($O268="","",$O268-TODAY())</f>
        <v>181</v>
      </c>
      <c r="M268" s="11">
        <f ca="1">IF(AND(TRIM($A268)="Finalized",$K268&lt;&gt;""),"",IF($C268="","",$C268+365-TODAY()))</f>
        <v>218</v>
      </c>
      <c r="N268" s="11">
        <f ca="1">IF(AND(TRIM($A268)="Finalized",$K268&lt;&gt;""),"",IF($C268="","",$C268+120-TODAY()))</f>
        <v>-27</v>
      </c>
      <c r="O268" s="9">
        <f>IF(AND(TRIM($A268)="Finalized",$K268&lt;&gt;""),"",DATE(2027,4,8))</f>
        <v>46485</v>
      </c>
      <c r="P268" s="8" t="s">
        <v>73</v>
      </c>
      <c r="Q268" s="8" t="s">
        <v>739</v>
      </c>
      <c r="R268" s="8" t="s">
        <v>73</v>
      </c>
      <c r="S268" s="8" t="s">
        <v>74</v>
      </c>
      <c r="T268" s="8" t="s">
        <v>208</v>
      </c>
      <c r="U268" s="8" t="s">
        <v>74</v>
      </c>
      <c r="V268" s="8" t="s">
        <v>339</v>
      </c>
      <c r="W268" s="8" t="s">
        <v>129</v>
      </c>
      <c r="X268" s="8"/>
      <c r="Y268" s="8"/>
      <c r="Z268" s="8"/>
      <c r="AA268" s="8" t="s">
        <v>77</v>
      </c>
      <c r="AB268" s="10">
        <v>3822.49</v>
      </c>
      <c r="AC268" s="10">
        <v>0</v>
      </c>
      <c r="AD268" s="10">
        <v>0</v>
      </c>
      <c r="AE268" s="9">
        <v>46157</v>
      </c>
      <c r="AF268" s="10">
        <v>3822.49</v>
      </c>
      <c r="AG268" s="7">
        <v>122</v>
      </c>
      <c r="AH268" s="8" t="s">
        <v>316</v>
      </c>
      <c r="AI268" s="8" t="s">
        <v>130</v>
      </c>
      <c r="AJ268" s="8"/>
      <c r="AK268" s="8"/>
      <c r="AL268" s="7"/>
      <c r="AM268" s="8" t="s">
        <v>165</v>
      </c>
      <c r="AN268" s="8" t="s">
        <v>95</v>
      </c>
      <c r="AO268" s="9">
        <v>46140</v>
      </c>
    </row>
    <row r="269" spans="1:41" x14ac:dyDescent="0.25">
      <c r="A269" s="5" t="str">
        <f>IFERROR(IF(INDEX([4]DME!$A$2:$A$34,MATCH($D269,[4]DME!$D$2:$D$34,0))="","",INDEX([4]DME!$A$2:$A$34,MATCH($D269,[4]DME!$D$2:$D$34,0))),"")</f>
        <v>Pending</v>
      </c>
      <c r="B269" s="5" t="str">
        <f>IFERROR(IF(INDEX([4]DME!$B$2:$B$34,MATCH($D269,[4]DME!$D$2:$D$34,0))="","",INDEX([4]DME!$B$2:$B$34,MATCH($D269,[4]DME!$D$2:$D$34,0))),"")</f>
        <v>secondary - Primary paid</v>
      </c>
      <c r="C269" s="6">
        <f>IFERROR(IF(INDEX([4]DME!$C$2:$C$34,MATCH($D269,[4]DME!$D$2:$D$34,0))="","",INDEX([4]DME!$C$2:$C$34,MATCH($D269,[4]DME!$D$2:$D$34,0))),"")</f>
        <v>46151</v>
      </c>
      <c r="D269" s="7">
        <v>556803684</v>
      </c>
      <c r="E269" s="8" t="s">
        <v>863</v>
      </c>
      <c r="F269" s="9">
        <v>46125</v>
      </c>
      <c r="G269" s="8" t="s">
        <v>437</v>
      </c>
      <c r="H269" s="8" t="s">
        <v>437</v>
      </c>
      <c r="I269" s="8" t="s">
        <v>864</v>
      </c>
      <c r="J269" s="8" t="s">
        <v>373</v>
      </c>
      <c r="K269" s="6">
        <f>IFERROR(IF(INDEX([4]DME!$K$2:$K$34,MATCH($D269,[4]DME!$D$2:$D$34,0))="","",INDEX([4]DME!$K$2:$K$34,MATCH($D269,[4]DME!$D$2:$D$34,0))),"")</f>
        <v>46261</v>
      </c>
      <c r="L269" s="11">
        <f ca="1">IF($O269="","",$O269-TODAY())</f>
        <v>186</v>
      </c>
      <c r="M269" s="11">
        <f ca="1">IF(AND(TRIM($A269)="Finalized",$K269&lt;&gt;""),"",IF($C269="","",$C269+365-TODAY()))</f>
        <v>212</v>
      </c>
      <c r="N269" s="11">
        <f ca="1">IF(AND(TRIM($A269)="Finalized",$K269&lt;&gt;""),"",IF($C269="","",$C269+120-TODAY()))</f>
        <v>-33</v>
      </c>
      <c r="O269" s="9">
        <f>IF(AND(TRIM($A269)="Finalized",$K269&lt;&gt;""),"",DATE(2027,4,13))</f>
        <v>46490</v>
      </c>
      <c r="P269" s="8" t="s">
        <v>73</v>
      </c>
      <c r="Q269" s="8" t="s">
        <v>739</v>
      </c>
      <c r="R269" s="8" t="s">
        <v>73</v>
      </c>
      <c r="S269" s="8" t="s">
        <v>74</v>
      </c>
      <c r="T269" s="8" t="s">
        <v>208</v>
      </c>
      <c r="U269" s="8" t="s">
        <v>74</v>
      </c>
      <c r="V269" s="8" t="s">
        <v>339</v>
      </c>
      <c r="W269" s="8" t="s">
        <v>89</v>
      </c>
      <c r="X269" s="8" t="s">
        <v>244</v>
      </c>
      <c r="Y269" s="8"/>
      <c r="Z269" s="8"/>
      <c r="AA269" s="8" t="s">
        <v>190</v>
      </c>
      <c r="AB269" s="10">
        <v>2958.2</v>
      </c>
      <c r="AC269" s="10">
        <v>0</v>
      </c>
      <c r="AD269" s="10">
        <v>0</v>
      </c>
      <c r="AE269" s="9">
        <v>46151</v>
      </c>
      <c r="AF269" s="10">
        <v>2958.2</v>
      </c>
      <c r="AG269" s="7">
        <v>117</v>
      </c>
      <c r="AH269" s="8" t="s">
        <v>92</v>
      </c>
      <c r="AI269" s="8" t="s">
        <v>145</v>
      </c>
      <c r="AJ269" s="8"/>
      <c r="AK269" s="8"/>
      <c r="AL269" s="7"/>
      <c r="AM269" s="8" t="s">
        <v>745</v>
      </c>
      <c r="AN269" s="8" t="s">
        <v>746</v>
      </c>
      <c r="AO269" s="9">
        <v>46134</v>
      </c>
    </row>
    <row r="270" spans="1:41" x14ac:dyDescent="0.25">
      <c r="A270" s="5" t="str">
        <f>IFERROR(IF(INDEX([4]GAE!$A$2:$A$8,MATCH($D270,[4]GAE!$D$2:$D$8,0))="","",INDEX([4]GAE!$A$2:$A$8,MATCH($D270,[4]GAE!$D$2:$D$8,0))),"")</f>
        <v>Denied</v>
      </c>
      <c r="B270" s="5" t="str">
        <f>IFERROR(IF(INDEX([4]GAE!$B$2:$B$8,MATCH($D270,[4]GAE!$D$2:$D$8,0))="","",INDEX([4]GAE!$B$2:$B$8,MATCH($D270,[4]GAE!$D$2:$D$8,0))),"")</f>
        <v>Uploaded MR - PIQ-90772350</v>
      </c>
      <c r="C270" s="6">
        <f>IFERROR(IF(INDEX([4]GAE!$C$2:$C$8,MATCH($D270,[4]GAE!$D$2:$D$8,0))="","",INDEX([4]GAE!$C$2:$C$8,MATCH($D270,[4]GAE!$D$2:$D$8,0))),"")</f>
        <v>46190</v>
      </c>
      <c r="D270" s="7">
        <v>558686302</v>
      </c>
      <c r="E270" s="8" t="s">
        <v>865</v>
      </c>
      <c r="F270" s="9">
        <v>46125</v>
      </c>
      <c r="G270" s="8" t="s">
        <v>470</v>
      </c>
      <c r="H270" s="8" t="s">
        <v>470</v>
      </c>
      <c r="I270" s="8" t="s">
        <v>148</v>
      </c>
      <c r="J270" s="8" t="s">
        <v>866</v>
      </c>
      <c r="K270" s="6">
        <f>IFERROR(IF(INDEX([4]GAE!$K$2:$K$8,MATCH($D270,[4]GAE!$D$2:$D$8,0))="","",INDEX([4]GAE!$K$2:$K$8,MATCH($D270,[4]GAE!$D$2:$D$8,0))),"")</f>
        <v>46278</v>
      </c>
      <c r="L270" s="11">
        <f ca="1">IF($O270="","",$O270-TODAY())</f>
        <v>186</v>
      </c>
      <c r="M270" s="11">
        <f ca="1">IF(AND(TRIM($A270)="Finalized",$K270&lt;&gt;""),"",IF($C270="","",$C270+180-TODAY()))</f>
        <v>66</v>
      </c>
      <c r="N270" s="11">
        <f ca="1">IF(AND(TRIM($A270)="Finalized",$K270&lt;&gt;""),"",IF($C270="","",$C270+365-TODAY()))</f>
        <v>251</v>
      </c>
      <c r="O270" s="9">
        <f>IF(AND(TRIM($A270)="Finalized",$K270&lt;&gt;""),"",DATE(2027,4,13))</f>
        <v>46490</v>
      </c>
      <c r="P270" s="8" t="s">
        <v>73</v>
      </c>
      <c r="Q270" s="8" t="s">
        <v>777</v>
      </c>
      <c r="R270" s="8" t="s">
        <v>117</v>
      </c>
      <c r="S270" s="8" t="s">
        <v>74</v>
      </c>
      <c r="T270" s="8" t="s">
        <v>73</v>
      </c>
      <c r="U270" s="8" t="s">
        <v>74</v>
      </c>
      <c r="V270" s="8" t="s">
        <v>339</v>
      </c>
      <c r="W270" s="8" t="s">
        <v>101</v>
      </c>
      <c r="X270" s="8" t="s">
        <v>359</v>
      </c>
      <c r="Y270" s="8" t="s">
        <v>456</v>
      </c>
      <c r="Z270" s="8" t="s">
        <v>103</v>
      </c>
      <c r="AA270" s="8" t="s">
        <v>104</v>
      </c>
      <c r="AB270" s="10">
        <v>67599.91</v>
      </c>
      <c r="AC270" s="10">
        <v>0</v>
      </c>
      <c r="AD270" s="10">
        <v>0</v>
      </c>
      <c r="AE270" s="9">
        <v>46190</v>
      </c>
      <c r="AF270" s="10">
        <v>67599.91</v>
      </c>
      <c r="AG270" s="7">
        <v>117</v>
      </c>
      <c r="AH270" s="8" t="s">
        <v>105</v>
      </c>
      <c r="AI270" s="8" t="s">
        <v>106</v>
      </c>
      <c r="AJ270" s="8" t="s">
        <v>107</v>
      </c>
      <c r="AK270" s="8"/>
      <c r="AL270" s="7"/>
      <c r="AM270" s="8" t="s">
        <v>108</v>
      </c>
      <c r="AN270" s="8" t="s">
        <v>109</v>
      </c>
      <c r="AO270" s="9">
        <v>46152</v>
      </c>
    </row>
    <row r="271" spans="1:41" x14ac:dyDescent="0.25">
      <c r="A271" s="5" t="str">
        <f>IFERROR(IF(INDEX([4]DME!$A$2:$A$34,MATCH($D271,[4]DME!$D$2:$D$34,0))="","",INDEX([4]DME!$A$2:$A$34,MATCH($D271,[4]DME!$D$2:$D$34,0))),"")</f>
        <v>Denied</v>
      </c>
      <c r="B271" s="5" t="str">
        <f>IFERROR(IF(INDEX([4]DME!$B$2:$B$34,MATCH($D271,[4]DME!$D$2:$D$34,0))="","",INDEX([4]DME!$B$2:$B$34,MATCH($D271,[4]DME!$D$2:$D$34,0))),"")</f>
        <v>Resubmitted to Medicare Part B - Denied again - Resubmitted to Region B - PT state on portal: WI - DND N104 This claim/service is not payable under our claims jurisdiction area</v>
      </c>
      <c r="C271" s="6">
        <f>IFERROR(IF(INDEX([4]DME!$C$2:$C$34,MATCH($D271,[4]DME!$D$2:$D$34,0))="","",INDEX([4]DME!$C$2:$C$34,MATCH($D271,[4]DME!$D$2:$D$34,0))),"")</f>
        <v>46247</v>
      </c>
      <c r="D271" s="7">
        <v>556799664</v>
      </c>
      <c r="E271" s="8" t="s">
        <v>868</v>
      </c>
      <c r="F271" s="9">
        <v>46125</v>
      </c>
      <c r="G271" s="8" t="s">
        <v>437</v>
      </c>
      <c r="H271" s="8" t="s">
        <v>437</v>
      </c>
      <c r="I271" s="8" t="s">
        <v>123</v>
      </c>
      <c r="J271" s="8" t="s">
        <v>243</v>
      </c>
      <c r="K271" s="6">
        <f>IFERROR(IF(INDEX([4]DME!$K$2:$K$34,MATCH($D271,[4]DME!$D$2:$D$34,0))="","",INDEX([4]DME!$K$2:$K$34,MATCH($D271,[4]DME!$D$2:$D$34,0))),"")</f>
        <v>46300</v>
      </c>
      <c r="L271" s="11">
        <f ca="1">IF($O271="","",$O271-TODAY())</f>
        <v>186</v>
      </c>
      <c r="M271" s="11">
        <f ca="1">IF(AND(TRIM($A271)="Finalized",$K271&lt;&gt;""),"",IF($C271="","",$C271+365-TODAY()))</f>
        <v>308</v>
      </c>
      <c r="N271" s="11">
        <f ca="1">IF(AND(TRIM($A271)="Finalized",$K271&lt;&gt;""),"",IF($C271="","",$C271+120-TODAY()))</f>
        <v>63</v>
      </c>
      <c r="O271" s="9">
        <f>IF(AND(TRIM($A271)="Finalized",$K271&lt;&gt;""),"",DATE(2027,4,13))</f>
        <v>46490</v>
      </c>
      <c r="P271" s="8" t="s">
        <v>73</v>
      </c>
      <c r="Q271" s="8" t="s">
        <v>739</v>
      </c>
      <c r="R271" s="8" t="s">
        <v>73</v>
      </c>
      <c r="S271" s="8" t="s">
        <v>74</v>
      </c>
      <c r="T271" s="8" t="s">
        <v>208</v>
      </c>
      <c r="U271" s="8" t="s">
        <v>74</v>
      </c>
      <c r="V271" s="8" t="s">
        <v>339</v>
      </c>
      <c r="W271" s="8" t="s">
        <v>89</v>
      </c>
      <c r="X271" s="8" t="s">
        <v>244</v>
      </c>
      <c r="Y271" s="8"/>
      <c r="Z271" s="8"/>
      <c r="AA271" s="8" t="s">
        <v>91</v>
      </c>
      <c r="AB271" s="10">
        <v>5916.4</v>
      </c>
      <c r="AC271" s="10">
        <v>0</v>
      </c>
      <c r="AD271" s="10">
        <v>0</v>
      </c>
      <c r="AE271" s="9"/>
      <c r="AF271" s="10">
        <v>5916.4</v>
      </c>
      <c r="AG271" s="7">
        <v>117</v>
      </c>
      <c r="AH271" s="8" t="s">
        <v>92</v>
      </c>
      <c r="AI271" s="8" t="s">
        <v>145</v>
      </c>
      <c r="AJ271" s="8"/>
      <c r="AK271" s="8"/>
      <c r="AL271" s="7"/>
      <c r="AM271" s="8" t="s">
        <v>745</v>
      </c>
      <c r="AN271" s="8" t="s">
        <v>746</v>
      </c>
      <c r="AO271" s="9">
        <v>46134</v>
      </c>
    </row>
    <row r="272" spans="1:41" x14ac:dyDescent="0.25">
      <c r="A272" s="5" t="str">
        <f>IFERROR(IF(INDEX([4]ORTHO!$A$2:$A$21,MATCH($D272,[4]ORTHO!$D$2:$D$21,0))="","",INDEX([4]ORTHO!$A$2:$A$21,MATCH($D272,[4]ORTHO!$D$2:$D$21,0))),"")</f>
        <v>Denied</v>
      </c>
      <c r="B272" s="5" t="str">
        <f>IFERROR(IF(INDEX([4]ORTHO!$B$2:$B$21,MATCH($D272,[4]ORTHO!$D$2:$D$21,0))="","",INDEX([4]ORTHO!$B$2:$B$21,MATCH($D272,[4]ORTHO!$D$2:$D$21,0))),"")</f>
        <v>Filed new authorization on zyter # OPVWYI0914150455 - Authorization OPDCEJ0408161241 was approved for 63655, but only from 04/08/2026 to 04/09/2026 - DND 63655 no auth</v>
      </c>
      <c r="C272" s="6">
        <f>IFERROR(IF(INDEX([4]ORTHO!$C$2:$C$21,MATCH($D272,[4]ORTHO!$D$2:$D$21,0))="","",INDEX([4]ORTHO!$C$2:$C$21,MATCH($D272,[4]ORTHO!$D$2:$D$21,0))),"")</f>
        <v>46136</v>
      </c>
      <c r="D272" s="7">
        <v>556715025</v>
      </c>
      <c r="E272" s="8" t="s">
        <v>870</v>
      </c>
      <c r="F272" s="9">
        <v>46128</v>
      </c>
      <c r="G272" s="8" t="s">
        <v>171</v>
      </c>
      <c r="H272" s="8" t="s">
        <v>171</v>
      </c>
      <c r="I272" s="8" t="s">
        <v>123</v>
      </c>
      <c r="J272" s="8" t="s">
        <v>820</v>
      </c>
      <c r="K272" s="6">
        <f>IFERROR(IF(INDEX([4]ORTHO!$K$2:$K$21,MATCH($D272,[4]ORTHO!$D$2:$D$21,0))="","",INDEX([4]ORTHO!$K$2:$K$21,MATCH($D272,[4]ORTHO!$D$2:$D$21,0))),"")</f>
        <v>46279</v>
      </c>
      <c r="L272" s="11">
        <f ca="1">IF($O272="","",$O272-TODAY())</f>
        <v>189</v>
      </c>
      <c r="M272" s="11">
        <f ca="1">IF(AND(TRIM($A272)="Finalized",$K272&lt;&gt;""),"",IF($C272="","",$C272+365-TODAY()))</f>
        <v>197</v>
      </c>
      <c r="N272" s="11">
        <f ca="1">IF(AND(TRIM($A272)="Finalized",$K272&lt;&gt;""),"",IF($C272="","",$C272+120-TODAY()))</f>
        <v>-48</v>
      </c>
      <c r="O272" s="9">
        <f>IF(AND(TRIM($A272)="Finalized",$K272&lt;&gt;""),"",DATE(2027,4,16))</f>
        <v>46493</v>
      </c>
      <c r="P272" s="8" t="s">
        <v>73</v>
      </c>
      <c r="Q272" s="8" t="s">
        <v>739</v>
      </c>
      <c r="R272" s="8" t="s">
        <v>73</v>
      </c>
      <c r="S272" s="8" t="s">
        <v>74</v>
      </c>
      <c r="T272" s="8" t="s">
        <v>208</v>
      </c>
      <c r="U272" s="8" t="s">
        <v>74</v>
      </c>
      <c r="V272" s="8" t="s">
        <v>339</v>
      </c>
      <c r="W272" s="8" t="s">
        <v>76</v>
      </c>
      <c r="X272" s="8"/>
      <c r="Y272" s="8"/>
      <c r="Z272" s="8"/>
      <c r="AA272" s="8" t="s">
        <v>77</v>
      </c>
      <c r="AB272" s="10">
        <v>5784.24</v>
      </c>
      <c r="AC272" s="10">
        <v>0</v>
      </c>
      <c r="AD272" s="10">
        <v>0</v>
      </c>
      <c r="AE272" s="9">
        <v>46136</v>
      </c>
      <c r="AF272" s="10">
        <v>5784.24</v>
      </c>
      <c r="AG272" s="7">
        <v>114</v>
      </c>
      <c r="AH272" s="8" t="s">
        <v>78</v>
      </c>
      <c r="AI272" s="8"/>
      <c r="AJ272" s="8"/>
      <c r="AK272" s="8"/>
      <c r="AL272" s="7"/>
      <c r="AM272" s="8" t="s">
        <v>217</v>
      </c>
      <c r="AN272" s="8" t="s">
        <v>109</v>
      </c>
      <c r="AO272" s="9">
        <v>46133</v>
      </c>
    </row>
    <row r="273" spans="1:41" x14ac:dyDescent="0.25">
      <c r="A273" s="5" t="str">
        <f>IFERROR(IF(INDEX([4]ORTHO!$A$2:$A$21,MATCH($D273,[4]ORTHO!$D$2:$D$21,0))="","",INDEX([4]ORTHO!$A$2:$A$21,MATCH($D273,[4]ORTHO!$D$2:$D$21,0))),"")</f>
        <v>Pending</v>
      </c>
      <c r="B273" s="5" t="str">
        <f>IFERROR(IF(INDEX([4]ORTHO!$B$2:$B$21,MATCH($D273,[4]ORTHO!$D$2:$D$21,0))="","",INDEX([4]ORTHO!$B$2:$B$21,MATCH($D273,[4]ORTHO!$D$2:$D$21,0))),"")</f>
        <v xml:space="preserve">secondary - Primary paid - Deanne removed RT mod, and resubmitted </v>
      </c>
      <c r="C273" s="6">
        <f>IFERROR(IF(INDEX([4]ORTHO!$C$2:$C$21,MATCH($D273,[4]ORTHO!$D$2:$D$21,0))="","",INDEX([4]ORTHO!$C$2:$C$21,MATCH($D273,[4]ORTHO!$D$2:$D$21,0))),"")</f>
        <v>46136</v>
      </c>
      <c r="D273" s="7">
        <v>556710044</v>
      </c>
      <c r="E273" s="8" t="s">
        <v>871</v>
      </c>
      <c r="F273" s="9">
        <v>46132</v>
      </c>
      <c r="G273" s="8" t="s">
        <v>171</v>
      </c>
      <c r="H273" s="8" t="s">
        <v>171</v>
      </c>
      <c r="I273" s="8" t="s">
        <v>750</v>
      </c>
      <c r="J273" s="8" t="s">
        <v>872</v>
      </c>
      <c r="K273" s="6">
        <f>IFERROR(IF(INDEX([4]ORTHO!$K$2:$K$21,MATCH($D273,[4]ORTHO!$D$2:$D$21,0))="","",INDEX([4]ORTHO!$K$2:$K$21,MATCH($D273,[4]ORTHO!$D$2:$D$21,0))),"")</f>
        <v>46266</v>
      </c>
      <c r="L273" s="11">
        <f ca="1">IF($O273="","",$O273-TODAY())</f>
        <v>193</v>
      </c>
      <c r="M273" s="11">
        <f ca="1">IF(AND(TRIM($A273)="Finalized",$K273&lt;&gt;""),"",IF($C273="","",$C273+365-TODAY()))</f>
        <v>197</v>
      </c>
      <c r="N273" s="11">
        <f ca="1">IF(AND(TRIM($A273)="Finalized",$K273&lt;&gt;""),"",IF($C273="","",$C273+120-TODAY()))</f>
        <v>-48</v>
      </c>
      <c r="O273" s="9">
        <f>IF(AND(TRIM($A273)="Finalized",$K273&lt;&gt;""),"",DATE(2027,4,20))</f>
        <v>46497</v>
      </c>
      <c r="P273" s="8" t="s">
        <v>73</v>
      </c>
      <c r="Q273" s="8" t="s">
        <v>739</v>
      </c>
      <c r="R273" s="8" t="s">
        <v>73</v>
      </c>
      <c r="S273" s="8" t="s">
        <v>74</v>
      </c>
      <c r="T273" s="8" t="s">
        <v>208</v>
      </c>
      <c r="U273" s="8" t="s">
        <v>74</v>
      </c>
      <c r="V273" s="8" t="s">
        <v>339</v>
      </c>
      <c r="W273" s="8" t="s">
        <v>76</v>
      </c>
      <c r="X273" s="8" t="s">
        <v>103</v>
      </c>
      <c r="Y273" s="8"/>
      <c r="Z273" s="8"/>
      <c r="AA273" s="8" t="s">
        <v>77</v>
      </c>
      <c r="AB273" s="10">
        <v>7623.07</v>
      </c>
      <c r="AC273" s="10">
        <v>0</v>
      </c>
      <c r="AD273" s="10">
        <v>0</v>
      </c>
      <c r="AE273" s="9">
        <v>46136</v>
      </c>
      <c r="AF273" s="10">
        <v>7623.07</v>
      </c>
      <c r="AG273" s="7">
        <v>110</v>
      </c>
      <c r="AH273" s="8" t="s">
        <v>145</v>
      </c>
      <c r="AI273" s="8"/>
      <c r="AJ273" s="8"/>
      <c r="AK273" s="8"/>
      <c r="AL273" s="7"/>
      <c r="AM273" s="8" t="s">
        <v>165</v>
      </c>
      <c r="AN273" s="8" t="s">
        <v>109</v>
      </c>
      <c r="AO273" s="9">
        <v>46134</v>
      </c>
    </row>
    <row r="274" spans="1:41" x14ac:dyDescent="0.25">
      <c r="A274" s="5" t="str">
        <f>IFERROR(IF(INDEX([4]DME!$A$2:$A$34,MATCH($D274,[4]DME!$D$2:$D$34,0))="","",INDEX([4]DME!$A$2:$A$34,MATCH($D274,[4]DME!$D$2:$D$34,0))),"")</f>
        <v>Denied</v>
      </c>
      <c r="B274" s="5" t="str">
        <f>IFERROR(IF(INDEX([4]DME!$B$2:$B$34,MATCH($D274,[4]DME!$D$2:$D$34,0))="","",INDEX([4]DME!$B$2:$B$34,MATCH($D274,[4]DME!$D$2:$D$34,0))),"")</f>
        <v>secondary - Edited COB info, and resubmitted - Primary paid</v>
      </c>
      <c r="C274" s="6">
        <f>IFERROR(IF(INDEX([4]DME!$C$2:$C$34,MATCH($D274,[4]DME!$D$2:$D$34,0))="","",INDEX([4]DME!$C$2:$C$34,MATCH($D274,[4]DME!$D$2:$D$34,0))),"")</f>
        <v>46281</v>
      </c>
      <c r="D274" s="7">
        <v>556808178</v>
      </c>
      <c r="E274" s="8" t="s">
        <v>870</v>
      </c>
      <c r="F274" s="9">
        <v>46132</v>
      </c>
      <c r="G274" s="8" t="s">
        <v>437</v>
      </c>
      <c r="H274" s="8" t="s">
        <v>437</v>
      </c>
      <c r="I274" s="8" t="s">
        <v>123</v>
      </c>
      <c r="J274" s="8" t="s">
        <v>85</v>
      </c>
      <c r="K274" s="6">
        <f>IFERROR(IF(INDEX([4]DME!$K$2:$K$34,MATCH($D274,[4]DME!$D$2:$D$34,0))="","",INDEX([4]DME!$K$2:$K$34,MATCH($D274,[4]DME!$D$2:$D$34,0))),"")</f>
        <v>46283</v>
      </c>
      <c r="L274" s="11">
        <f ca="1">IF($O274="","",$O274-TODAY())</f>
        <v>193</v>
      </c>
      <c r="M274" s="11">
        <f ca="1">IF(AND(TRIM($A274)="Finalized",$K274&lt;&gt;""),"",IF($C274="","",$C274+365-TODAY()))</f>
        <v>342</v>
      </c>
      <c r="N274" s="11">
        <f ca="1">IF(AND(TRIM($A274)="Finalized",$K274&lt;&gt;""),"",IF($C274="","",$C274+120-TODAY()))</f>
        <v>97</v>
      </c>
      <c r="O274" s="9">
        <f>IF(AND(TRIM($A274)="Finalized",$K274&lt;&gt;""),"",DATE(2027,4,20))</f>
        <v>46497</v>
      </c>
      <c r="P274" s="8" t="s">
        <v>73</v>
      </c>
      <c r="Q274" s="8" t="s">
        <v>739</v>
      </c>
      <c r="R274" s="8" t="s">
        <v>73</v>
      </c>
      <c r="S274" s="8" t="s">
        <v>74</v>
      </c>
      <c r="T274" s="8" t="s">
        <v>208</v>
      </c>
      <c r="U274" s="8" t="s">
        <v>74</v>
      </c>
      <c r="V274" s="8" t="s">
        <v>339</v>
      </c>
      <c r="W274" s="8" t="s">
        <v>89</v>
      </c>
      <c r="X274" s="8" t="s">
        <v>90</v>
      </c>
      <c r="Y274" s="8"/>
      <c r="Z274" s="8"/>
      <c r="AA274" s="8" t="s">
        <v>91</v>
      </c>
      <c r="AB274" s="10">
        <v>36353.800000000003</v>
      </c>
      <c r="AC274" s="10">
        <v>0</v>
      </c>
      <c r="AD274" s="10">
        <v>0</v>
      </c>
      <c r="AE274" s="9"/>
      <c r="AF274" s="10">
        <v>36353.800000000003</v>
      </c>
      <c r="AG274" s="7">
        <v>110</v>
      </c>
      <c r="AH274" s="8" t="s">
        <v>92</v>
      </c>
      <c r="AI274" s="8" t="s">
        <v>79</v>
      </c>
      <c r="AJ274" s="8"/>
      <c r="AK274" s="8"/>
      <c r="AL274" s="7"/>
      <c r="AM274" s="8" t="s">
        <v>745</v>
      </c>
      <c r="AN274" s="8" t="s">
        <v>746</v>
      </c>
      <c r="AO274" s="9">
        <v>46134</v>
      </c>
    </row>
    <row r="275" spans="1:41" x14ac:dyDescent="0.25">
      <c r="A275" s="5" t="str">
        <f>IFERROR(IF(INDEX([4]DME!$A$2:$A$34,MATCH($D275,[4]DME!$D$2:$D$34,0))="","",INDEX([4]DME!$A$2:$A$34,MATCH($D275,[4]DME!$D$2:$D$34,0))),"")</f>
        <v>Denied</v>
      </c>
      <c r="B275" s="5" t="str">
        <f>IFERROR(IF(INDEX([4]DME!$B$2:$B$34,MATCH($D275,[4]DME!$D$2:$D$34,0))="","",INDEX([4]DME!$B$2:$B$34,MATCH($D275,[4]DME!$D$2:$D$34,0))),"")</f>
        <v>MBI updated - Resubmitted - DND Missing/incomplete/invalid patient identifier</v>
      </c>
      <c r="C275" s="6">
        <f>IFERROR(IF(INDEX([4]DME!$C$2:$C$34,MATCH($D275,[4]DME!$D$2:$D$34,0))="","",INDEX([4]DME!$C$2:$C$34,MATCH($D275,[4]DME!$D$2:$D$34,0))),"")</f>
        <v>46199</v>
      </c>
      <c r="D275" s="7">
        <v>556834981</v>
      </c>
      <c r="E275" s="8" t="s">
        <v>873</v>
      </c>
      <c r="F275" s="9">
        <v>46132</v>
      </c>
      <c r="G275" s="8" t="s">
        <v>437</v>
      </c>
      <c r="H275" s="8" t="s">
        <v>437</v>
      </c>
      <c r="I275" s="8" t="s">
        <v>757</v>
      </c>
      <c r="J275" s="8" t="s">
        <v>382</v>
      </c>
      <c r="K275" s="6">
        <f>IFERROR(IF(INDEX([4]DME!$K$2:$K$34,MATCH($D275,[4]DME!$D$2:$D$34,0))="","",INDEX([4]DME!$K$2:$K$34,MATCH($D275,[4]DME!$D$2:$D$34,0))),"")</f>
        <v>46283</v>
      </c>
      <c r="L275" s="11">
        <f ca="1">IF($O275="","",$O275-TODAY())</f>
        <v>193</v>
      </c>
      <c r="M275" s="11">
        <f ca="1">IF(AND(TRIM($A275)="Finalized",$K275&lt;&gt;""),"",IF($C275="","",$C275+365-TODAY()))</f>
        <v>260</v>
      </c>
      <c r="N275" s="11">
        <f ca="1">IF(AND(TRIM($A275)="Finalized",$K275&lt;&gt;""),"",IF($C275="","",$C275+120-TODAY()))</f>
        <v>15</v>
      </c>
      <c r="O275" s="9">
        <f>IF(AND(TRIM($A275)="Finalized",$K275&lt;&gt;""),"",DATE(2027,4,20))</f>
        <v>46497</v>
      </c>
      <c r="P275" s="8" t="s">
        <v>73</v>
      </c>
      <c r="Q275" s="8" t="s">
        <v>739</v>
      </c>
      <c r="R275" s="8" t="s">
        <v>73</v>
      </c>
      <c r="S275" s="8" t="s">
        <v>74</v>
      </c>
      <c r="T275" s="8" t="s">
        <v>208</v>
      </c>
      <c r="U275" s="8" t="s">
        <v>74</v>
      </c>
      <c r="V275" s="8" t="s">
        <v>339</v>
      </c>
      <c r="W275" s="8" t="s">
        <v>89</v>
      </c>
      <c r="X275" s="8" t="s">
        <v>244</v>
      </c>
      <c r="Y275" s="8"/>
      <c r="Z275" s="8"/>
      <c r="AA275" s="8" t="s">
        <v>91</v>
      </c>
      <c r="AB275" s="10">
        <v>36353.800000000003</v>
      </c>
      <c r="AC275" s="10">
        <v>0</v>
      </c>
      <c r="AD275" s="10">
        <v>0</v>
      </c>
      <c r="AE275" s="9">
        <v>46199</v>
      </c>
      <c r="AF275" s="10">
        <v>36353.800000000003</v>
      </c>
      <c r="AG275" s="7">
        <v>110</v>
      </c>
      <c r="AH275" s="8" t="s">
        <v>92</v>
      </c>
      <c r="AI275" s="8"/>
      <c r="AJ275" s="8"/>
      <c r="AK275" s="8"/>
      <c r="AL275" s="7"/>
      <c r="AM275" s="8" t="s">
        <v>806</v>
      </c>
      <c r="AN275" s="8" t="s">
        <v>807</v>
      </c>
      <c r="AO275" s="9">
        <v>46198</v>
      </c>
    </row>
    <row r="276" spans="1:41" x14ac:dyDescent="0.25">
      <c r="A276" s="5" t="str">
        <f>IFERROR(IF(INDEX([4]US!$A$2:$A$23,MATCH($D276,[4]US!$D$2:$D$23,0))="","",INDEX([4]US!$A$2:$A$23,MATCH($D276,[4]US!$D$2:$D$23,0))),"")</f>
        <v>Pending</v>
      </c>
      <c r="B276" s="5" t="str">
        <f>IFERROR(IF(INDEX([4]US!$B$2:$B$23,MATCH($D276,[4]US!$D$2:$D$23,0))="","",INDEX([4]US!$B$2:$B$23,MATCH($D276,[4]US!$D$2:$D$23,0))),"")</f>
        <v xml:space="preserve">secondary - crossover to secondary - primary paid </v>
      </c>
      <c r="C276" s="6">
        <f>IFERROR(IF(INDEX([4]US!$C$2:$C$23,MATCH($D276,[4]US!$D$2:$D$23,0))="","",INDEX([4]US!$C$2:$C$23,MATCH($D276,[4]US!$D$2:$D$23,0))),"")</f>
        <v>46170</v>
      </c>
      <c r="D276" s="7">
        <v>558642115</v>
      </c>
      <c r="E276" s="8" t="s">
        <v>874</v>
      </c>
      <c r="F276" s="9">
        <v>46133</v>
      </c>
      <c r="G276" s="8" t="s">
        <v>114</v>
      </c>
      <c r="H276" s="8" t="s">
        <v>171</v>
      </c>
      <c r="I276" s="8" t="s">
        <v>114</v>
      </c>
      <c r="J276" s="8" t="s">
        <v>371</v>
      </c>
      <c r="K276" s="6">
        <f>IFERROR(IF(INDEX([4]US!$K$2:$K$23,MATCH($D276,[4]US!$D$2:$D$23,0))="","",INDEX([4]US!$K$2:$K$23,MATCH($D276,[4]US!$D$2:$D$23,0))),"")</f>
        <v>46277</v>
      </c>
      <c r="L276" s="11">
        <f ca="1">IF($O276="","",$O276-TODAY())</f>
        <v>194</v>
      </c>
      <c r="M276" s="11">
        <f ca="1">IF(AND(TRIM($A276)="Finalized",$K276&lt;&gt;""),"",IF($C276="","",$C276+365-TODAY()))</f>
        <v>231</v>
      </c>
      <c r="N276" s="11">
        <f ca="1">IF(AND(TRIM($A276)="Finalized",$K276&lt;&gt;""),"",IF($C276="","",$C276+120-TODAY()))</f>
        <v>-14</v>
      </c>
      <c r="O276" s="9">
        <f>IF(AND(TRIM($A276)="Finalized",$K276&lt;&gt;""),"",DATE(2027,4,21))</f>
        <v>46498</v>
      </c>
      <c r="P276" s="8" t="s">
        <v>73</v>
      </c>
      <c r="Q276" s="8" t="s">
        <v>739</v>
      </c>
      <c r="R276" s="8" t="s">
        <v>73</v>
      </c>
      <c r="S276" s="8" t="s">
        <v>74</v>
      </c>
      <c r="T276" s="8" t="s">
        <v>208</v>
      </c>
      <c r="U276" s="8" t="s">
        <v>74</v>
      </c>
      <c r="V276" s="8" t="s">
        <v>339</v>
      </c>
      <c r="W276" s="8" t="s">
        <v>129</v>
      </c>
      <c r="X276" s="8"/>
      <c r="Y276" s="8"/>
      <c r="Z276" s="8"/>
      <c r="AA276" s="8" t="s">
        <v>77</v>
      </c>
      <c r="AB276" s="10">
        <v>3822.49</v>
      </c>
      <c r="AC276" s="10">
        <v>3388.74</v>
      </c>
      <c r="AD276" s="10">
        <v>338.78</v>
      </c>
      <c r="AE276" s="9">
        <v>46170</v>
      </c>
      <c r="AF276" s="10">
        <v>94.97</v>
      </c>
      <c r="AG276" s="7">
        <v>109</v>
      </c>
      <c r="AH276" s="8" t="s">
        <v>139</v>
      </c>
      <c r="AI276" s="8" t="s">
        <v>138</v>
      </c>
      <c r="AJ276" s="8" t="s">
        <v>130</v>
      </c>
      <c r="AK276" s="8"/>
      <c r="AL276" s="7">
        <v>561714739</v>
      </c>
      <c r="AM276" s="8" t="s">
        <v>157</v>
      </c>
      <c r="AN276" s="8" t="s">
        <v>158</v>
      </c>
      <c r="AO276" s="9">
        <v>46141</v>
      </c>
    </row>
    <row r="277" spans="1:41" x14ac:dyDescent="0.25">
      <c r="A277" s="5" t="str">
        <f>IFERROR(IF(INDEX([4]BH!$A$2:$A$12,MATCH($D277,[4]BH!$D$2:$D$12,0))="","",INDEX([4]BH!$A$2:$A$12,MATCH($D277,[4]BH!$D$2:$D$12,0))),"")</f>
        <v>Pending</v>
      </c>
      <c r="B277" s="5" t="str">
        <f>IFERROR(IF(INDEX([4]BH!$B$2:$B$12,MATCH($D277,[4]BH!$D$2:$D$12,0))="","",INDEX([4]BH!$B$2:$B$12,MATCH($D277,[4]BH!$D$2:$D$12,0))),"")</f>
        <v>secondary - Sent on 06/08/2026 - None of the secon claims are paid - Primary paid</v>
      </c>
      <c r="C277" s="6" t="str">
        <f>IFERROR(IF(INDEX([4]BH!$C$2:$C$12,MATCH($D277,[4]BH!$D$2:$D$12,0))="","",INDEX([4]BH!$C$2:$C$12,MATCH($D277,[4]BH!$D$2:$D$12,0))),"")</f>
        <v/>
      </c>
      <c r="D277" s="7">
        <v>556872696</v>
      </c>
      <c r="E277" s="8" t="s">
        <v>875</v>
      </c>
      <c r="F277" s="9">
        <v>46133</v>
      </c>
      <c r="G277" s="8" t="s">
        <v>876</v>
      </c>
      <c r="H277" s="8" t="s">
        <v>843</v>
      </c>
      <c r="I277" s="8" t="s">
        <v>876</v>
      </c>
      <c r="J277" s="8" t="s">
        <v>195</v>
      </c>
      <c r="K277" s="6" t="str">
        <f>IFERROR(IF(INDEX([4]BH!$K$2:$K$12,MATCH($D277,[4]BH!$D$2:$D$12,0))="","",INDEX([4]BH!$K$2:$K$12,MATCH($D277,[4]BH!$D$2:$D$12,0))),"")</f>
        <v/>
      </c>
      <c r="L277" s="11">
        <f ca="1">IF($O277="","",$O277-TODAY())</f>
        <v>194</v>
      </c>
      <c r="M277" s="11" t="str">
        <f ca="1">IF(AND(TRIM($A277)="Finalized",$K277&lt;&gt;""),"",IF($C277="","",$C277+365-TODAY()))</f>
        <v/>
      </c>
      <c r="N277" s="11" t="str">
        <f ca="1">IF(AND(TRIM($A277)="Finalized",$K277&lt;&gt;""),"",IF($C277="","",$C277+120-TODAY()))</f>
        <v/>
      </c>
      <c r="O277" s="9">
        <f>IF(AND(TRIM($A277)="Finalized",$K277&lt;&gt;""),"",DATE(2027,4,21))</f>
        <v>46498</v>
      </c>
      <c r="P277" s="8" t="s">
        <v>73</v>
      </c>
      <c r="Q277" s="8" t="s">
        <v>739</v>
      </c>
      <c r="R277" s="8" t="s">
        <v>73</v>
      </c>
      <c r="S277" s="8" t="s">
        <v>74</v>
      </c>
      <c r="T277" s="8" t="s">
        <v>208</v>
      </c>
      <c r="U277" s="8" t="s">
        <v>74</v>
      </c>
      <c r="V277" s="8" t="s">
        <v>339</v>
      </c>
      <c r="W277" s="8" t="s">
        <v>118</v>
      </c>
      <c r="X277" s="8"/>
      <c r="Y277" s="8"/>
      <c r="Z277" s="8"/>
      <c r="AA277" s="8" t="s">
        <v>77</v>
      </c>
      <c r="AB277" s="10">
        <v>1426.25</v>
      </c>
      <c r="AC277" s="10">
        <v>1212.77</v>
      </c>
      <c r="AD277" s="10">
        <v>170.09</v>
      </c>
      <c r="AE277" s="9">
        <v>46168</v>
      </c>
      <c r="AF277" s="10">
        <v>43.39</v>
      </c>
      <c r="AG277" s="7">
        <v>109</v>
      </c>
      <c r="AH277" s="8" t="s">
        <v>119</v>
      </c>
      <c r="AI277" s="8"/>
      <c r="AJ277" s="8"/>
      <c r="AK277" s="8"/>
      <c r="AL277" s="7">
        <v>561534353</v>
      </c>
      <c r="AM277" s="8" t="s">
        <v>126</v>
      </c>
      <c r="AN277" s="8" t="s">
        <v>121</v>
      </c>
      <c r="AO277" s="9">
        <v>46153</v>
      </c>
    </row>
    <row r="278" spans="1:41" x14ac:dyDescent="0.25">
      <c r="A278" s="5" t="str">
        <f>IFERROR(IF(INDEX([4]US!$A$2:$A$23,MATCH($D278,[4]US!$D$2:$D$23,0))="","",INDEX([4]US!$A$2:$A$23,MATCH($D278,[4]US!$D$2:$D$23,0))),"")</f>
        <v>Pending</v>
      </c>
      <c r="B278" s="5" t="str">
        <f>IFERROR(IF(INDEX([4]US!$B$2:$B$23,MATCH($D278,[4]US!$D$2:$D$23,0))="","",INDEX([4]US!$B$2:$B$23,MATCH($D278,[4]US!$D$2:$D$23,0))),"")</f>
        <v xml:space="preserve">secondary - crossover to secondary - primary paid </v>
      </c>
      <c r="C278" s="6">
        <f>IFERROR(IF(INDEX([4]US!$C$2:$C$23,MATCH($D278,[4]US!$D$2:$D$23,0))="","",INDEX([4]US!$C$2:$C$23,MATCH($D278,[4]US!$D$2:$D$23,0))),"")</f>
        <v>46155</v>
      </c>
      <c r="D278" s="7">
        <v>557577339</v>
      </c>
      <c r="E278" s="8" t="s">
        <v>877</v>
      </c>
      <c r="F278" s="9">
        <v>46134</v>
      </c>
      <c r="G278" s="8" t="s">
        <v>123</v>
      </c>
      <c r="H278" s="8" t="s">
        <v>171</v>
      </c>
      <c r="I278" s="8" t="s">
        <v>123</v>
      </c>
      <c r="J278" s="8" t="s">
        <v>135</v>
      </c>
      <c r="K278" s="6">
        <f>IFERROR(IF(INDEX([4]US!$K$2:$K$23,MATCH($D278,[4]US!$D$2:$D$23,0))="","",INDEX([4]US!$K$2:$K$23,MATCH($D278,[4]US!$D$2:$D$23,0))),"")</f>
        <v>46277</v>
      </c>
      <c r="L278" s="11">
        <f ca="1">IF($O278="","",$O278-TODAY())</f>
        <v>195</v>
      </c>
      <c r="M278" s="11">
        <f ca="1">IF(AND(TRIM($A278)="Finalized",$K278&lt;&gt;""),"",IF($C278="","",$C278+365-TODAY()))</f>
        <v>216</v>
      </c>
      <c r="N278" s="11">
        <f ca="1">IF(AND(TRIM($A278)="Finalized",$K278&lt;&gt;""),"",IF($C278="","",$C278+120-TODAY()))</f>
        <v>-29</v>
      </c>
      <c r="O278" s="9">
        <f>IF(AND(TRIM($A278)="Finalized",$K278&lt;&gt;""),"",DATE(2027,4,22))</f>
        <v>46499</v>
      </c>
      <c r="P278" s="8" t="s">
        <v>73</v>
      </c>
      <c r="Q278" s="8" t="s">
        <v>739</v>
      </c>
      <c r="R278" s="8" t="s">
        <v>73</v>
      </c>
      <c r="S278" s="8" t="s">
        <v>74</v>
      </c>
      <c r="T278" s="8" t="s">
        <v>208</v>
      </c>
      <c r="U278" s="8" t="s">
        <v>74</v>
      </c>
      <c r="V278" s="8" t="s">
        <v>339</v>
      </c>
      <c r="W278" s="8" t="s">
        <v>129</v>
      </c>
      <c r="X278" s="8"/>
      <c r="Y278" s="8"/>
      <c r="Z278" s="8"/>
      <c r="AA278" s="8" t="s">
        <v>77</v>
      </c>
      <c r="AB278" s="10">
        <v>1294.23</v>
      </c>
      <c r="AC278" s="10">
        <v>1127.69</v>
      </c>
      <c r="AD278" s="10">
        <v>130.80000000000001</v>
      </c>
      <c r="AE278" s="9">
        <v>46155</v>
      </c>
      <c r="AF278" s="10">
        <v>35.74</v>
      </c>
      <c r="AG278" s="7">
        <v>108</v>
      </c>
      <c r="AH278" s="8" t="s">
        <v>79</v>
      </c>
      <c r="AI278" s="8" t="s">
        <v>330</v>
      </c>
      <c r="AJ278" s="8" t="s">
        <v>878</v>
      </c>
      <c r="AK278" s="8"/>
      <c r="AL278" s="7">
        <v>560552425</v>
      </c>
      <c r="AM278" s="8" t="s">
        <v>165</v>
      </c>
      <c r="AN278" s="8" t="s">
        <v>95</v>
      </c>
      <c r="AO278" s="9">
        <v>46141</v>
      </c>
    </row>
    <row r="279" spans="1:41" x14ac:dyDescent="0.25">
      <c r="A279" s="5" t="str">
        <f>IFERROR(IF(INDEX([4]ORTHO!$A$2:$A$21,MATCH($D279,[4]ORTHO!$D$2:$D$21,0))="","",INDEX([4]ORTHO!$A$2:$A$21,MATCH($D279,[4]ORTHO!$D$2:$D$21,0))),"")</f>
        <v>Denied</v>
      </c>
      <c r="B279" s="5" t="str">
        <f>IFERROR(IF(INDEX([4]ORTHO!$B$2:$B$21,MATCH($D279,[4]ORTHO!$D$2:$D$21,0))="","",INDEX([4]ORTHO!$B$2:$B$21,MATCH($D279,[4]ORTHO!$D$2:$D$21,0))),"")</f>
        <v>MBI updated on chart, and resubmitted - DND Missing/incomplete/invalid patient identifier</v>
      </c>
      <c r="C279" s="6">
        <f>IFERROR(IF(INDEX([4]ORTHO!$C$2:$C$21,MATCH($D279,[4]ORTHO!$D$2:$D$21,0))="","",INDEX([4]ORTHO!$C$2:$C$21,MATCH($D279,[4]ORTHO!$D$2:$D$21,0))),"")</f>
        <v>46147</v>
      </c>
      <c r="D279" s="7">
        <v>557458399</v>
      </c>
      <c r="E279" s="8" t="s">
        <v>869</v>
      </c>
      <c r="F279" s="9">
        <v>46135</v>
      </c>
      <c r="G279" s="8" t="s">
        <v>171</v>
      </c>
      <c r="H279" s="8" t="s">
        <v>171</v>
      </c>
      <c r="I279" s="8" t="s">
        <v>750</v>
      </c>
      <c r="J279" s="8" t="s">
        <v>143</v>
      </c>
      <c r="K279" s="6">
        <f>IFERROR(IF(INDEX([4]ORTHO!$K$2:$K$21,MATCH($D279,[4]ORTHO!$D$2:$D$21,0))="","",INDEX([4]ORTHO!$K$2:$K$21,MATCH($D279,[4]ORTHO!$D$2:$D$21,0))),"")</f>
        <v>46278</v>
      </c>
      <c r="L279" s="11">
        <f ca="1">IF($O279="","",$O279-TODAY())</f>
        <v>196</v>
      </c>
      <c r="M279" s="11">
        <f ca="1">IF(AND(TRIM($A279)="Finalized",$K279&lt;&gt;""),"",IF($C279="","",$C279+365-TODAY()))</f>
        <v>208</v>
      </c>
      <c r="N279" s="11">
        <f ca="1">IF(AND(TRIM($A279)="Finalized",$K279&lt;&gt;""),"",IF($C279="","",$C279+120-TODAY()))</f>
        <v>-37</v>
      </c>
      <c r="O279" s="9">
        <f>IF(AND(TRIM($A279)="Finalized",$K279&lt;&gt;""),"",DATE(2027,4,23))</f>
        <v>46500</v>
      </c>
      <c r="P279" s="8" t="s">
        <v>73</v>
      </c>
      <c r="Q279" s="8" t="s">
        <v>739</v>
      </c>
      <c r="R279" s="8" t="s">
        <v>73</v>
      </c>
      <c r="S279" s="8" t="s">
        <v>74</v>
      </c>
      <c r="T279" s="8" t="s">
        <v>208</v>
      </c>
      <c r="U279" s="8" t="s">
        <v>74</v>
      </c>
      <c r="V279" s="8" t="s">
        <v>339</v>
      </c>
      <c r="W279" s="8" t="s">
        <v>76</v>
      </c>
      <c r="X279" s="8"/>
      <c r="Y279" s="8"/>
      <c r="Z279" s="8"/>
      <c r="AA279" s="8" t="s">
        <v>77</v>
      </c>
      <c r="AB279" s="10">
        <v>7623.07</v>
      </c>
      <c r="AC279" s="10">
        <v>0</v>
      </c>
      <c r="AD279" s="10">
        <v>0</v>
      </c>
      <c r="AE279" s="9">
        <v>46147</v>
      </c>
      <c r="AF279" s="10">
        <v>7623.07</v>
      </c>
      <c r="AG279" s="7">
        <v>107</v>
      </c>
      <c r="AH279" s="8" t="s">
        <v>249</v>
      </c>
      <c r="AI279" s="8" t="s">
        <v>324</v>
      </c>
      <c r="AJ279" s="8" t="s">
        <v>879</v>
      </c>
      <c r="AK279" s="8"/>
      <c r="AL279" s="7"/>
      <c r="AM279" s="8" t="s">
        <v>217</v>
      </c>
      <c r="AN279" s="8" t="s">
        <v>109</v>
      </c>
      <c r="AO279" s="9">
        <v>46140</v>
      </c>
    </row>
    <row r="280" spans="1:41" x14ac:dyDescent="0.25">
      <c r="A280" s="5" t="str">
        <f>IFERROR(IF(INDEX([4]DME!$A$2:$A$34,MATCH($D280,[4]DME!$D$2:$D$34,0))="","",INDEX([4]DME!$A$2:$A$34,MATCH($D280,[4]DME!$D$2:$D$34,0))),"")</f>
        <v>Denied</v>
      </c>
      <c r="B280" s="5" t="str">
        <f>IFERROR(IF(INDEX([4]DME!$B$2:$B$34,MATCH($D280,[4]DME!$D$2:$D$34,0))="","",INDEX([4]DME!$B$2:$B$34,MATCH($D280,[4]DME!$D$2:$D$34,0))),"")</f>
        <v>MBI updated on chart, and resubmitted - DND Missing/incomplete/invalid patient identifier</v>
      </c>
      <c r="C280" s="6">
        <f>IFERROR(IF(INDEX([4]DME!$C$2:$C$34,MATCH($D280,[4]DME!$D$2:$D$34,0))="","",INDEX([4]DME!$C$2:$C$34,MATCH($D280,[4]DME!$D$2:$D$34,0))),"")</f>
        <v>46142</v>
      </c>
      <c r="D280" s="7">
        <v>557499174</v>
      </c>
      <c r="E280" s="8" t="s">
        <v>869</v>
      </c>
      <c r="F280" s="9">
        <v>46139</v>
      </c>
      <c r="G280" s="8" t="s">
        <v>437</v>
      </c>
      <c r="H280" s="8" t="s">
        <v>437</v>
      </c>
      <c r="I280" s="8" t="s">
        <v>750</v>
      </c>
      <c r="J280" s="8" t="s">
        <v>373</v>
      </c>
      <c r="K280" s="6">
        <f>IFERROR(IF(INDEX([4]DME!$K$2:$K$34,MATCH($D280,[4]DME!$D$2:$D$34,0))="","",INDEX([4]DME!$K$2:$K$34,MATCH($D280,[4]DME!$D$2:$D$34,0))),"")</f>
        <v>46278</v>
      </c>
      <c r="L280" s="11">
        <f ca="1">IF($O280="","",$O280-TODAY())</f>
        <v>200</v>
      </c>
      <c r="M280" s="11">
        <f ca="1">IF(AND(TRIM($A280)="Finalized",$K280&lt;&gt;""),"",IF($C280="","",$C280+365-TODAY()))</f>
        <v>203</v>
      </c>
      <c r="N280" s="11">
        <f ca="1">IF(AND(TRIM($A280)="Finalized",$K280&lt;&gt;""),"",IF($C280="","",$C280+120-TODAY()))</f>
        <v>-42</v>
      </c>
      <c r="O280" s="9">
        <f>IF(AND(TRIM($A280)="Finalized",$K280&lt;&gt;""),"",DATE(2027,4,27))</f>
        <v>46504</v>
      </c>
      <c r="P280" s="8" t="s">
        <v>73</v>
      </c>
      <c r="Q280" s="8" t="s">
        <v>739</v>
      </c>
      <c r="R280" s="8" t="s">
        <v>73</v>
      </c>
      <c r="S280" s="8" t="s">
        <v>74</v>
      </c>
      <c r="T280" s="8" t="s">
        <v>208</v>
      </c>
      <c r="U280" s="8" t="s">
        <v>74</v>
      </c>
      <c r="V280" s="8" t="s">
        <v>339</v>
      </c>
      <c r="W280" s="8" t="s">
        <v>89</v>
      </c>
      <c r="X280" s="8" t="s">
        <v>244</v>
      </c>
      <c r="Y280" s="8"/>
      <c r="Z280" s="8"/>
      <c r="AA280" s="8" t="s">
        <v>190</v>
      </c>
      <c r="AB280" s="10">
        <v>2958.2</v>
      </c>
      <c r="AC280" s="10">
        <v>0</v>
      </c>
      <c r="AD280" s="10">
        <v>0</v>
      </c>
      <c r="AE280" s="9">
        <v>46142</v>
      </c>
      <c r="AF280" s="10">
        <v>2958.2</v>
      </c>
      <c r="AG280" s="7">
        <v>103</v>
      </c>
      <c r="AH280" s="8" t="s">
        <v>92</v>
      </c>
      <c r="AI280" s="8"/>
      <c r="AJ280" s="8"/>
      <c r="AK280" s="8"/>
      <c r="AL280" s="7"/>
      <c r="AM280" s="8" t="s">
        <v>806</v>
      </c>
      <c r="AN280" s="8" t="s">
        <v>807</v>
      </c>
      <c r="AO280" s="9">
        <v>46140</v>
      </c>
    </row>
    <row r="281" spans="1:41" x14ac:dyDescent="0.25">
      <c r="A281" s="5" t="str">
        <f>IFERROR(IF(INDEX([4]US!$A$2:$A$23,MATCH($D281,[4]US!$D$2:$D$23,0))="","",INDEX([4]US!$A$2:$A$23,MATCH($D281,[4]US!$D$2:$D$23,0))),"")</f>
        <v>Denied</v>
      </c>
      <c r="B281" s="5" t="str">
        <f>IFERROR(IF(INDEX([4]US!$B$2:$B$23,MATCH($D281,[4]US!$D$2:$D$23,0))="","",INDEX([4]US!$B$2:$B$23,MATCH($D281,[4]US!$D$2:$D$23,0))),"")</f>
        <v>Corrected ordering/referring provider, and resubmitted</v>
      </c>
      <c r="C281" s="6">
        <f>IFERROR(IF(INDEX([4]US!$C$2:$C$23,MATCH($D281,[4]US!$D$2:$D$23,0))="","",INDEX([4]US!$C$2:$C$23,MATCH($D281,[4]US!$D$2:$D$23,0))),"")</f>
        <v>46154</v>
      </c>
      <c r="D281" s="7">
        <v>558245138</v>
      </c>
      <c r="E281" s="8" t="s">
        <v>880</v>
      </c>
      <c r="F281" s="9">
        <v>46140</v>
      </c>
      <c r="G281" s="8" t="s">
        <v>171</v>
      </c>
      <c r="H281" s="8" t="s">
        <v>171</v>
      </c>
      <c r="I281" s="8" t="s">
        <v>754</v>
      </c>
      <c r="J281" s="8" t="s">
        <v>881</v>
      </c>
      <c r="K281" s="6">
        <f>IFERROR(IF(INDEX([4]US!$K$2:$K$23,MATCH($D281,[4]US!$D$2:$D$23,0))="","",INDEX([4]US!$K$2:$K$23,MATCH($D281,[4]US!$D$2:$D$23,0))),"")</f>
        <v>46277</v>
      </c>
      <c r="L281" s="11">
        <f ca="1">IF($O281="","",$O281-TODAY())</f>
        <v>201</v>
      </c>
      <c r="M281" s="11">
        <f ca="1">IF(AND(TRIM($A281)="Finalized",$K281&lt;&gt;""),"",IF($C281="","",$C281+365-TODAY()))</f>
        <v>215</v>
      </c>
      <c r="N281" s="11">
        <f ca="1">IF(AND(TRIM($A281)="Finalized",$K281&lt;&gt;""),"",IF($C281="","",$C281+120-TODAY()))</f>
        <v>-30</v>
      </c>
      <c r="O281" s="9">
        <f>IF(AND(TRIM($A281)="Finalized",$K281&lt;&gt;""),"",DATE(2027,4,28))</f>
        <v>46505</v>
      </c>
      <c r="P281" s="8" t="s">
        <v>73</v>
      </c>
      <c r="Q281" s="8" t="s">
        <v>739</v>
      </c>
      <c r="R281" s="8" t="s">
        <v>73</v>
      </c>
      <c r="S281" s="8" t="s">
        <v>74</v>
      </c>
      <c r="T281" s="8" t="s">
        <v>208</v>
      </c>
      <c r="U281" s="8" t="s">
        <v>74</v>
      </c>
      <c r="V281" s="8" t="s">
        <v>339</v>
      </c>
      <c r="W281" s="8" t="s">
        <v>129</v>
      </c>
      <c r="X281" s="8"/>
      <c r="Y281" s="8"/>
      <c r="Z281" s="8"/>
      <c r="AA281" s="8" t="s">
        <v>77</v>
      </c>
      <c r="AB281" s="10">
        <v>3486.42</v>
      </c>
      <c r="AC281" s="10">
        <v>0</v>
      </c>
      <c r="AD281" s="10">
        <v>0</v>
      </c>
      <c r="AE281" s="9">
        <v>46154</v>
      </c>
      <c r="AF281" s="10">
        <v>3486.42</v>
      </c>
      <c r="AG281" s="7">
        <v>102</v>
      </c>
      <c r="AH281" s="8" t="s">
        <v>882</v>
      </c>
      <c r="AI281" s="8"/>
      <c r="AJ281" s="8"/>
      <c r="AK281" s="8"/>
      <c r="AL281" s="7"/>
      <c r="AM281" s="8" t="s">
        <v>157</v>
      </c>
      <c r="AN281" s="8" t="s">
        <v>158</v>
      </c>
      <c r="AO281" s="9">
        <v>46147</v>
      </c>
    </row>
    <row r="282" spans="1:41" x14ac:dyDescent="0.25">
      <c r="A282" s="5" t="str">
        <f>IFERROR(IF(INDEX([4]US!$A$2:$A$23,MATCH($D282,[4]US!$D$2:$D$23,0))="","",INDEX([4]US!$A$2:$A$23,MATCH($D282,[4]US!$D$2:$D$23,0))),"")</f>
        <v>Denied</v>
      </c>
      <c r="B282" s="5" t="str">
        <f>IFERROR(IF(INDEX([4]US!$B$2:$B$23,MATCH($D282,[4]US!$D$2:$D$23,0))="","",INDEX([4]US!$B$2:$B$23,MATCH($D282,[4]US!$D$2:$D$23,0))),"")</f>
        <v>Corrected ordering/referring provider, and resubmitted</v>
      </c>
      <c r="C282" s="6">
        <f>IFERROR(IF(INDEX([4]US!$C$2:$C$23,MATCH($D282,[4]US!$D$2:$D$23,0))="","",INDEX([4]US!$C$2:$C$23,MATCH($D282,[4]US!$D$2:$D$23,0))),"")</f>
        <v>46154</v>
      </c>
      <c r="D282" s="7">
        <v>558246366</v>
      </c>
      <c r="E282" s="8" t="s">
        <v>848</v>
      </c>
      <c r="F282" s="9">
        <v>46141</v>
      </c>
      <c r="G282" s="8" t="s">
        <v>171</v>
      </c>
      <c r="H282" s="8" t="s">
        <v>171</v>
      </c>
      <c r="I282" s="8" t="s">
        <v>123</v>
      </c>
      <c r="J282" s="8" t="s">
        <v>135</v>
      </c>
      <c r="K282" s="6">
        <f>IFERROR(IF(INDEX([4]US!$K$2:$K$23,MATCH($D282,[4]US!$D$2:$D$23,0))="","",INDEX([4]US!$K$2:$K$23,MATCH($D282,[4]US!$D$2:$D$23,0))),"")</f>
        <v>46277</v>
      </c>
      <c r="L282" s="11">
        <f ca="1">IF($O282="","",$O282-TODAY())</f>
        <v>202</v>
      </c>
      <c r="M282" s="11">
        <f ca="1">IF(AND(TRIM($A282)="Finalized",$K282&lt;&gt;""),"",IF($C282="","",$C282+365-TODAY()))</f>
        <v>215</v>
      </c>
      <c r="N282" s="11">
        <f ca="1">IF(AND(TRIM($A282)="Finalized",$K282&lt;&gt;""),"",IF($C282="","",$C282+120-TODAY()))</f>
        <v>-30</v>
      </c>
      <c r="O282" s="9">
        <f>IF(AND(TRIM($A282)="Finalized",$K282&lt;&gt;""),"",DATE(2027,4,29))</f>
        <v>46506</v>
      </c>
      <c r="P282" s="8" t="s">
        <v>73</v>
      </c>
      <c r="Q282" s="8" t="s">
        <v>739</v>
      </c>
      <c r="R282" s="8" t="s">
        <v>73</v>
      </c>
      <c r="S282" s="8" t="s">
        <v>74</v>
      </c>
      <c r="T282" s="8" t="s">
        <v>208</v>
      </c>
      <c r="U282" s="8" t="s">
        <v>74</v>
      </c>
      <c r="V282" s="8" t="s">
        <v>339</v>
      </c>
      <c r="W282" s="8" t="s">
        <v>129</v>
      </c>
      <c r="X282" s="8"/>
      <c r="Y282" s="8"/>
      <c r="Z282" s="8"/>
      <c r="AA282" s="8" t="s">
        <v>77</v>
      </c>
      <c r="AB282" s="10">
        <v>1294.23</v>
      </c>
      <c r="AC282" s="10">
        <v>0</v>
      </c>
      <c r="AD282" s="10">
        <v>0</v>
      </c>
      <c r="AE282" s="9">
        <v>46154</v>
      </c>
      <c r="AF282" s="10">
        <v>1294.23</v>
      </c>
      <c r="AG282" s="7">
        <v>101</v>
      </c>
      <c r="AH282" s="8" t="s">
        <v>137</v>
      </c>
      <c r="AI282" s="8"/>
      <c r="AJ282" s="8"/>
      <c r="AK282" s="8"/>
      <c r="AL282" s="7"/>
      <c r="AM282" s="8" t="s">
        <v>165</v>
      </c>
      <c r="AN282" s="8" t="s">
        <v>95</v>
      </c>
      <c r="AO282" s="9">
        <v>46147</v>
      </c>
    </row>
    <row r="283" spans="1:41" x14ac:dyDescent="0.25">
      <c r="A283" s="5" t="str">
        <f>IFERROR(IF(INDEX([4]US!$A$2:$A$23,MATCH($D283,[4]US!$D$2:$D$23,0))="","",INDEX([4]US!$A$2:$A$23,MATCH($D283,[4]US!$D$2:$D$23,0))),"")</f>
        <v>Denied</v>
      </c>
      <c r="B283" s="5" t="str">
        <f>IFERROR(IF(INDEX([4]US!$B$2:$B$23,MATCH($D283,[4]US!$D$2:$D$23,0))="","",INDEX([4]US!$B$2:$B$23,MATCH($D283,[4]US!$D$2:$D$23,0))),"")</f>
        <v>Corrected ordering/referring provider, and resubmitted</v>
      </c>
      <c r="C283" s="6">
        <f>IFERROR(IF(INDEX([4]US!$C$2:$C$23,MATCH($D283,[4]US!$D$2:$D$23,0))="","",INDEX([4]US!$C$2:$C$23,MATCH($D283,[4]US!$D$2:$D$23,0))),"")</f>
        <v>46154</v>
      </c>
      <c r="D283" s="7">
        <v>558247000</v>
      </c>
      <c r="E283" s="8" t="s">
        <v>883</v>
      </c>
      <c r="F283" s="9">
        <v>46141</v>
      </c>
      <c r="G283" s="8" t="s">
        <v>171</v>
      </c>
      <c r="H283" s="8" t="s">
        <v>171</v>
      </c>
      <c r="I283" s="8" t="s">
        <v>123</v>
      </c>
      <c r="J283" s="8" t="s">
        <v>348</v>
      </c>
      <c r="K283" s="6">
        <f>IFERROR(IF(INDEX([4]US!$K$2:$K$23,MATCH($D283,[4]US!$D$2:$D$23,0))="","",INDEX([4]US!$K$2:$K$23,MATCH($D283,[4]US!$D$2:$D$23,0))),"")</f>
        <v>46277</v>
      </c>
      <c r="L283" s="11">
        <f ca="1">IF($O283="","",$O283-TODAY())</f>
        <v>202</v>
      </c>
      <c r="M283" s="11">
        <f ca="1">IF(AND(TRIM($A283)="Finalized",$K283&lt;&gt;""),"",IF($C283="","",$C283+365-TODAY()))</f>
        <v>215</v>
      </c>
      <c r="N283" s="11">
        <f ca="1">IF(AND(TRIM($A283)="Finalized",$K283&lt;&gt;""),"",IF($C283="","",$C283+120-TODAY()))</f>
        <v>-30</v>
      </c>
      <c r="O283" s="9">
        <f>IF(AND(TRIM($A283)="Finalized",$K283&lt;&gt;""),"",DATE(2027,4,29))</f>
        <v>46506</v>
      </c>
      <c r="P283" s="8" t="s">
        <v>73</v>
      </c>
      <c r="Q283" s="8" t="s">
        <v>739</v>
      </c>
      <c r="R283" s="8" t="s">
        <v>73</v>
      </c>
      <c r="S283" s="8" t="s">
        <v>74</v>
      </c>
      <c r="T283" s="8" t="s">
        <v>208</v>
      </c>
      <c r="U283" s="8" t="s">
        <v>74</v>
      </c>
      <c r="V283" s="8" t="s">
        <v>339</v>
      </c>
      <c r="W283" s="8" t="s">
        <v>129</v>
      </c>
      <c r="X283" s="8"/>
      <c r="Y283" s="8"/>
      <c r="Z283" s="8"/>
      <c r="AA283" s="8" t="s">
        <v>77</v>
      </c>
      <c r="AB283" s="10">
        <v>2173.29</v>
      </c>
      <c r="AC283" s="10">
        <v>0</v>
      </c>
      <c r="AD283" s="10">
        <v>0</v>
      </c>
      <c r="AE283" s="9">
        <v>46154</v>
      </c>
      <c r="AF283" s="10">
        <v>2173.29</v>
      </c>
      <c r="AG283" s="7">
        <v>101</v>
      </c>
      <c r="AH283" s="8" t="s">
        <v>137</v>
      </c>
      <c r="AI283" s="8"/>
      <c r="AJ283" s="8"/>
      <c r="AK283" s="8"/>
      <c r="AL283" s="7"/>
      <c r="AM283" s="8" t="s">
        <v>165</v>
      </c>
      <c r="AN283" s="8" t="s">
        <v>95</v>
      </c>
      <c r="AO283" s="9">
        <v>46147</v>
      </c>
    </row>
    <row r="284" spans="1:41" x14ac:dyDescent="0.25">
      <c r="A284" s="5" t="str">
        <f>IFERROR(IF(INDEX([4]DME!$A$2:$A$34,MATCH($D284,[4]DME!$D$2:$D$34,0))="","",INDEX([4]DME!$A$2:$A$34,MATCH($D284,[4]DME!$D$2:$D$34,0))),"")</f>
        <v>Pending</v>
      </c>
      <c r="B284" s="5" t="str">
        <f>IFERROR(IF(INDEX([4]DME!$B$2:$B$34,MATCH($D284,[4]DME!$D$2:$D$34,0))="","",INDEX([4]DME!$B$2:$B$34,MATCH($D284,[4]DME!$D$2:$D$34,0))),"")</f>
        <v xml:space="preserve">Secondary - Added rendering NPI 1518261023 to box 24j, cob info, and resubmitted </v>
      </c>
      <c r="C284" s="6">
        <f>IFERROR(IF(INDEX([4]DME!$C$2:$C$34,MATCH($D284,[4]DME!$D$2:$D$34,0))="","",INDEX([4]DME!$C$2:$C$34,MATCH($D284,[4]DME!$D$2:$D$34,0))),"")</f>
        <v>46202</v>
      </c>
      <c r="D284" s="7">
        <v>557798679</v>
      </c>
      <c r="E284" s="8" t="s">
        <v>884</v>
      </c>
      <c r="F284" s="9">
        <v>46142</v>
      </c>
      <c r="G284" s="8" t="s">
        <v>185</v>
      </c>
      <c r="H284" s="8" t="s">
        <v>437</v>
      </c>
      <c r="I284" s="8" t="s">
        <v>185</v>
      </c>
      <c r="J284" s="8" t="s">
        <v>649</v>
      </c>
      <c r="K284" s="6">
        <f>IFERROR(IF(INDEX([4]DME!$K$2:$K$34,MATCH($D284,[4]DME!$D$2:$D$34,0))="","",INDEX([4]DME!$K$2:$K$34,MATCH($D284,[4]DME!$D$2:$D$34,0))),"")</f>
        <v>46284</v>
      </c>
      <c r="L284" s="11">
        <f ca="1">IF($O284="","",$O284-TODAY())</f>
        <v>203</v>
      </c>
      <c r="M284" s="11">
        <f ca="1">IF(AND(TRIM($A284)="Finalized",$K284&lt;&gt;""),"",IF($C284="","",$C284+365-TODAY()))</f>
        <v>263</v>
      </c>
      <c r="N284" s="11">
        <f ca="1">IF(AND(TRIM($A284)="Finalized",$K284&lt;&gt;""),"",IF($C284="","",$C284+120-TODAY()))</f>
        <v>18</v>
      </c>
      <c r="O284" s="9">
        <f>IF(AND(TRIM($A284)="Finalized",$K284&lt;&gt;""),"",DATE(2027,4,30))</f>
        <v>46507</v>
      </c>
      <c r="P284" s="8" t="s">
        <v>73</v>
      </c>
      <c r="Q284" s="8" t="s">
        <v>739</v>
      </c>
      <c r="R284" s="8" t="s">
        <v>73</v>
      </c>
      <c r="S284" s="8" t="s">
        <v>74</v>
      </c>
      <c r="T284" s="8" t="s">
        <v>208</v>
      </c>
      <c r="U284" s="8" t="s">
        <v>74</v>
      </c>
      <c r="V284" s="8" t="s">
        <v>339</v>
      </c>
      <c r="W284" s="8" t="s">
        <v>89</v>
      </c>
      <c r="X284" s="8" t="s">
        <v>232</v>
      </c>
      <c r="Y284" s="8"/>
      <c r="Z284" s="8"/>
      <c r="AA284" s="8" t="s">
        <v>77</v>
      </c>
      <c r="AB284" s="10">
        <v>6392.96</v>
      </c>
      <c r="AC284" s="10">
        <v>5624.17</v>
      </c>
      <c r="AD284" s="10">
        <v>612.53</v>
      </c>
      <c r="AE284" s="9">
        <v>46202</v>
      </c>
      <c r="AF284" s="10">
        <v>156.26</v>
      </c>
      <c r="AG284" s="7">
        <v>100</v>
      </c>
      <c r="AH284" s="8" t="s">
        <v>79</v>
      </c>
      <c r="AI284" s="8" t="s">
        <v>318</v>
      </c>
      <c r="AJ284" s="8"/>
      <c r="AK284" s="8"/>
      <c r="AL284" s="7">
        <v>564922714</v>
      </c>
      <c r="AM284" s="8" t="s">
        <v>806</v>
      </c>
      <c r="AN284" s="8" t="s">
        <v>807</v>
      </c>
      <c r="AO284" s="9">
        <v>46153</v>
      </c>
    </row>
    <row r="285" spans="1:41" x14ac:dyDescent="0.25">
      <c r="A285" s="5" t="str">
        <f>IFERROR(IF(INDEX([5]ORTHO!$A$2:$A$24,MATCH($D285,[5]ORTHO!$D$2:$D$24,0))="","",INDEX([5]ORTHO!$A$2:$A$24,MATCH($D285,[5]ORTHO!$D$2:$D$24,0))),"")</f>
        <v>Denied</v>
      </c>
      <c r="B285" s="5" t="str">
        <f>IFERROR(IF(INDEX([5]ORTHO!$B$2:$B$24,MATCH($D285,[5]ORTHO!$D$2:$D$24,0))="","",INDEX([5]ORTHO!$B$2:$B$24,MATCH($D285,[5]ORTHO!$D$2:$D$24,0))),"")</f>
        <v>Deanne removed mod, and resubmitted</v>
      </c>
      <c r="C285" s="6">
        <f>IFERROR(IF(INDEX([5]ORTHO!$C$2:$C$24,MATCH($D285,[5]ORTHO!$D$2:$D$24,0))="","",INDEX([5]ORTHO!$C$2:$C$24,MATCH($D285,[5]ORTHO!$D$2:$D$24,0))),"")</f>
        <v>46157</v>
      </c>
      <c r="D285" s="7">
        <v>558809263</v>
      </c>
      <c r="E285" s="8" t="s">
        <v>795</v>
      </c>
      <c r="F285" s="9">
        <v>46143</v>
      </c>
      <c r="G285" s="8" t="s">
        <v>171</v>
      </c>
      <c r="H285" s="8" t="s">
        <v>171</v>
      </c>
      <c r="I285" s="8" t="s">
        <v>750</v>
      </c>
      <c r="J285" s="8" t="s">
        <v>151</v>
      </c>
      <c r="K285" s="6">
        <f>IFERROR(IF(INDEX([5]ORTHO!$K$2:$K$24,MATCH($D285,[5]ORTHO!$D$2:$D$24,0))="","",INDEX([5]ORTHO!$K$2:$K$24,MATCH($D285,[5]ORTHO!$D$2:$D$24,0))),"")</f>
        <v>46246</v>
      </c>
      <c r="L285" s="11">
        <f ca="1">IF($O285="","",$O285-TODAY())</f>
        <v>204</v>
      </c>
      <c r="M285" s="11">
        <f ca="1">IF(AND(TRIM($A285)="Finalized",$K285&lt;&gt;""),"",IF($C285="","",$C285+365-TODAY()))</f>
        <v>218</v>
      </c>
      <c r="N285" s="11">
        <f ca="1">IF(AND(TRIM($A285)="Finalized",$K285&lt;&gt;""),"",IF($C285="","",$C285+120-TODAY()))</f>
        <v>-27</v>
      </c>
      <c r="O285" s="9">
        <f>IF(AND(TRIM($A285)="Finalized",$K285&lt;&gt;""),"",DATE(2027,5,1))</f>
        <v>46508</v>
      </c>
      <c r="P285" s="8" t="s">
        <v>73</v>
      </c>
      <c r="Q285" s="8" t="s">
        <v>739</v>
      </c>
      <c r="R285" s="8" t="s">
        <v>73</v>
      </c>
      <c r="S285" s="8" t="s">
        <v>74</v>
      </c>
      <c r="T285" s="8" t="s">
        <v>208</v>
      </c>
      <c r="U285" s="8" t="s">
        <v>74</v>
      </c>
      <c r="V285" s="8" t="s">
        <v>365</v>
      </c>
      <c r="W285" s="8" t="s">
        <v>76</v>
      </c>
      <c r="X285" s="8" t="s">
        <v>153</v>
      </c>
      <c r="Y285" s="8"/>
      <c r="Z285" s="8"/>
      <c r="AA285" s="8" t="s">
        <v>77</v>
      </c>
      <c r="AB285" s="10">
        <v>7623.07</v>
      </c>
      <c r="AC285" s="10">
        <v>0</v>
      </c>
      <c r="AD285" s="10">
        <v>0</v>
      </c>
      <c r="AE285" s="9">
        <v>46157</v>
      </c>
      <c r="AF285" s="10">
        <v>7623.07</v>
      </c>
      <c r="AG285" s="7">
        <v>99</v>
      </c>
      <c r="AH285" s="8" t="s">
        <v>145</v>
      </c>
      <c r="AI285" s="8"/>
      <c r="AJ285" s="8"/>
      <c r="AK285" s="8"/>
      <c r="AL285" s="7"/>
      <c r="AM285" s="8" t="s">
        <v>278</v>
      </c>
      <c r="AN285" s="8" t="s">
        <v>109</v>
      </c>
      <c r="AO285" s="9">
        <v>46155</v>
      </c>
    </row>
    <row r="286" spans="1:41" x14ac:dyDescent="0.25">
      <c r="A286" s="5" t="str">
        <f>IFERROR(IF(INDEX([5]BH!$A$2:$A$33,MATCH($D286,[5]BH!$D$2:$D$33,0))="","",INDEX([5]BH!$A$2:$A$33,MATCH($D286,[5]BH!$D$2:$D$33,0))),"")</f>
        <v>Denied</v>
      </c>
      <c r="B286" s="5" t="str">
        <f>IFERROR(IF(INDEX([5]BH!$B$2:$B$33,MATCH($D286,[5]BH!$D$2:$D$33,0))="","",INDEX([5]BH!$B$2:$B$33,MATCH($D286,[5]BH!$D$2:$D$33,0))),"")</f>
        <v>MBI updated on chart, and resubmitted - MBI End Date 04/14/2026</v>
      </c>
      <c r="C286" s="6">
        <f>IFERROR(IF(INDEX([5]BH!$C$2:$C$33,MATCH($D286,[5]BH!$D$2:$D$33,0))="","",INDEX([5]BH!$C$2:$C$33,MATCH($D286,[5]BH!$D$2:$D$33,0))),"")</f>
        <v>46190</v>
      </c>
      <c r="D286" s="7">
        <v>558264075</v>
      </c>
      <c r="E286" s="8" t="s">
        <v>861</v>
      </c>
      <c r="F286" s="9">
        <v>46146</v>
      </c>
      <c r="G286" s="8" t="s">
        <v>171</v>
      </c>
      <c r="H286" s="8" t="s">
        <v>171</v>
      </c>
      <c r="I286" s="8" t="s">
        <v>750</v>
      </c>
      <c r="J286" s="8" t="s">
        <v>235</v>
      </c>
      <c r="K286" s="6">
        <f>IFERROR(IF(INDEX([5]BH!$K$2:$K$33,MATCH($D286,[5]BH!$D$2:$D$33,0))="","",INDEX([5]BH!$K$2:$K$33,MATCH($D286,[5]BH!$D$2:$D$33,0))),"")</f>
        <v>46252</v>
      </c>
      <c r="L286" s="11">
        <f ca="1">IF($O286="","",$O286-TODAY())</f>
        <v>207</v>
      </c>
      <c r="M286" s="11">
        <f ca="1">IF(AND(TRIM($A286)="Finalized",$K286&lt;&gt;""),"",IF($C286="","",$C286+365-TODAY()))</f>
        <v>251</v>
      </c>
      <c r="N286" s="11">
        <f ca="1">IF(AND(TRIM($A286)="Finalized",$K286&lt;&gt;""),"",IF($C286="","",$C286+120-TODAY()))</f>
        <v>6</v>
      </c>
      <c r="O286" s="9">
        <f>IF(AND(TRIM($A286)="Finalized",$K286&lt;&gt;""),"",DATE(2027,5,4))</f>
        <v>46511</v>
      </c>
      <c r="P286" s="8" t="s">
        <v>73</v>
      </c>
      <c r="Q286" s="8" t="s">
        <v>739</v>
      </c>
      <c r="R286" s="8" t="s">
        <v>73</v>
      </c>
      <c r="S286" s="8" t="s">
        <v>74</v>
      </c>
      <c r="T286" s="8" t="s">
        <v>208</v>
      </c>
      <c r="U286" s="8" t="s">
        <v>74</v>
      </c>
      <c r="V286" s="8" t="s">
        <v>365</v>
      </c>
      <c r="W286" s="8" t="s">
        <v>118</v>
      </c>
      <c r="X286" s="8"/>
      <c r="Y286" s="8"/>
      <c r="Z286" s="8"/>
      <c r="AA286" s="8" t="s">
        <v>112</v>
      </c>
      <c r="AB286" s="10">
        <v>1822.52</v>
      </c>
      <c r="AC286" s="10">
        <v>0</v>
      </c>
      <c r="AD286" s="10">
        <v>0</v>
      </c>
      <c r="AE286" s="9">
        <v>46190</v>
      </c>
      <c r="AF286" s="10">
        <v>1822.52</v>
      </c>
      <c r="AG286" s="7">
        <v>96</v>
      </c>
      <c r="AH286" s="8" t="s">
        <v>201</v>
      </c>
      <c r="AI286" s="8"/>
      <c r="AJ286" s="8"/>
      <c r="AK286" s="8"/>
      <c r="AL286" s="7"/>
      <c r="AM286" s="8" t="s">
        <v>126</v>
      </c>
      <c r="AN286" s="8" t="s">
        <v>121</v>
      </c>
      <c r="AO286" s="9">
        <v>46182</v>
      </c>
    </row>
    <row r="287" spans="1:41" x14ac:dyDescent="0.25">
      <c r="A287" s="5" t="str">
        <f>IFERROR(IF(INDEX([5]ORTHO!$A$2:$A$24,MATCH($D287,[5]ORTHO!$D$2:$D$24,0))="","",INDEX([5]ORTHO!$A$2:$A$24,MATCH($D287,[5]ORTHO!$D$2:$D$24,0))),"")</f>
        <v>Denied</v>
      </c>
      <c r="B287" s="5" t="str">
        <f>IFERROR(IF(INDEX([5]ORTHO!$B$2:$B$24,MATCH($D287,[5]ORTHO!$D$2:$D$24,0))="","",INDEX([5]ORTHO!$B$2:$B$24,MATCH($D287,[5]ORTHO!$D$2:$D$24,0))),"")</f>
        <v>MBI updated on chart, and resubmitted</v>
      </c>
      <c r="C287" s="6">
        <f>IFERROR(IF(INDEX([5]ORTHO!$C$2:$C$24,MATCH($D287,[5]ORTHO!$D$2:$D$24,0))="","",INDEX([5]ORTHO!$C$2:$C$24,MATCH($D287,[5]ORTHO!$D$2:$D$24,0))),"")</f>
        <v>46161</v>
      </c>
      <c r="D287" s="7">
        <v>569308141</v>
      </c>
      <c r="E287" s="8" t="s">
        <v>808</v>
      </c>
      <c r="F287" s="9">
        <v>46146</v>
      </c>
      <c r="G287" s="8" t="s">
        <v>171</v>
      </c>
      <c r="H287" s="8" t="s">
        <v>171</v>
      </c>
      <c r="I287" s="8" t="s">
        <v>123</v>
      </c>
      <c r="J287" s="8" t="s">
        <v>70</v>
      </c>
      <c r="K287" s="6">
        <f>IFERROR(IF(INDEX([5]ORTHO!$K$2:$K$24,MATCH($D287,[5]ORTHO!$D$2:$D$24,0))="","",INDEX([5]ORTHO!$K$2:$K$24,MATCH($D287,[5]ORTHO!$D$2:$D$24,0))),"")</f>
        <v>46254</v>
      </c>
      <c r="L287" s="11">
        <f ca="1">IF($O287="","",$O287-TODAY())</f>
        <v>207</v>
      </c>
      <c r="M287" s="11">
        <f ca="1">IF(AND(TRIM($A287)="Finalized",$K287&lt;&gt;""),"",IF($C287="","",$C287+365-TODAY()))</f>
        <v>222</v>
      </c>
      <c r="N287" s="11">
        <f ca="1">IF(AND(TRIM($A287)="Finalized",$K287&lt;&gt;""),"",IF($C287="","",$C287+120-TODAY()))</f>
        <v>-23</v>
      </c>
      <c r="O287" s="9">
        <f>IF(AND(TRIM($A287)="Finalized",$K287&lt;&gt;""),"",DATE(2027,5,4))</f>
        <v>46511</v>
      </c>
      <c r="P287" s="8" t="s">
        <v>73</v>
      </c>
      <c r="Q287" s="8" t="s">
        <v>739</v>
      </c>
      <c r="R287" s="8" t="s">
        <v>73</v>
      </c>
      <c r="S287" s="8" t="s">
        <v>74</v>
      </c>
      <c r="T287" s="8" t="s">
        <v>208</v>
      </c>
      <c r="U287" s="8" t="s">
        <v>74</v>
      </c>
      <c r="V287" s="8" t="s">
        <v>365</v>
      </c>
      <c r="W287" s="8" t="s">
        <v>76</v>
      </c>
      <c r="X287" s="8"/>
      <c r="Y287" s="8"/>
      <c r="Z287" s="8"/>
      <c r="AA287" s="8" t="s">
        <v>77</v>
      </c>
      <c r="AB287" s="10">
        <v>2493.33</v>
      </c>
      <c r="AC287" s="10">
        <v>0</v>
      </c>
      <c r="AD287" s="10">
        <v>0</v>
      </c>
      <c r="AE287" s="9">
        <v>46161</v>
      </c>
      <c r="AF287" s="10">
        <v>2493.33</v>
      </c>
      <c r="AG287" s="7">
        <v>96</v>
      </c>
      <c r="AH287" s="8" t="s">
        <v>886</v>
      </c>
      <c r="AI287" s="8" t="s">
        <v>887</v>
      </c>
      <c r="AJ287" s="8" t="s">
        <v>78</v>
      </c>
      <c r="AK287" s="8" t="s">
        <v>834</v>
      </c>
      <c r="AL287" s="7"/>
      <c r="AM287" s="8" t="s">
        <v>543</v>
      </c>
      <c r="AN287" s="8" t="s">
        <v>81</v>
      </c>
      <c r="AO287" s="9">
        <v>46155</v>
      </c>
    </row>
    <row r="288" spans="1:41" x14ac:dyDescent="0.25">
      <c r="A288" s="5" t="str">
        <f>IFERROR(IF(INDEX([5]BH!$A$2:$A$33,MATCH($D288,[5]BH!$D$2:$D$33,0))="","",INDEX([5]BH!$A$2:$A$33,MATCH($D288,[5]BH!$D$2:$D$33,0))),"")</f>
        <v>Pending</v>
      </c>
      <c r="B288" s="5" t="str">
        <f>IFERROR(IF(INDEX([5]BH!$B$2:$B$33,MATCH($D288,[5]BH!$D$2:$D$33,0))="","",INDEX([5]BH!$B$2:$B$33,MATCH($D288,[5]BH!$D$2:$D$33,0))),"")</f>
        <v>PENDING POSTING - Secondary</v>
      </c>
      <c r="C288" s="6">
        <f>IFERROR(IF(INDEX([5]BH!$C$2:$C$33,MATCH($D288,[5]BH!$D$2:$D$33,0))="","",INDEX([5]BH!$C$2:$C$33,MATCH($D288,[5]BH!$D$2:$D$33,0))),"")</f>
        <v>46196</v>
      </c>
      <c r="D288" s="7">
        <v>558264882</v>
      </c>
      <c r="E288" s="8" t="s">
        <v>888</v>
      </c>
      <c r="F288" s="9">
        <v>46147</v>
      </c>
      <c r="G288" s="8" t="s">
        <v>123</v>
      </c>
      <c r="H288" s="8" t="s">
        <v>171</v>
      </c>
      <c r="I288" s="8" t="s">
        <v>123</v>
      </c>
      <c r="J288" s="8" t="s">
        <v>195</v>
      </c>
      <c r="K288" s="6">
        <f>IFERROR(IF(INDEX([5]BH!$K$2:$K$33,MATCH($D288,[5]BH!$D$2:$D$33,0))="","",INDEX([5]BH!$K$2:$K$33,MATCH($D288,[5]BH!$D$2:$D$33,0))),"")</f>
        <v>46227</v>
      </c>
      <c r="L288" s="11">
        <f ca="1">IF($O288="","",$O288-TODAY())</f>
        <v>208</v>
      </c>
      <c r="M288" s="11">
        <f ca="1">IF(AND(TRIM($A288)="Finalized",$K288&lt;&gt;""),"",IF($C288="","",$C288+365-TODAY()))</f>
        <v>257</v>
      </c>
      <c r="N288" s="11">
        <f ca="1">IF(AND(TRIM($A288)="Finalized",$K288&lt;&gt;""),"",IF($C288="","",$C288+120-TODAY()))</f>
        <v>12</v>
      </c>
      <c r="O288" s="9">
        <f>IF(AND(TRIM($A288)="Finalized",$K288&lt;&gt;""),"",DATE(2027,5,5))</f>
        <v>46512</v>
      </c>
      <c r="P288" s="8" t="s">
        <v>73</v>
      </c>
      <c r="Q288" s="8" t="s">
        <v>739</v>
      </c>
      <c r="R288" s="8" t="s">
        <v>73</v>
      </c>
      <c r="S288" s="8" t="s">
        <v>74</v>
      </c>
      <c r="T288" s="8" t="s">
        <v>208</v>
      </c>
      <c r="U288" s="8" t="s">
        <v>74</v>
      </c>
      <c r="V288" s="8" t="s">
        <v>365</v>
      </c>
      <c r="W288" s="8" t="s">
        <v>118</v>
      </c>
      <c r="X288" s="8"/>
      <c r="Y288" s="8"/>
      <c r="Z288" s="8"/>
      <c r="AA288" s="8" t="s">
        <v>77</v>
      </c>
      <c r="AB288" s="10">
        <v>1426.25</v>
      </c>
      <c r="AC288" s="10">
        <v>1212.77</v>
      </c>
      <c r="AD288" s="10">
        <v>170.09</v>
      </c>
      <c r="AE288" s="9">
        <v>46196</v>
      </c>
      <c r="AF288" s="10">
        <v>43.39</v>
      </c>
      <c r="AG288" s="7">
        <v>95</v>
      </c>
      <c r="AH288" s="8" t="s">
        <v>119</v>
      </c>
      <c r="AI288" s="8"/>
      <c r="AJ288" s="8"/>
      <c r="AK288" s="8"/>
      <c r="AL288" s="7">
        <v>564131166</v>
      </c>
      <c r="AM288" s="8" t="s">
        <v>126</v>
      </c>
      <c r="AN288" s="8" t="s">
        <v>121</v>
      </c>
      <c r="AO288" s="9">
        <v>46182</v>
      </c>
    </row>
    <row r="289" spans="1:41" x14ac:dyDescent="0.25">
      <c r="A289" s="5" t="str">
        <f>IFERROR(IF(INDEX([5]DME!$A$2:$A$35,MATCH($D289,[5]DME!$D$2:$D$35,0))="","",INDEX([5]DME!$A$2:$A$35,MATCH($D289,[5]DME!$D$2:$D$35,0))),"")</f>
        <v>Denied</v>
      </c>
      <c r="B289" s="5" t="str">
        <f>IFERROR(IF(INDEX([5]DME!$B$2:$B$35,MATCH($D289,[5]DME!$D$2:$D$35,0))="","",INDEX([5]DME!$B$2:$B$35,MATCH($D289,[5]DME!$D$2:$D$35,0))),"")</f>
        <v>Mesa - MBI updated on chart, and resubmitted - MBI End Date 04/14/2026</v>
      </c>
      <c r="C289" s="6">
        <f>IFERROR(IF(INDEX([5]DME!$C$2:$C$35,MATCH($D289,[5]DME!$D$2:$D$35,0))="","",INDEX([5]DME!$C$2:$C$35,MATCH($D289,[5]DME!$D$2:$D$35,0))),"")</f>
        <v>46156</v>
      </c>
      <c r="D289" s="7">
        <v>559006292</v>
      </c>
      <c r="E289" s="8" t="s">
        <v>889</v>
      </c>
      <c r="F289" s="9">
        <v>46147</v>
      </c>
      <c r="G289" s="8" t="s">
        <v>437</v>
      </c>
      <c r="H289" s="8" t="s">
        <v>437</v>
      </c>
      <c r="I289" s="8" t="s">
        <v>123</v>
      </c>
      <c r="J289" s="8" t="s">
        <v>730</v>
      </c>
      <c r="K289" s="6">
        <f>IFERROR(IF(INDEX([5]DME!$K$2:$K$35,MATCH($D289,[5]DME!$D$2:$D$35,0))="","",INDEX([5]DME!$K$2:$K$35,MATCH($D289,[5]DME!$D$2:$D$35,0))),"")</f>
        <v>46254</v>
      </c>
      <c r="L289" s="11">
        <f ca="1">IF($O289="","",$O289-TODAY())</f>
        <v>208</v>
      </c>
      <c r="M289" s="11">
        <f ca="1">IF(AND(TRIM($A289)="Finalized",$K289&lt;&gt;""),"",IF($C289="","",$C289+365-TODAY()))</f>
        <v>217</v>
      </c>
      <c r="N289" s="11">
        <f ca="1">IF(AND(TRIM($A289)="Finalized",$K289&lt;&gt;""),"",IF($C289="","",$C289+120-TODAY()))</f>
        <v>-28</v>
      </c>
      <c r="O289" s="9">
        <f>IF(AND(TRIM($A289)="Finalized",$K289&lt;&gt;""),"",DATE(2027,5,5))</f>
        <v>46512</v>
      </c>
      <c r="P289" s="8" t="s">
        <v>73</v>
      </c>
      <c r="Q289" s="8" t="s">
        <v>739</v>
      </c>
      <c r="R289" s="8" t="s">
        <v>73</v>
      </c>
      <c r="S289" s="8" t="s">
        <v>74</v>
      </c>
      <c r="T289" s="8" t="s">
        <v>208</v>
      </c>
      <c r="U289" s="8" t="s">
        <v>74</v>
      </c>
      <c r="V289" s="8" t="s">
        <v>365</v>
      </c>
      <c r="W289" s="8" t="s">
        <v>89</v>
      </c>
      <c r="X289" s="8" t="s">
        <v>232</v>
      </c>
      <c r="Y289" s="8"/>
      <c r="Z289" s="8"/>
      <c r="AA289" s="8" t="s">
        <v>77</v>
      </c>
      <c r="AB289" s="10">
        <v>5320.49</v>
      </c>
      <c r="AC289" s="10">
        <v>0</v>
      </c>
      <c r="AD289" s="10">
        <v>0</v>
      </c>
      <c r="AE289" s="9">
        <v>46156</v>
      </c>
      <c r="AF289" s="10">
        <v>5320.49</v>
      </c>
      <c r="AG289" s="7">
        <v>95</v>
      </c>
      <c r="AH289" s="8" t="s">
        <v>167</v>
      </c>
      <c r="AI289" s="8"/>
      <c r="AJ289" s="8"/>
      <c r="AK289" s="8"/>
      <c r="AL289" s="7"/>
      <c r="AM289" s="8" t="s">
        <v>890</v>
      </c>
      <c r="AN289" s="8" t="s">
        <v>891</v>
      </c>
      <c r="AO289" s="9">
        <v>46155</v>
      </c>
    </row>
    <row r="290" spans="1:41" x14ac:dyDescent="0.25">
      <c r="A290" s="5" t="str">
        <f>IFERROR(IF(INDEX([5]US!$A$2:$A$19,MATCH($D290,[5]US!$D$2:$D$19,0))="","",INDEX([5]US!$A$2:$A$19,MATCH($D290,[5]US!$D$2:$D$19,0))),"")</f>
        <v>Denied</v>
      </c>
      <c r="B290" s="5" t="str">
        <f>IFERROR(IF(INDEX([5]US!$B$2:$B$19,MATCH($D290,[5]US!$D$2:$D$19,0))="","",INDEX([5]US!$B$2:$B$19,MATCH($D290,[5]US!$D$2:$D$19,0))),"")</f>
        <v>Edited referring provider, and resubmitted</v>
      </c>
      <c r="C290" s="6">
        <f>IFERROR(IF(INDEX([5]US!$C$2:$C$19,MATCH($D290,[5]US!$D$2:$D$19,0))="","",INDEX([5]US!$C$2:$C$19,MATCH($D290,[5]US!$D$2:$D$19,0))),"")</f>
        <v>46171</v>
      </c>
      <c r="D290" s="7">
        <v>560035724</v>
      </c>
      <c r="E290" s="8" t="s">
        <v>892</v>
      </c>
      <c r="F290" s="9">
        <v>46147</v>
      </c>
      <c r="G290" s="8" t="s">
        <v>171</v>
      </c>
      <c r="H290" s="8" t="s">
        <v>171</v>
      </c>
      <c r="I290" s="8" t="s">
        <v>83</v>
      </c>
      <c r="J290" s="8" t="s">
        <v>860</v>
      </c>
      <c r="K290" s="6">
        <f>IFERROR(IF(INDEX([5]US!$K$2:$K$19,MATCH($D290,[5]US!$D$2:$D$19,0))="","",INDEX([5]US!$K$2:$K$19,MATCH($D290,[5]US!$D$2:$D$19,0))),"")</f>
        <v>46257</v>
      </c>
      <c r="L290" s="11">
        <f ca="1">IF($O290="","",$O290-TODAY())</f>
        <v>208</v>
      </c>
      <c r="M290" s="11">
        <f ca="1">IF(AND(TRIM($A290)="Finalized",$K290&lt;&gt;""),"",IF($C290="","",$C290+365-TODAY()))</f>
        <v>232</v>
      </c>
      <c r="N290" s="11">
        <f ca="1">IF(AND(TRIM($A290)="Finalized",$K290&lt;&gt;""),"",IF($C290="","",$C290+120-TODAY()))</f>
        <v>-13</v>
      </c>
      <c r="O290" s="9">
        <f>IF(AND(TRIM($A290)="Finalized",$K290&lt;&gt;""),"",DATE(2027,5,5))</f>
        <v>46512</v>
      </c>
      <c r="P290" s="8" t="s">
        <v>73</v>
      </c>
      <c r="Q290" s="8" t="s">
        <v>739</v>
      </c>
      <c r="R290" s="8" t="s">
        <v>73</v>
      </c>
      <c r="S290" s="8" t="s">
        <v>74</v>
      </c>
      <c r="T290" s="8" t="s">
        <v>208</v>
      </c>
      <c r="U290" s="8" t="s">
        <v>74</v>
      </c>
      <c r="V290" s="8" t="s">
        <v>365</v>
      </c>
      <c r="W290" s="8" t="s">
        <v>129</v>
      </c>
      <c r="X290" s="8"/>
      <c r="Y290" s="8"/>
      <c r="Z290" s="8"/>
      <c r="AA290" s="8" t="s">
        <v>77</v>
      </c>
      <c r="AB290" s="10">
        <v>3822.49</v>
      </c>
      <c r="AC290" s="10">
        <v>0</v>
      </c>
      <c r="AD290" s="10">
        <v>0</v>
      </c>
      <c r="AE290" s="9">
        <v>46171</v>
      </c>
      <c r="AF290" s="10">
        <v>3822.49</v>
      </c>
      <c r="AG290" s="7">
        <v>95</v>
      </c>
      <c r="AH290" s="8" t="s">
        <v>130</v>
      </c>
      <c r="AI290" s="8" t="s">
        <v>138</v>
      </c>
      <c r="AJ290" s="8" t="s">
        <v>139</v>
      </c>
      <c r="AK290" s="8"/>
      <c r="AL290" s="7"/>
      <c r="AM290" s="8" t="s">
        <v>157</v>
      </c>
      <c r="AN290" s="8" t="s">
        <v>158</v>
      </c>
      <c r="AO290" s="9">
        <v>46164</v>
      </c>
    </row>
    <row r="291" spans="1:41" x14ac:dyDescent="0.25">
      <c r="A291" s="5" t="str">
        <f>IFERROR(IF(INDEX([5]DME!$A$2:$A$35,MATCH($D291,[5]DME!$D$2:$D$35,0))="","",INDEX([5]DME!$A$2:$A$35,MATCH($D291,[5]DME!$D$2:$D$35,0))),"")</f>
        <v>PAID</v>
      </c>
      <c r="B291" s="5" t="str">
        <f>IFERROR(IF(INDEX([5]DME!$B$2:$B$35,MATCH($D291,[5]DME!$D$2:$D$35,0))="","",INDEX([5]DME!$B$2:$B$35,MATCH($D291,[5]DME!$D$2:$D$35,0))),"")</f>
        <v>Surprise Reems - PENDING POSTING</v>
      </c>
      <c r="C291" s="6">
        <f>IFERROR(IF(INDEX([5]DME!$C$2:$C$35,MATCH($D291,[5]DME!$D$2:$D$35,0))="","",INDEX([5]DME!$C$2:$C$35,MATCH($D291,[5]DME!$D$2:$D$35,0))),"")</f>
        <v>46249</v>
      </c>
      <c r="D291" s="7">
        <v>559009959</v>
      </c>
      <c r="E291" s="8" t="s">
        <v>893</v>
      </c>
      <c r="F291" s="9">
        <v>46147</v>
      </c>
      <c r="G291" s="8" t="s">
        <v>437</v>
      </c>
      <c r="H291" s="8" t="s">
        <v>437</v>
      </c>
      <c r="I291" s="8" t="s">
        <v>69</v>
      </c>
      <c r="J291" s="8" t="s">
        <v>373</v>
      </c>
      <c r="K291" s="6" t="str">
        <f>IFERROR(IF(INDEX([5]DME!$K$2:$K$35,MATCH($D291,[5]DME!$D$2:$D$35,0))="","",INDEX([5]DME!$K$2:$K$35,MATCH($D291,[5]DME!$D$2:$D$35,0))),"")</f>
        <v/>
      </c>
      <c r="L291" s="11">
        <f ca="1">IF($O291="","",$O291-TODAY())</f>
        <v>208</v>
      </c>
      <c r="M291" s="11">
        <f ca="1">IF(AND(TRIM($A291)="Finalized",$K291&lt;&gt;""),"",IF($C291="","",$C291+365-TODAY()))</f>
        <v>310</v>
      </c>
      <c r="N291" s="11">
        <f ca="1">IF(AND(TRIM($A291)="Finalized",$K291&lt;&gt;""),"",IF($C291="","",$C291+120-TODAY()))</f>
        <v>65</v>
      </c>
      <c r="O291" s="9">
        <f>IF(AND(TRIM($A291)="Finalized",$K291&lt;&gt;""),"",DATE(2027,5,5))</f>
        <v>46512</v>
      </c>
      <c r="P291" s="8" t="s">
        <v>73</v>
      </c>
      <c r="Q291" s="8" t="s">
        <v>739</v>
      </c>
      <c r="R291" s="8" t="s">
        <v>73</v>
      </c>
      <c r="S291" s="8" t="s">
        <v>74</v>
      </c>
      <c r="T291" s="8" t="s">
        <v>208</v>
      </c>
      <c r="U291" s="8" t="s">
        <v>74</v>
      </c>
      <c r="V291" s="8" t="s">
        <v>365</v>
      </c>
      <c r="W291" s="8" t="s">
        <v>89</v>
      </c>
      <c r="X291" s="8" t="s">
        <v>244</v>
      </c>
      <c r="Y291" s="8"/>
      <c r="Z291" s="8"/>
      <c r="AA291" s="8" t="s">
        <v>190</v>
      </c>
      <c r="AB291" s="10">
        <v>2958.2</v>
      </c>
      <c r="AC291" s="10">
        <v>0</v>
      </c>
      <c r="AD291" s="10">
        <v>88.28</v>
      </c>
      <c r="AE291" s="9">
        <v>46197</v>
      </c>
      <c r="AF291" s="10">
        <v>2869.92</v>
      </c>
      <c r="AG291" s="7">
        <v>95</v>
      </c>
      <c r="AH291" s="8" t="s">
        <v>92</v>
      </c>
      <c r="AI291" s="8" t="s">
        <v>894</v>
      </c>
      <c r="AJ291" s="8"/>
      <c r="AK291" s="8"/>
      <c r="AL291" s="7"/>
      <c r="AM291" s="8" t="s">
        <v>745</v>
      </c>
      <c r="AN291" s="8" t="s">
        <v>746</v>
      </c>
      <c r="AO291" s="9">
        <v>46155</v>
      </c>
    </row>
    <row r="292" spans="1:41" x14ac:dyDescent="0.25">
      <c r="A292" s="5" t="str">
        <f>IFERROR(IF(INDEX([5]BH!$A$2:$A$33,MATCH($D292,[5]BH!$D$2:$D$33,0))="","",INDEX([5]BH!$A$2:$A$33,MATCH($D292,[5]BH!$D$2:$D$33,0))),"")</f>
        <v>PAID</v>
      </c>
      <c r="B292" s="5" t="str">
        <f>IFERROR(IF(INDEX([5]BH!$B$2:$B$33,MATCH($D292,[5]BH!$D$2:$D$33,0))="","",INDEX([5]BH!$B$2:$B$33,MATCH($D292,[5]BH!$D$2:$D$33,0))),"")</f>
        <v>secondary - PENDING POSTING - MBI updated on chart, and resubmitted - MBI End Date 04/14/2026</v>
      </c>
      <c r="C292" s="6">
        <f>IFERROR(IF(INDEX([5]BH!$C$2:$C$33,MATCH($D292,[5]BH!$D$2:$D$33,0))="","",INDEX([5]BH!$C$2:$C$33,MATCH($D292,[5]BH!$D$2:$D$33,0))),"")</f>
        <v>46190</v>
      </c>
      <c r="D292" s="7">
        <v>558588714</v>
      </c>
      <c r="E292" s="8" t="s">
        <v>895</v>
      </c>
      <c r="F292" s="9">
        <v>46150</v>
      </c>
      <c r="G292" s="8" t="s">
        <v>171</v>
      </c>
      <c r="H292" s="8" t="s">
        <v>171</v>
      </c>
      <c r="I292" s="8" t="s">
        <v>766</v>
      </c>
      <c r="J292" s="8" t="s">
        <v>220</v>
      </c>
      <c r="K292" s="6">
        <f>IFERROR(IF(INDEX([5]BH!$K$2:$K$33,MATCH($D292,[5]BH!$D$2:$D$33,0))="","",INDEX([5]BH!$K$2:$K$33,MATCH($D292,[5]BH!$D$2:$D$33,0))),"")</f>
        <v>46252</v>
      </c>
      <c r="L292" s="11">
        <f ca="1">IF($O292="","",$O292-TODAY())</f>
        <v>211</v>
      </c>
      <c r="M292" s="11">
        <f ca="1">IF(AND(TRIM($A292)="Finalized",$K292&lt;&gt;""),"",IF($C292="","",$C292+365-TODAY()))</f>
        <v>251</v>
      </c>
      <c r="N292" s="11">
        <f ca="1">IF(AND(TRIM($A292)="Finalized",$K292&lt;&gt;""),"",IF($C292="","",$C292+120-TODAY()))</f>
        <v>6</v>
      </c>
      <c r="O292" s="9">
        <f>IF(AND(TRIM($A292)="Finalized",$K292&lt;&gt;""),"",DATE(2027,5,8))</f>
        <v>46515</v>
      </c>
      <c r="P292" s="8" t="s">
        <v>73</v>
      </c>
      <c r="Q292" s="8" t="s">
        <v>739</v>
      </c>
      <c r="R292" s="8" t="s">
        <v>73</v>
      </c>
      <c r="S292" s="8" t="s">
        <v>74</v>
      </c>
      <c r="T292" s="8" t="s">
        <v>208</v>
      </c>
      <c r="U292" s="8" t="s">
        <v>74</v>
      </c>
      <c r="V292" s="8" t="s">
        <v>365</v>
      </c>
      <c r="W292" s="8" t="s">
        <v>118</v>
      </c>
      <c r="X292" s="8"/>
      <c r="Y292" s="8"/>
      <c r="Z292" s="8"/>
      <c r="AA292" s="8" t="s">
        <v>77</v>
      </c>
      <c r="AB292" s="10">
        <v>1372.91</v>
      </c>
      <c r="AC292" s="10">
        <v>0</v>
      </c>
      <c r="AD292" s="10">
        <v>0</v>
      </c>
      <c r="AE292" s="9">
        <v>46190</v>
      </c>
      <c r="AF292" s="10">
        <v>1372.91</v>
      </c>
      <c r="AG292" s="7">
        <v>92</v>
      </c>
      <c r="AH292" s="8" t="s">
        <v>197</v>
      </c>
      <c r="AI292" s="8"/>
      <c r="AJ292" s="8"/>
      <c r="AK292" s="8"/>
      <c r="AL292" s="7"/>
      <c r="AM292" s="8" t="s">
        <v>157</v>
      </c>
      <c r="AN292" s="8" t="s">
        <v>158</v>
      </c>
      <c r="AO292" s="9">
        <v>46182</v>
      </c>
    </row>
    <row r="293" spans="1:41" x14ac:dyDescent="0.25">
      <c r="A293" s="5" t="str">
        <f>IFERROR(IF(INDEX([5]DME!$A$2:$A$35,MATCH($D293,[5]DME!$D$2:$D$35,0))="","",INDEX([5]DME!$A$2:$A$35,MATCH($D293,[5]DME!$D$2:$D$35,0))),"")</f>
        <v>Denied</v>
      </c>
      <c r="B293" s="5" t="str">
        <f>IFERROR(IF(INDEX([5]DME!$B$2:$B$35,MATCH($D293,[5]DME!$D$2:$D$35,0))="","",INDEX([5]DME!$B$2:$B$35,MATCH($D293,[5]DME!$D$2:$D$35,0))),"")</f>
        <v>Gilbert - MBI updated on chart, and resubmitted - MBI End Date 04/14/2026</v>
      </c>
      <c r="C293" s="6">
        <f>IFERROR(IF(INDEX([5]DME!$C$2:$C$35,MATCH($D293,[5]DME!$D$2:$D$35,0))="","",INDEX([5]DME!$C$2:$C$35,MATCH($D293,[5]DME!$D$2:$D$35,0))),"")</f>
        <v>46185</v>
      </c>
      <c r="D293" s="7">
        <v>561877866</v>
      </c>
      <c r="E293" s="8" t="s">
        <v>808</v>
      </c>
      <c r="F293" s="9">
        <v>46150</v>
      </c>
      <c r="G293" s="8" t="s">
        <v>437</v>
      </c>
      <c r="H293" s="8" t="s">
        <v>437</v>
      </c>
      <c r="I293" s="8" t="s">
        <v>123</v>
      </c>
      <c r="J293" s="8" t="s">
        <v>522</v>
      </c>
      <c r="K293" s="6">
        <f>IFERROR(IF(INDEX([5]DME!$K$2:$K$35,MATCH($D293,[5]DME!$D$2:$D$35,0))="","",INDEX([5]DME!$K$2:$K$35,MATCH($D293,[5]DME!$D$2:$D$35,0))),"")</f>
        <v>46254</v>
      </c>
      <c r="L293" s="11">
        <f ca="1">IF($O293="","",$O293-TODAY())</f>
        <v>211</v>
      </c>
      <c r="M293" s="11">
        <f ca="1">IF(AND(TRIM($A293)="Finalized",$K293&lt;&gt;""),"",IF($C293="","",$C293+365-TODAY()))</f>
        <v>246</v>
      </c>
      <c r="N293" s="11">
        <f ca="1">IF(AND(TRIM($A293)="Finalized",$K293&lt;&gt;""),"",IF($C293="","",$C293+120-TODAY()))</f>
        <v>1</v>
      </c>
      <c r="O293" s="9">
        <f>IF(AND(TRIM($A293)="Finalized",$K293&lt;&gt;""),"",DATE(2027,5,8))</f>
        <v>46515</v>
      </c>
      <c r="P293" s="8" t="s">
        <v>73</v>
      </c>
      <c r="Q293" s="8" t="s">
        <v>739</v>
      </c>
      <c r="R293" s="8" t="s">
        <v>73</v>
      </c>
      <c r="S293" s="8" t="s">
        <v>74</v>
      </c>
      <c r="T293" s="8" t="s">
        <v>208</v>
      </c>
      <c r="U293" s="8" t="s">
        <v>74</v>
      </c>
      <c r="V293" s="8" t="s">
        <v>365</v>
      </c>
      <c r="W293" s="8" t="s">
        <v>89</v>
      </c>
      <c r="X293" s="8" t="s">
        <v>90</v>
      </c>
      <c r="Y293" s="8"/>
      <c r="Z293" s="8"/>
      <c r="AA293" s="8" t="s">
        <v>479</v>
      </c>
      <c r="AB293" s="10">
        <v>72707.600000000006</v>
      </c>
      <c r="AC293" s="10">
        <v>0</v>
      </c>
      <c r="AD293" s="10">
        <v>0</v>
      </c>
      <c r="AE293" s="9">
        <v>46185</v>
      </c>
      <c r="AF293" s="10">
        <v>72707.600000000006</v>
      </c>
      <c r="AG293" s="7">
        <v>92</v>
      </c>
      <c r="AH293" s="8" t="s">
        <v>92</v>
      </c>
      <c r="AI293" s="8" t="s">
        <v>78</v>
      </c>
      <c r="AJ293" s="8" t="s">
        <v>834</v>
      </c>
      <c r="AK293" s="8"/>
      <c r="AL293" s="7"/>
      <c r="AM293" s="8" t="s">
        <v>811</v>
      </c>
      <c r="AN293" s="8" t="s">
        <v>812</v>
      </c>
      <c r="AO293" s="9">
        <v>46183</v>
      </c>
    </row>
    <row r="294" spans="1:41" x14ac:dyDescent="0.25">
      <c r="A294" s="5" t="str">
        <f>IFERROR(IF(INDEX([5]DME!$A$2:$A$35,MATCH($D294,[5]DME!$D$2:$D$35,0))="","",INDEX([5]DME!$A$2:$A$35,MATCH($D294,[5]DME!$D$2:$D$35,0))),"")</f>
        <v>PAID</v>
      </c>
      <c r="B294" s="5" t="str">
        <f>IFERROR(IF(INDEX([5]DME!$B$2:$B$35,MATCH($D294,[5]DME!$D$2:$D$35,0))="","",INDEX([5]DME!$B$2:$B$35,MATCH($D294,[5]DME!$D$2:$D$35,0))),"")</f>
        <v>Secondary - PENDING POSTING</v>
      </c>
      <c r="C294" s="6">
        <f>IFERROR(IF(INDEX([5]DME!$C$2:$C$35,MATCH($D294,[5]DME!$D$2:$D$35,0))="","",INDEX([5]DME!$C$2:$C$35,MATCH($D294,[5]DME!$D$2:$D$35,0))),"")</f>
        <v>46202</v>
      </c>
      <c r="D294" s="7">
        <v>559008757</v>
      </c>
      <c r="E294" s="8" t="s">
        <v>896</v>
      </c>
      <c r="F294" s="9">
        <v>46150</v>
      </c>
      <c r="G294" s="8" t="s">
        <v>773</v>
      </c>
      <c r="H294" s="8" t="s">
        <v>437</v>
      </c>
      <c r="I294" s="8" t="s">
        <v>773</v>
      </c>
      <c r="J294" s="8" t="s">
        <v>649</v>
      </c>
      <c r="K294" s="6" t="str">
        <f>IFERROR(IF(INDEX([5]DME!$K$2:$K$35,MATCH($D294,[5]DME!$D$2:$D$35,0))="","",INDEX([5]DME!$K$2:$K$35,MATCH($D294,[5]DME!$D$2:$D$35,0))),"")</f>
        <v/>
      </c>
      <c r="L294" s="11">
        <f ca="1">IF($O294="","",$O294-TODAY())</f>
        <v>211</v>
      </c>
      <c r="M294" s="11">
        <f ca="1">IF(AND(TRIM($A294)="Finalized",$K294&lt;&gt;""),"",IF($C294="","",$C294+365-TODAY()))</f>
        <v>263</v>
      </c>
      <c r="N294" s="11">
        <f ca="1">IF(AND(TRIM($A294)="Finalized",$K294&lt;&gt;""),"",IF($C294="","",$C294+120-TODAY()))</f>
        <v>18</v>
      </c>
      <c r="O294" s="9">
        <f>IF(AND(TRIM($A294)="Finalized",$K294&lt;&gt;""),"",DATE(2027,5,8))</f>
        <v>46515</v>
      </c>
      <c r="P294" s="8" t="s">
        <v>73</v>
      </c>
      <c r="Q294" s="8" t="s">
        <v>739</v>
      </c>
      <c r="R294" s="8" t="s">
        <v>73</v>
      </c>
      <c r="S294" s="8" t="s">
        <v>74</v>
      </c>
      <c r="T294" s="8" t="s">
        <v>208</v>
      </c>
      <c r="U294" s="8" t="s">
        <v>74</v>
      </c>
      <c r="V294" s="8" t="s">
        <v>365</v>
      </c>
      <c r="W294" s="8" t="s">
        <v>89</v>
      </c>
      <c r="X294" s="8" t="s">
        <v>232</v>
      </c>
      <c r="Y294" s="8"/>
      <c r="Z294" s="8"/>
      <c r="AA294" s="8" t="s">
        <v>77</v>
      </c>
      <c r="AB294" s="10">
        <v>6392.96</v>
      </c>
      <c r="AC294" s="10">
        <v>5624.17</v>
      </c>
      <c r="AD294" s="10">
        <v>612.53</v>
      </c>
      <c r="AE294" s="9">
        <v>46202</v>
      </c>
      <c r="AF294" s="10">
        <v>156.26</v>
      </c>
      <c r="AG294" s="7">
        <v>92</v>
      </c>
      <c r="AH294" s="8" t="s">
        <v>805</v>
      </c>
      <c r="AI294" s="8" t="s">
        <v>319</v>
      </c>
      <c r="AJ294" s="8"/>
      <c r="AK294" s="8"/>
      <c r="AL294" s="7">
        <v>564922724</v>
      </c>
      <c r="AM294" s="8" t="s">
        <v>806</v>
      </c>
      <c r="AN294" s="8" t="s">
        <v>807</v>
      </c>
      <c r="AO294" s="9">
        <v>46155</v>
      </c>
    </row>
    <row r="295" spans="1:41" x14ac:dyDescent="0.25">
      <c r="A295" s="5" t="str">
        <f>IFERROR(IF(INDEX([5]GAE!$A$2:$A$7,MATCH($D295,[5]GAE!$D$2:$D$7,0))="","",INDEX([5]GAE!$A$2:$A$7,MATCH($D295,[5]GAE!$D$2:$D$7,0))),"")</f>
        <v>Denied</v>
      </c>
      <c r="B295" s="5" t="str">
        <f>IFERROR(IF(INDEX([5]GAE!$B$2:$B$7,MATCH($D295,[5]GAE!$D$2:$D$7,0))="","",INDEX([5]GAE!$B$2:$B$7,MATCH($D295,[5]GAE!$D$2:$D$7,0))),"")</f>
        <v>MBI typo corrected, and resubmitted</v>
      </c>
      <c r="C295" s="6">
        <f>IFERROR(IF(INDEX([5]GAE!$C$2:$C$7,MATCH($D295,[5]GAE!$D$2:$D$7,0))="","",INDEX([5]GAE!$C$2:$C$7,MATCH($D295,[5]GAE!$D$2:$D$7,0))),"")</f>
        <v>46185</v>
      </c>
      <c r="D295" s="7">
        <v>561727580</v>
      </c>
      <c r="E295" s="8" t="s">
        <v>897</v>
      </c>
      <c r="F295" s="9">
        <v>46153</v>
      </c>
      <c r="G295" s="8" t="s">
        <v>171</v>
      </c>
      <c r="H295" s="8" t="s">
        <v>171</v>
      </c>
      <c r="I295" s="8" t="s">
        <v>750</v>
      </c>
      <c r="J295" s="8" t="s">
        <v>898</v>
      </c>
      <c r="K295" s="6">
        <f>IFERROR(IF(INDEX([5]GAE!$K$2:$K$7,MATCH($D295,[5]GAE!$D$2:$D$7,0))="","",INDEX([5]GAE!$K$2:$K$7,MATCH($D295,[5]GAE!$D$2:$D$7,0))),"")</f>
        <v>46255</v>
      </c>
      <c r="L295" s="11">
        <f ca="1">IF($O295="","",$O295-TODAY())</f>
        <v>214</v>
      </c>
      <c r="M295" s="11">
        <f ca="1">IF(AND(TRIM($A295)="Finalized",$K295&lt;&gt;""),"",IF($C295="","",$C295+365-TODAY()))</f>
        <v>246</v>
      </c>
      <c r="N295" s="11">
        <f ca="1">IF(AND(TRIM($A295)="Finalized",$K295&lt;&gt;""),"",IF($C295="","",$C295+120-TODAY()))</f>
        <v>1</v>
      </c>
      <c r="O295" s="9">
        <f>IF(AND(TRIM($A295)="Finalized",$K295&lt;&gt;""),"",DATE(2027,5,11))</f>
        <v>46518</v>
      </c>
      <c r="P295" s="8" t="s">
        <v>73</v>
      </c>
      <c r="Q295" s="8" t="s">
        <v>739</v>
      </c>
      <c r="R295" s="8" t="s">
        <v>73</v>
      </c>
      <c r="S295" s="8" t="s">
        <v>74</v>
      </c>
      <c r="T295" s="8" t="s">
        <v>208</v>
      </c>
      <c r="U295" s="8" t="s">
        <v>74</v>
      </c>
      <c r="V295" s="8" t="s">
        <v>365</v>
      </c>
      <c r="W295" s="8" t="s">
        <v>101</v>
      </c>
      <c r="X295" s="8" t="s">
        <v>359</v>
      </c>
      <c r="Y295" s="8" t="s">
        <v>899</v>
      </c>
      <c r="Z295" s="8" t="s">
        <v>153</v>
      </c>
      <c r="AA295" s="8" t="s">
        <v>457</v>
      </c>
      <c r="AB295" s="10">
        <v>70557.69</v>
      </c>
      <c r="AC295" s="10">
        <v>0</v>
      </c>
      <c r="AD295" s="10">
        <v>0</v>
      </c>
      <c r="AE295" s="9">
        <v>46185</v>
      </c>
      <c r="AF295" s="10">
        <v>70557.69</v>
      </c>
      <c r="AG295" s="7">
        <v>89</v>
      </c>
      <c r="AH295" s="8" t="s">
        <v>329</v>
      </c>
      <c r="AI295" s="8" t="s">
        <v>106</v>
      </c>
      <c r="AJ295" s="8" t="s">
        <v>361</v>
      </c>
      <c r="AK295" s="8"/>
      <c r="AL295" s="7"/>
      <c r="AM295" s="8" t="s">
        <v>108</v>
      </c>
      <c r="AN295" s="8" t="s">
        <v>109</v>
      </c>
      <c r="AO295" s="9">
        <v>46182</v>
      </c>
    </row>
    <row r="296" spans="1:41" x14ac:dyDescent="0.25">
      <c r="A296" s="5" t="str">
        <f>IFERROR(IF(INDEX([5]ORTHO!$A$2:$A$24,MATCH($D296,[5]ORTHO!$D$2:$D$24,0))="","",INDEX([5]ORTHO!$A$2:$A$24,MATCH($D296,[5]ORTHO!$D$2:$D$24,0))),"")</f>
        <v>Denied</v>
      </c>
      <c r="B296" s="5" t="str">
        <f>IFERROR(IF(INDEX([5]ORTHO!$B$2:$B$24,MATCH($D296,[5]ORTHO!$D$2:$D$24,0))="","",INDEX([5]ORTHO!$B$2:$B$24,MATCH($D296,[5]ORTHO!$D$2:$D$24,0))),"")</f>
        <v>Filed appeal for 63685 - Confirmation Number: 2686931212 - TAT 60 days - Filed auth on Zyter - Auth # OPRJYT0825190856 - No auth found - Auth # QPBUGF0822223530</v>
      </c>
      <c r="C296" s="6">
        <f>IFERROR(IF(INDEX([5]ORTHO!$C$2:$C$24,MATCH($D296,[5]ORTHO!$D$2:$D$24,0))="","",INDEX([5]ORTHO!$C$2:$C$24,MATCH($D296,[5]ORTHO!$D$2:$D$24,0))),"")</f>
        <v>46245</v>
      </c>
      <c r="D296" s="7">
        <v>559152944</v>
      </c>
      <c r="E296" s="8" t="s">
        <v>900</v>
      </c>
      <c r="F296" s="9">
        <v>46153</v>
      </c>
      <c r="G296" s="8" t="s">
        <v>171</v>
      </c>
      <c r="H296" s="8" t="s">
        <v>171</v>
      </c>
      <c r="I296" s="8" t="s">
        <v>83</v>
      </c>
      <c r="J296" s="8" t="s">
        <v>820</v>
      </c>
      <c r="K296" s="6">
        <f>IFERROR(IF(INDEX([5]ORTHO!$K$2:$K$24,MATCH($D296,[5]ORTHO!$D$2:$D$24,0))="","",INDEX([5]ORTHO!$K$2:$K$24,MATCH($D296,[5]ORTHO!$D$2:$D$24,0))),"")</f>
        <v>46259</v>
      </c>
      <c r="L296" s="11">
        <f ca="1">IF($O296="","",$O296-TODAY())</f>
        <v>214</v>
      </c>
      <c r="M296" s="11">
        <f ca="1">IF(AND(TRIM($A296)="Finalized",$K296&lt;&gt;""),"",IF($C296="","",$C296+365-TODAY()))</f>
        <v>306</v>
      </c>
      <c r="N296" s="11">
        <f ca="1">IF(AND(TRIM($A296)="Finalized",$K296&lt;&gt;""),"",IF($C296="","",$C296+120-TODAY()))</f>
        <v>61</v>
      </c>
      <c r="O296" s="9">
        <f>IF(AND(TRIM($A296)="Finalized",$K296&lt;&gt;""),"",DATE(2027,5,11))</f>
        <v>46518</v>
      </c>
      <c r="P296" s="8" t="s">
        <v>73</v>
      </c>
      <c r="Q296" s="8" t="s">
        <v>739</v>
      </c>
      <c r="R296" s="8" t="s">
        <v>73</v>
      </c>
      <c r="S296" s="8" t="s">
        <v>74</v>
      </c>
      <c r="T296" s="8" t="s">
        <v>208</v>
      </c>
      <c r="U296" s="8" t="s">
        <v>74</v>
      </c>
      <c r="V296" s="8" t="s">
        <v>365</v>
      </c>
      <c r="W296" s="8" t="s">
        <v>76</v>
      </c>
      <c r="X296" s="8"/>
      <c r="Y296" s="8"/>
      <c r="Z296" s="8"/>
      <c r="AA296" s="8" t="s">
        <v>77</v>
      </c>
      <c r="AB296" s="10">
        <v>5784.24</v>
      </c>
      <c r="AC296" s="10">
        <v>0</v>
      </c>
      <c r="AD296" s="10">
        <v>0</v>
      </c>
      <c r="AE296" s="9">
        <v>46160</v>
      </c>
      <c r="AF296" s="10">
        <v>5784.24</v>
      </c>
      <c r="AG296" s="7">
        <v>89</v>
      </c>
      <c r="AH296" s="8" t="s">
        <v>149</v>
      </c>
      <c r="AI296" s="8"/>
      <c r="AJ296" s="8"/>
      <c r="AK296" s="8"/>
      <c r="AL296" s="7"/>
      <c r="AM296" s="8" t="s">
        <v>217</v>
      </c>
      <c r="AN296" s="8" t="s">
        <v>109</v>
      </c>
      <c r="AO296" s="9">
        <v>46156</v>
      </c>
    </row>
    <row r="297" spans="1:41" x14ac:dyDescent="0.25">
      <c r="A297" s="5" t="str">
        <f>IFERROR(IF(INDEX([5]US!$A$2:$A$19,MATCH($D297,[5]US!$D$2:$D$19,0))="","",INDEX([5]US!$A$2:$A$19,MATCH($D297,[5]US!$D$2:$D$19,0))),"")</f>
        <v>Denied</v>
      </c>
      <c r="B297" s="5" t="str">
        <f>IFERROR(IF(INDEX([5]US!$B$2:$B$19,MATCH($D297,[5]US!$D$2:$D$19,0))="","",INDEX([5]US!$B$2:$B$19,MATCH($D297,[5]US!$D$2:$D$19,0))),"")</f>
        <v>Corrected service line 1 on portal, used CPT code 93970 instead of 93923, and reopened claim - Confirmation Number: 4726237493100 - We billed 93923 on 2 separate service lines and missed 93970</v>
      </c>
      <c r="C297" s="6">
        <f>IFERROR(IF(INDEX([5]US!$C$2:$C$19,MATCH($D297,[5]US!$D$2:$D$19,0))="","",INDEX([5]US!$C$2:$C$19,MATCH($D297,[5]US!$D$2:$D$19,0))),"")</f>
        <v>46203</v>
      </c>
      <c r="D297" s="7">
        <v>560069379</v>
      </c>
      <c r="E297" s="8" t="s">
        <v>901</v>
      </c>
      <c r="F297" s="9">
        <v>46154</v>
      </c>
      <c r="G297" s="8" t="s">
        <v>171</v>
      </c>
      <c r="H297" s="8" t="s">
        <v>171</v>
      </c>
      <c r="I297" s="8" t="s">
        <v>280</v>
      </c>
      <c r="J297" s="8" t="s">
        <v>378</v>
      </c>
      <c r="K297" s="6">
        <f>IFERROR(IF(INDEX([5]US!$K$2:$K$19,MATCH($D297,[5]US!$D$2:$D$19,0))="","",INDEX([5]US!$K$2:$K$19,MATCH($D297,[5]US!$D$2:$D$19,0))),"")</f>
        <v>46259</v>
      </c>
      <c r="L297" s="11">
        <f ca="1">IF($O297="","",$O297-TODAY())</f>
        <v>215</v>
      </c>
      <c r="M297" s="11">
        <f ca="1">IF(AND(TRIM($A297)="Finalized",$K297&lt;&gt;""),"",IF($C297="","",$C297+365-TODAY()))</f>
        <v>264</v>
      </c>
      <c r="N297" s="11">
        <f ca="1">IF(AND(TRIM($A297)="Finalized",$K297&lt;&gt;""),"",IF($C297="","",$C297+120-TODAY()))</f>
        <v>19</v>
      </c>
      <c r="O297" s="9">
        <f>IF(AND(TRIM($A297)="Finalized",$K297&lt;&gt;""),"",DATE(2027,5,12))</f>
        <v>46519</v>
      </c>
      <c r="P297" s="8" t="s">
        <v>73</v>
      </c>
      <c r="Q297" s="8" t="s">
        <v>739</v>
      </c>
      <c r="R297" s="8" t="s">
        <v>73</v>
      </c>
      <c r="S297" s="8" t="s">
        <v>74</v>
      </c>
      <c r="T297" s="8" t="s">
        <v>208</v>
      </c>
      <c r="U297" s="8" t="s">
        <v>74</v>
      </c>
      <c r="V297" s="8" t="s">
        <v>365</v>
      </c>
      <c r="W297" s="8" t="s">
        <v>129</v>
      </c>
      <c r="X297" s="8"/>
      <c r="Y297" s="8"/>
      <c r="Z297" s="8"/>
      <c r="AA297" s="8" t="s">
        <v>77</v>
      </c>
      <c r="AB297" s="10">
        <v>879.06</v>
      </c>
      <c r="AC297" s="10">
        <v>0</v>
      </c>
      <c r="AD297" s="10">
        <v>17.420000000000002</v>
      </c>
      <c r="AE297" s="9">
        <v>46203</v>
      </c>
      <c r="AF297" s="10">
        <v>879.06</v>
      </c>
      <c r="AG297" s="7">
        <v>88</v>
      </c>
      <c r="AH297" s="8" t="s">
        <v>309</v>
      </c>
      <c r="AI297" s="8"/>
      <c r="AJ297" s="8"/>
      <c r="AK297" s="8"/>
      <c r="AL297" s="7"/>
      <c r="AM297" s="8" t="s">
        <v>157</v>
      </c>
      <c r="AN297" s="8" t="s">
        <v>158</v>
      </c>
      <c r="AO297" s="9">
        <v>46164</v>
      </c>
    </row>
    <row r="298" spans="1:41" x14ac:dyDescent="0.25">
      <c r="A298" s="5" t="str">
        <f>IFERROR(IF(INDEX([5]BH!$A$2:$A$33,MATCH($D298,[5]BH!$D$2:$D$33,0))="","",INDEX([5]BH!$A$2:$A$33,MATCH($D298,[5]BH!$D$2:$D$33,0))),"")</f>
        <v>Pending</v>
      </c>
      <c r="B298" s="5" t="str">
        <f>IFERROR(IF(INDEX([5]BH!$B$2:$B$33,MATCH($D298,[5]BH!$D$2:$D$33,0))="","",INDEX([5]BH!$B$2:$B$33,MATCH($D298,[5]BH!$D$2:$D$33,0))),"")</f>
        <v>PENDING POSTING - Secondary</v>
      </c>
      <c r="C298" s="6">
        <f>IFERROR(IF(INDEX([5]BH!$C$2:$C$33,MATCH($D298,[5]BH!$D$2:$D$33,0))="","",INDEX([5]BH!$C$2:$C$33,MATCH($D298,[5]BH!$D$2:$D$33,0))),"")</f>
        <v>46196</v>
      </c>
      <c r="D298" s="7">
        <v>559107561</v>
      </c>
      <c r="E298" s="8" t="s">
        <v>902</v>
      </c>
      <c r="F298" s="9">
        <v>46155</v>
      </c>
      <c r="G298" s="8" t="s">
        <v>123</v>
      </c>
      <c r="H298" s="8" t="s">
        <v>171</v>
      </c>
      <c r="I298" s="8" t="s">
        <v>123</v>
      </c>
      <c r="J298" s="8" t="s">
        <v>124</v>
      </c>
      <c r="K298" s="6">
        <f>IFERROR(IF(INDEX([5]BH!$K$2:$K$33,MATCH($D298,[5]BH!$D$2:$D$33,0))="","",INDEX([5]BH!$K$2:$K$33,MATCH($D298,[5]BH!$D$2:$D$33,0))),"")</f>
        <v>46227</v>
      </c>
      <c r="L298" s="11">
        <f ca="1">IF($O298="","",$O298-TODAY())</f>
        <v>216</v>
      </c>
      <c r="M298" s="11">
        <f ca="1">IF(AND(TRIM($A298)="Finalized",$K298&lt;&gt;""),"",IF($C298="","",$C298+365-TODAY()))</f>
        <v>257</v>
      </c>
      <c r="N298" s="11">
        <f ca="1">IF(AND(TRIM($A298)="Finalized",$K298&lt;&gt;""),"",IF($C298="","",$C298+120-TODAY()))</f>
        <v>12</v>
      </c>
      <c r="O298" s="9">
        <f>IF(AND(TRIM($A298)="Finalized",$K298&lt;&gt;""),"",DATE(2027,5,13))</f>
        <v>46520</v>
      </c>
      <c r="P298" s="8" t="s">
        <v>73</v>
      </c>
      <c r="Q298" s="8" t="s">
        <v>739</v>
      </c>
      <c r="R298" s="8" t="s">
        <v>73</v>
      </c>
      <c r="S298" s="8" t="s">
        <v>74</v>
      </c>
      <c r="T298" s="8" t="s">
        <v>208</v>
      </c>
      <c r="U298" s="8" t="s">
        <v>74</v>
      </c>
      <c r="V298" s="8" t="s">
        <v>365</v>
      </c>
      <c r="W298" s="8" t="s">
        <v>118</v>
      </c>
      <c r="X298" s="8"/>
      <c r="Y298" s="8"/>
      <c r="Z298" s="8"/>
      <c r="AA298" s="8" t="s">
        <v>77</v>
      </c>
      <c r="AB298" s="10">
        <v>1426.25</v>
      </c>
      <c r="AC298" s="10">
        <v>1228.08</v>
      </c>
      <c r="AD298" s="10">
        <v>154.78</v>
      </c>
      <c r="AE298" s="9">
        <v>46196</v>
      </c>
      <c r="AF298" s="10">
        <v>43.39</v>
      </c>
      <c r="AG298" s="7">
        <v>87</v>
      </c>
      <c r="AH298" s="8" t="s">
        <v>161</v>
      </c>
      <c r="AI298" s="8"/>
      <c r="AJ298" s="8"/>
      <c r="AK298" s="8"/>
      <c r="AL298" s="7">
        <v>564131742</v>
      </c>
      <c r="AM298" s="8" t="s">
        <v>157</v>
      </c>
      <c r="AN298" s="8" t="s">
        <v>158</v>
      </c>
      <c r="AO298" s="9">
        <v>46182</v>
      </c>
    </row>
    <row r="299" spans="1:41" x14ac:dyDescent="0.25">
      <c r="A299" s="5" t="str">
        <f>IFERROR(IF(INDEX([5]ORTHO!$A$2:$A$24,MATCH($D299,[5]ORTHO!$D$2:$D$24,0))="","",INDEX([5]ORTHO!$A$2:$A$24,MATCH($D299,[5]ORTHO!$D$2:$D$24,0))),"")</f>
        <v>Denied</v>
      </c>
      <c r="B299" s="5" t="str">
        <f>IFERROR(IF(INDEX([5]ORTHO!$B$2:$B$24,MATCH($D299,[5]ORTHO!$D$2:$D$24,0))="","",INDEX([5]ORTHO!$B$2:$B$24,MATCH($D299,[5]ORTHO!$D$2:$D$24,0))),"")</f>
        <v>Added mod 79 on portal, and reopened claim - Confirmation Number: 4726237491810 - DND Bundled with 27279 DOS 02/13/2026</v>
      </c>
      <c r="C299" s="6">
        <f>IFERROR(IF(INDEX([5]ORTHO!$C$2:$C$24,MATCH($D299,[5]ORTHO!$D$2:$D$24,0))="","",INDEX([5]ORTHO!$C$2:$C$24,MATCH($D299,[5]ORTHO!$D$2:$D$24,0))),"")</f>
        <v>46168</v>
      </c>
      <c r="D299" s="7">
        <v>559435670</v>
      </c>
      <c r="E299" s="8" t="s">
        <v>904</v>
      </c>
      <c r="F299" s="9">
        <v>46155</v>
      </c>
      <c r="G299" s="8" t="s">
        <v>171</v>
      </c>
      <c r="H299" s="8" t="s">
        <v>171</v>
      </c>
      <c r="I299" s="8" t="s">
        <v>69</v>
      </c>
      <c r="J299" s="8" t="s">
        <v>905</v>
      </c>
      <c r="K299" s="6">
        <f>IFERROR(IF(INDEX([5]ORTHO!$K$2:$K$24,MATCH($D299,[5]ORTHO!$D$2:$D$24,0))="","",INDEX([5]ORTHO!$K$2:$K$24,MATCH($D299,[5]ORTHO!$D$2:$D$24,0))),"")</f>
        <v>46259</v>
      </c>
      <c r="L299" s="11">
        <f ca="1">IF($O299="","",$O299-TODAY())</f>
        <v>216</v>
      </c>
      <c r="M299" s="11">
        <f ca="1">IF(AND(TRIM($A299)="Finalized",$K299&lt;&gt;""),"",IF($C299="","",$C299+365-TODAY()))</f>
        <v>229</v>
      </c>
      <c r="N299" s="11">
        <f ca="1">IF(AND(TRIM($A299)="Finalized",$K299&lt;&gt;""),"",IF($C299="","",$C299+120-TODAY()))</f>
        <v>-16</v>
      </c>
      <c r="O299" s="9">
        <f>IF(AND(TRIM($A299)="Finalized",$K299&lt;&gt;""),"",DATE(2027,5,13))</f>
        <v>46520</v>
      </c>
      <c r="P299" s="8" t="s">
        <v>73</v>
      </c>
      <c r="Q299" s="8" t="s">
        <v>739</v>
      </c>
      <c r="R299" s="8" t="s">
        <v>73</v>
      </c>
      <c r="S299" s="8" t="s">
        <v>74</v>
      </c>
      <c r="T299" s="8" t="s">
        <v>208</v>
      </c>
      <c r="U299" s="8" t="s">
        <v>74</v>
      </c>
      <c r="V299" s="8" t="s">
        <v>365</v>
      </c>
      <c r="W299" s="8" t="s">
        <v>76</v>
      </c>
      <c r="X299" s="8" t="s">
        <v>103</v>
      </c>
      <c r="Y299" s="8"/>
      <c r="Z299" s="8"/>
      <c r="AA299" s="8" t="s">
        <v>77</v>
      </c>
      <c r="AB299" s="10">
        <v>5614.63</v>
      </c>
      <c r="AC299" s="10">
        <v>0</v>
      </c>
      <c r="AD299" s="10">
        <v>0</v>
      </c>
      <c r="AE299" s="9">
        <v>46168</v>
      </c>
      <c r="AF299" s="10">
        <v>5614.63</v>
      </c>
      <c r="AG299" s="7">
        <v>87</v>
      </c>
      <c r="AH299" s="8" t="s">
        <v>182</v>
      </c>
      <c r="AI299" s="8"/>
      <c r="AJ299" s="8"/>
      <c r="AK299" s="8"/>
      <c r="AL299" s="7"/>
      <c r="AM299" s="8" t="s">
        <v>543</v>
      </c>
      <c r="AN299" s="8" t="s">
        <v>81</v>
      </c>
      <c r="AO299" s="9">
        <v>46160</v>
      </c>
    </row>
    <row r="300" spans="1:41" x14ac:dyDescent="0.25">
      <c r="A300" s="5" t="str">
        <f>IFERROR(IF(INDEX([5]DME!$A$2:$A$35,MATCH($D300,[5]DME!$D$2:$D$35,0))="","",INDEX([5]DME!$A$2:$A$35,MATCH($D300,[5]DME!$D$2:$D$35,0))),"")</f>
        <v>Pending</v>
      </c>
      <c r="B300" s="5" t="str">
        <f>IFERROR(IF(INDEX([5]DME!$B$2:$B$35,MATCH($D300,[5]DME!$D$2:$D$35,0))="","",INDEX([5]DME!$B$2:$B$35,MATCH($D300,[5]DME!$D$2:$D$35,0))),"")</f>
        <v>Greenway - Billed to PT - ABN signed - Void claim 569311834 request as per Medicare recoup - Home Health Scottsdale is the delegated DME vendor on DOS</v>
      </c>
      <c r="C300" s="6">
        <f>IFERROR(IF(INDEX([5]DME!$C$2:$C$35,MATCH($D300,[5]DME!$D$2:$D$35,0))="","",INDEX([5]DME!$C$2:$C$35,MATCH($D300,[5]DME!$D$2:$D$35,0))),"")</f>
        <v>46211</v>
      </c>
      <c r="D300" s="7">
        <v>559783560</v>
      </c>
      <c r="E300" s="8" t="s">
        <v>900</v>
      </c>
      <c r="F300" s="9">
        <v>46156</v>
      </c>
      <c r="G300" s="8" t="s">
        <v>83</v>
      </c>
      <c r="H300" s="8" t="s">
        <v>437</v>
      </c>
      <c r="I300" s="8" t="s">
        <v>83</v>
      </c>
      <c r="J300" s="8" t="s">
        <v>381</v>
      </c>
      <c r="K300" s="6">
        <f>IFERROR(IF(INDEX([5]DME!$K$2:$K$35,MATCH($D300,[5]DME!$D$2:$D$35,0))="","",INDEX([5]DME!$K$2:$K$35,MATCH($D300,[5]DME!$D$2:$D$35,0))),"")</f>
        <v>46254</v>
      </c>
      <c r="L300" s="11">
        <f ca="1">IF($O300="","",$O300-TODAY())</f>
        <v>217</v>
      </c>
      <c r="M300" s="11">
        <f ca="1">IF(AND(TRIM($A300)="Finalized",$K300&lt;&gt;""),"",IF($C300="","",$C300+365-TODAY()))</f>
        <v>272</v>
      </c>
      <c r="N300" s="11">
        <f ca="1">IF(AND(TRIM($A300)="Finalized",$K300&lt;&gt;""),"",IF($C300="","",$C300+120-TODAY()))</f>
        <v>27</v>
      </c>
      <c r="O300" s="9">
        <f>IF(AND(TRIM($A300)="Finalized",$K300&lt;&gt;""),"",DATE(2027,5,14))</f>
        <v>46521</v>
      </c>
      <c r="P300" s="8" t="s">
        <v>73</v>
      </c>
      <c r="Q300" s="8" t="s">
        <v>739</v>
      </c>
      <c r="R300" s="8" t="s">
        <v>73</v>
      </c>
      <c r="S300" s="8" t="s">
        <v>74</v>
      </c>
      <c r="T300" s="8" t="s">
        <v>208</v>
      </c>
      <c r="U300" s="8" t="s">
        <v>74</v>
      </c>
      <c r="V300" s="8" t="s">
        <v>365</v>
      </c>
      <c r="W300" s="8" t="s">
        <v>89</v>
      </c>
      <c r="X300" s="8" t="s">
        <v>90</v>
      </c>
      <c r="Y300" s="8"/>
      <c r="Z300" s="8"/>
      <c r="AA300" s="8" t="s">
        <v>91</v>
      </c>
      <c r="AB300" s="10">
        <v>5916.4</v>
      </c>
      <c r="AC300" s="10">
        <v>0</v>
      </c>
      <c r="AD300" s="10">
        <v>176.56</v>
      </c>
      <c r="AE300" s="9">
        <v>46211</v>
      </c>
      <c r="AF300" s="10">
        <v>5739.84</v>
      </c>
      <c r="AG300" s="7">
        <v>86</v>
      </c>
      <c r="AH300" s="8" t="s">
        <v>92</v>
      </c>
      <c r="AI300" s="8" t="s">
        <v>79</v>
      </c>
      <c r="AJ300" s="8"/>
      <c r="AK300" s="8"/>
      <c r="AL300" s="7">
        <v>562576876</v>
      </c>
      <c r="AM300" s="8" t="s">
        <v>806</v>
      </c>
      <c r="AN300" s="8" t="s">
        <v>807</v>
      </c>
      <c r="AO300" s="9">
        <v>46162</v>
      </c>
    </row>
    <row r="301" spans="1:41" x14ac:dyDescent="0.25">
      <c r="A301" s="5" t="str">
        <f>IFERROR(IF(INDEX([5]BH!$A$2:$A$33,MATCH($D301,[5]BH!$D$2:$D$33,0))="","",INDEX([5]BH!$A$2:$A$33,MATCH($D301,[5]BH!$D$2:$D$33,0))),"")</f>
        <v>Pending</v>
      </c>
      <c r="B301" s="5" t="str">
        <f>IFERROR(IF(INDEX([5]BH!$B$2:$B$33,MATCH($D301,[5]BH!$D$2:$D$33,0))="","",INDEX([5]BH!$B$2:$B$33,MATCH($D301,[5]BH!$D$2:$D$33,0))),"")</f>
        <v>PENDING POSTING - Secondary</v>
      </c>
      <c r="C301" s="6">
        <f>IFERROR(IF(INDEX([5]BH!$C$2:$C$33,MATCH($D301,[5]BH!$D$2:$D$33,0))="","",INDEX([5]BH!$C$2:$C$33,MATCH($D301,[5]BH!$D$2:$D$33,0))),"")</f>
        <v>46196</v>
      </c>
      <c r="D301" s="7">
        <v>559368713</v>
      </c>
      <c r="E301" s="8" t="s">
        <v>911</v>
      </c>
      <c r="F301" s="9">
        <v>46157</v>
      </c>
      <c r="G301" s="8" t="s">
        <v>123</v>
      </c>
      <c r="H301" s="8" t="s">
        <v>171</v>
      </c>
      <c r="I301" s="8" t="s">
        <v>123</v>
      </c>
      <c r="J301" s="8" t="s">
        <v>124</v>
      </c>
      <c r="K301" s="6">
        <f>IFERROR(IF(INDEX([5]BH!$K$2:$K$33,MATCH($D301,[5]BH!$D$2:$D$33,0))="","",INDEX([5]BH!$K$2:$K$33,MATCH($D301,[5]BH!$D$2:$D$33,0))),"")</f>
        <v>46227</v>
      </c>
      <c r="L301" s="11">
        <f ca="1">IF($O301="","",$O301-TODAY())</f>
        <v>218</v>
      </c>
      <c r="M301" s="11">
        <f ca="1">IF(AND(TRIM($A301)="Finalized",$K301&lt;&gt;""),"",IF($C301="","",$C301+365-TODAY()))</f>
        <v>257</v>
      </c>
      <c r="N301" s="11">
        <f ca="1">IF(AND(TRIM($A301)="Finalized",$K301&lt;&gt;""),"",IF($C301="","",$C301+120-TODAY()))</f>
        <v>12</v>
      </c>
      <c r="O301" s="9">
        <f>IF(AND(TRIM($A301)="Finalized",$K301&lt;&gt;""),"",DATE(2027,5,15))</f>
        <v>46522</v>
      </c>
      <c r="P301" s="8" t="s">
        <v>73</v>
      </c>
      <c r="Q301" s="8" t="s">
        <v>739</v>
      </c>
      <c r="R301" s="8" t="s">
        <v>73</v>
      </c>
      <c r="S301" s="8" t="s">
        <v>74</v>
      </c>
      <c r="T301" s="8" t="s">
        <v>208</v>
      </c>
      <c r="U301" s="8" t="s">
        <v>74</v>
      </c>
      <c r="V301" s="8" t="s">
        <v>365</v>
      </c>
      <c r="W301" s="8" t="s">
        <v>118</v>
      </c>
      <c r="X301" s="8"/>
      <c r="Y301" s="8"/>
      <c r="Z301" s="8"/>
      <c r="AA301" s="8" t="s">
        <v>77</v>
      </c>
      <c r="AB301" s="10">
        <v>1426.25</v>
      </c>
      <c r="AC301" s="10">
        <v>1228.08</v>
      </c>
      <c r="AD301" s="10">
        <v>154.78</v>
      </c>
      <c r="AE301" s="9">
        <v>46196</v>
      </c>
      <c r="AF301" s="10">
        <v>43.39</v>
      </c>
      <c r="AG301" s="7">
        <v>85</v>
      </c>
      <c r="AH301" s="8" t="s">
        <v>276</v>
      </c>
      <c r="AI301" s="8"/>
      <c r="AJ301" s="8"/>
      <c r="AK301" s="8"/>
      <c r="AL301" s="7">
        <v>564132159</v>
      </c>
      <c r="AM301" s="8" t="s">
        <v>157</v>
      </c>
      <c r="AN301" s="8" t="s">
        <v>158</v>
      </c>
      <c r="AO301" s="9">
        <v>46182</v>
      </c>
    </row>
    <row r="302" spans="1:41" x14ac:dyDescent="0.25">
      <c r="A302" s="5" t="str">
        <f>IFERROR(IF(INDEX([5]ORTHO!$A$2:$A$24,MATCH($D302,[5]ORTHO!$D$2:$D$24,0))="","",INDEX([5]ORTHO!$A$2:$A$24,MATCH($D302,[5]ORTHO!$D$2:$D$24,0))),"")</f>
        <v>Denied</v>
      </c>
      <c r="B302" s="5" t="str">
        <f>IFERROR(IF(INDEX([5]ORTHO!$B$2:$B$24,MATCH($D302,[5]ORTHO!$D$2:$D$24,0))="","",INDEX([5]ORTHO!$B$2:$B$24,MATCH($D302,[5]ORTHO!$D$2:$D$24,0))),"")</f>
        <v>MBI updated on chart, and resubmitted</v>
      </c>
      <c r="C302" s="6">
        <f>IFERROR(IF(INDEX([5]ORTHO!$C$2:$C$24,MATCH($D302,[5]ORTHO!$D$2:$D$24,0))="","",INDEX([5]ORTHO!$C$2:$C$24,MATCH($D302,[5]ORTHO!$D$2:$D$24,0))),"")</f>
        <v>46168</v>
      </c>
      <c r="D302" s="7">
        <v>559339992</v>
      </c>
      <c r="E302" s="8" t="s">
        <v>912</v>
      </c>
      <c r="F302" s="9">
        <v>46157</v>
      </c>
      <c r="G302" s="8" t="s">
        <v>171</v>
      </c>
      <c r="H302" s="8" t="s">
        <v>171</v>
      </c>
      <c r="I302" s="8" t="s">
        <v>83</v>
      </c>
      <c r="J302" s="8" t="s">
        <v>70</v>
      </c>
      <c r="K302" s="6">
        <f>IFERROR(IF(INDEX([5]ORTHO!$K$2:$K$24,MATCH($D302,[5]ORTHO!$D$2:$D$24,0))="","",INDEX([5]ORTHO!$K$2:$K$24,MATCH($D302,[5]ORTHO!$D$2:$D$24,0))),"")</f>
        <v>46259</v>
      </c>
      <c r="L302" s="11">
        <f ca="1">IF($O302="","",$O302-TODAY())</f>
        <v>218</v>
      </c>
      <c r="M302" s="11">
        <f ca="1">IF(AND(TRIM($A302)="Finalized",$K302&lt;&gt;""),"",IF($C302="","",$C302+365-TODAY()))</f>
        <v>229</v>
      </c>
      <c r="N302" s="11">
        <f ca="1">IF(AND(TRIM($A302)="Finalized",$K302&lt;&gt;""),"",IF($C302="","",$C302+120-TODAY()))</f>
        <v>-16</v>
      </c>
      <c r="O302" s="9">
        <f>IF(AND(TRIM($A302)="Finalized",$K302&lt;&gt;""),"",DATE(2027,5,15))</f>
        <v>46522</v>
      </c>
      <c r="P302" s="8" t="s">
        <v>73</v>
      </c>
      <c r="Q302" s="8" t="s">
        <v>739</v>
      </c>
      <c r="R302" s="8" t="s">
        <v>73</v>
      </c>
      <c r="S302" s="8" t="s">
        <v>74</v>
      </c>
      <c r="T302" s="8" t="s">
        <v>208</v>
      </c>
      <c r="U302" s="8" t="s">
        <v>74</v>
      </c>
      <c r="V302" s="8" t="s">
        <v>365</v>
      </c>
      <c r="W302" s="8" t="s">
        <v>76</v>
      </c>
      <c r="X302" s="8"/>
      <c r="Y302" s="8"/>
      <c r="Z302" s="8"/>
      <c r="AA302" s="8" t="s">
        <v>77</v>
      </c>
      <c r="AB302" s="10">
        <v>2493.33</v>
      </c>
      <c r="AC302" s="10">
        <v>0</v>
      </c>
      <c r="AD302" s="10">
        <v>0</v>
      </c>
      <c r="AE302" s="9">
        <v>46168</v>
      </c>
      <c r="AF302" s="10">
        <v>2493.33</v>
      </c>
      <c r="AG302" s="7">
        <v>85</v>
      </c>
      <c r="AH302" s="8" t="s">
        <v>78</v>
      </c>
      <c r="AI302" s="8" t="s">
        <v>79</v>
      </c>
      <c r="AJ302" s="8" t="s">
        <v>92</v>
      </c>
      <c r="AK302" s="8"/>
      <c r="AL302" s="7"/>
      <c r="AM302" s="8" t="s">
        <v>146</v>
      </c>
      <c r="AN302" s="8" t="s">
        <v>109</v>
      </c>
      <c r="AO302" s="9">
        <v>46160</v>
      </c>
    </row>
    <row r="303" spans="1:41" x14ac:dyDescent="0.25">
      <c r="A303" s="5" t="str">
        <f>IFERROR(IF(INDEX([5]GAE!$A$2:$A$7,MATCH($D303,[5]GAE!$D$2:$D$7,0))="","",INDEX([5]GAE!$A$2:$A$7,MATCH($D303,[5]GAE!$D$2:$D$7,0))),"")</f>
        <v>PAID</v>
      </c>
      <c r="B303" s="5" t="str">
        <f>IFERROR(IF(INDEX([5]GAE!$B$2:$B$7,MATCH($D303,[5]GAE!$D$2:$D$7,0))="","",INDEX([5]GAE!$B$2:$B$7,MATCH($D303,[5]GAE!$D$2:$D$7,0))),"")</f>
        <v>secondary - PENDING POSTING</v>
      </c>
      <c r="C303" s="6">
        <f>IFERROR(IF(INDEX([5]GAE!$C$2:$C$7,MATCH($D303,[5]GAE!$D$2:$D$7,0))="","",INDEX([5]GAE!$C$2:$C$7,MATCH($D303,[5]GAE!$D$2:$D$7,0))),"")</f>
        <v>46252</v>
      </c>
      <c r="D303" s="7">
        <v>561726685</v>
      </c>
      <c r="E303" s="8" t="s">
        <v>903</v>
      </c>
      <c r="F303" s="9">
        <v>46160</v>
      </c>
      <c r="G303" s="8" t="s">
        <v>405</v>
      </c>
      <c r="H303" s="8" t="s">
        <v>171</v>
      </c>
      <c r="I303" s="8" t="s">
        <v>405</v>
      </c>
      <c r="J303" s="8" t="s">
        <v>913</v>
      </c>
      <c r="K303" s="6">
        <f>IFERROR(IF(INDEX([5]GAE!$K$2:$K$7,MATCH($D303,[5]GAE!$D$2:$D$7,0))="","",INDEX([5]GAE!$K$2:$K$7,MATCH($D303,[5]GAE!$D$2:$D$7,0))),"")</f>
        <v>46224</v>
      </c>
      <c r="L303" s="11">
        <f ca="1">IF($O303="","",$O303-TODAY())</f>
        <v>221</v>
      </c>
      <c r="M303" s="11">
        <f ca="1">IF(AND(TRIM($A303)="Finalized",$K303&lt;&gt;""),"",IF($C303="","",$C303+365-TODAY()))</f>
        <v>313</v>
      </c>
      <c r="N303" s="11">
        <f ca="1">IF(AND(TRIM($A303)="Finalized",$K303&lt;&gt;""),"",IF($C303="","",$C303+120-TODAY()))</f>
        <v>68</v>
      </c>
      <c r="O303" s="9">
        <f>IF(AND(TRIM($A303)="Finalized",$K303&lt;&gt;""),"",DATE(2027,5,18))</f>
        <v>46525</v>
      </c>
      <c r="P303" s="8" t="s">
        <v>73</v>
      </c>
      <c r="Q303" s="8" t="s">
        <v>739</v>
      </c>
      <c r="R303" s="8" t="s">
        <v>73</v>
      </c>
      <c r="S303" s="8" t="s">
        <v>74</v>
      </c>
      <c r="T303" s="8" t="s">
        <v>208</v>
      </c>
      <c r="U303" s="8" t="s">
        <v>74</v>
      </c>
      <c r="V303" s="8" t="s">
        <v>365</v>
      </c>
      <c r="W303" s="8" t="s">
        <v>101</v>
      </c>
      <c r="X303" s="8" t="s">
        <v>257</v>
      </c>
      <c r="Y303" s="8" t="s">
        <v>360</v>
      </c>
      <c r="Z303" s="8" t="s">
        <v>153</v>
      </c>
      <c r="AA303" s="8" t="s">
        <v>914</v>
      </c>
      <c r="AB303" s="10">
        <v>70557.69</v>
      </c>
      <c r="AC303" s="10">
        <v>69521.95</v>
      </c>
      <c r="AD303" s="10">
        <v>825.23</v>
      </c>
      <c r="AE303" s="9">
        <v>46197</v>
      </c>
      <c r="AF303" s="10">
        <v>210.51</v>
      </c>
      <c r="AG303" s="7">
        <v>82</v>
      </c>
      <c r="AH303" s="8" t="s">
        <v>329</v>
      </c>
      <c r="AI303" s="8" t="s">
        <v>106</v>
      </c>
      <c r="AJ303" s="8" t="s">
        <v>361</v>
      </c>
      <c r="AK303" s="8"/>
      <c r="AL303" s="7">
        <v>564721013</v>
      </c>
      <c r="AM303" s="8" t="s">
        <v>108</v>
      </c>
      <c r="AN303" s="8" t="s">
        <v>81</v>
      </c>
      <c r="AO303" s="9">
        <v>46182</v>
      </c>
    </row>
    <row r="304" spans="1:41" x14ac:dyDescent="0.25">
      <c r="A304" s="5" t="str">
        <f>IFERROR(IF(INDEX([5]US!$A$2:$A$19,MATCH($D304,[5]US!$D$2:$D$19,0))="","",INDEX([5]US!$A$2:$A$19,MATCH($D304,[5]US!$D$2:$D$19,0))),"")</f>
        <v>Denied</v>
      </c>
      <c r="B304" s="5" t="str">
        <f>IFERROR(IF(INDEX([5]US!$B$2:$B$19,MATCH($D304,[5]US!$D$2:$D$19,0))="","",INDEX([5]US!$B$2:$B$19,MATCH($D304,[5]US!$D$2:$D$19,0))),"")</f>
        <v>Edited referring provider, and resubmitted</v>
      </c>
      <c r="C304" s="6">
        <f>IFERROR(IF(INDEX([5]US!$C$2:$C$19,MATCH($D304,[5]US!$D$2:$D$19,0))="","",INDEX([5]US!$C$2:$C$19,MATCH($D304,[5]US!$D$2:$D$19,0))),"")</f>
        <v>46178</v>
      </c>
      <c r="D304" s="7">
        <v>560703801</v>
      </c>
      <c r="E304" s="8" t="s">
        <v>919</v>
      </c>
      <c r="F304" s="9">
        <v>46161</v>
      </c>
      <c r="G304" s="8" t="s">
        <v>171</v>
      </c>
      <c r="H304" s="8" t="s">
        <v>171</v>
      </c>
      <c r="I304" s="8" t="s">
        <v>823</v>
      </c>
      <c r="J304" s="8" t="s">
        <v>508</v>
      </c>
      <c r="K304" s="6">
        <f>IFERROR(IF(INDEX([5]US!$K$2:$K$19,MATCH($D304,[5]US!$D$2:$D$19,0))="","",INDEX([5]US!$K$2:$K$19,MATCH($D304,[5]US!$D$2:$D$19,0))),"")</f>
        <v>46257</v>
      </c>
      <c r="L304" s="11">
        <f ca="1">IF($O304="","",$O304-TODAY())</f>
        <v>222</v>
      </c>
      <c r="M304" s="11">
        <f ca="1">IF(AND(TRIM($A304)="Finalized",$K304&lt;&gt;""),"",IF($C304="","",$C304+365-TODAY()))</f>
        <v>239</v>
      </c>
      <c r="N304" s="11">
        <f ca="1">IF(AND(TRIM($A304)="Finalized",$K304&lt;&gt;""),"",IF($C304="","",$C304+120-TODAY()))</f>
        <v>-6</v>
      </c>
      <c r="O304" s="9">
        <f>IF(AND(TRIM($A304)="Finalized",$K304&lt;&gt;""),"",DATE(2027,5,19))</f>
        <v>46526</v>
      </c>
      <c r="P304" s="8" t="s">
        <v>73</v>
      </c>
      <c r="Q304" s="8" t="s">
        <v>739</v>
      </c>
      <c r="R304" s="8" t="s">
        <v>73</v>
      </c>
      <c r="S304" s="8" t="s">
        <v>74</v>
      </c>
      <c r="T304" s="8" t="s">
        <v>208</v>
      </c>
      <c r="U304" s="8" t="s">
        <v>74</v>
      </c>
      <c r="V304" s="8" t="s">
        <v>365</v>
      </c>
      <c r="W304" s="8" t="s">
        <v>129</v>
      </c>
      <c r="X304" s="8"/>
      <c r="Y304" s="8"/>
      <c r="Z304" s="8"/>
      <c r="AA304" s="8" t="s">
        <v>77</v>
      </c>
      <c r="AB304" s="10">
        <v>3822.49</v>
      </c>
      <c r="AC304" s="10">
        <v>0</v>
      </c>
      <c r="AD304" s="10">
        <v>0</v>
      </c>
      <c r="AE304" s="9">
        <v>46178</v>
      </c>
      <c r="AF304" s="10">
        <v>3822.49</v>
      </c>
      <c r="AG304" s="7">
        <v>81</v>
      </c>
      <c r="AH304" s="8" t="s">
        <v>92</v>
      </c>
      <c r="AI304" s="8" t="s">
        <v>139</v>
      </c>
      <c r="AJ304" s="8" t="s">
        <v>138</v>
      </c>
      <c r="AK304" s="8"/>
      <c r="AL304" s="7"/>
      <c r="AM304" s="8" t="s">
        <v>157</v>
      </c>
      <c r="AN304" s="8" t="s">
        <v>158</v>
      </c>
      <c r="AO304" s="9">
        <v>46171</v>
      </c>
    </row>
    <row r="305" spans="1:41" x14ac:dyDescent="0.25">
      <c r="A305" s="5" t="str">
        <f>IFERROR(IF(INDEX([5]US!$A$2:$A$19,MATCH($D305,[5]US!$D$2:$D$19,0))="","",INDEX([5]US!$A$2:$A$19,MATCH($D305,[5]US!$D$2:$D$19,0))),"")</f>
        <v>Denied</v>
      </c>
      <c r="B305" s="5" t="str">
        <f>IFERROR(IF(INDEX([5]US!$B$2:$B$19,MATCH($D305,[5]US!$D$2:$D$19,0))="","",INDEX([5]US!$B$2:$B$19,MATCH($D305,[5]US!$D$2:$D$19,0))),"")</f>
        <v>Edited referring and ordering providers, and resubmitted</v>
      </c>
      <c r="C305" s="6">
        <f>IFERROR(IF(INDEX([5]US!$C$2:$C$19,MATCH($D305,[5]US!$D$2:$D$19,0))="","",INDEX([5]US!$C$2:$C$19,MATCH($D305,[5]US!$D$2:$D$19,0))),"")</f>
        <v>46178</v>
      </c>
      <c r="D305" s="7">
        <v>560707683</v>
      </c>
      <c r="E305" s="8" t="s">
        <v>920</v>
      </c>
      <c r="F305" s="9">
        <v>46162</v>
      </c>
      <c r="G305" s="8" t="s">
        <v>171</v>
      </c>
      <c r="H305" s="8" t="s">
        <v>171</v>
      </c>
      <c r="I305" s="8" t="s">
        <v>69</v>
      </c>
      <c r="J305" s="8" t="s">
        <v>128</v>
      </c>
      <c r="K305" s="6">
        <f>IFERROR(IF(INDEX([5]US!$K$2:$K$19,MATCH($D305,[5]US!$D$2:$D$19,0))="","",INDEX([5]US!$K$2:$K$19,MATCH($D305,[5]US!$D$2:$D$19,0))),"")</f>
        <v>46257</v>
      </c>
      <c r="L305" s="11">
        <f ca="1">IF($O305="","",$O305-TODAY())</f>
        <v>223</v>
      </c>
      <c r="M305" s="11">
        <f ca="1">IF(AND(TRIM($A305)="Finalized",$K305&lt;&gt;""),"",IF($C305="","",$C305+365-TODAY()))</f>
        <v>239</v>
      </c>
      <c r="N305" s="11">
        <f ca="1">IF(AND(TRIM($A305)="Finalized",$K305&lt;&gt;""),"",IF($C305="","",$C305+120-TODAY()))</f>
        <v>-6</v>
      </c>
      <c r="O305" s="9">
        <f>IF(AND(TRIM($A305)="Finalized",$K305&lt;&gt;""),"",DATE(2027,5,20))</f>
        <v>46527</v>
      </c>
      <c r="P305" s="8" t="s">
        <v>73</v>
      </c>
      <c r="Q305" s="8" t="s">
        <v>739</v>
      </c>
      <c r="R305" s="8" t="s">
        <v>73</v>
      </c>
      <c r="S305" s="8" t="s">
        <v>74</v>
      </c>
      <c r="T305" s="8" t="s">
        <v>208</v>
      </c>
      <c r="U305" s="8" t="s">
        <v>74</v>
      </c>
      <c r="V305" s="8" t="s">
        <v>365</v>
      </c>
      <c r="W305" s="8" t="s">
        <v>129</v>
      </c>
      <c r="X305" s="8"/>
      <c r="Y305" s="8"/>
      <c r="Z305" s="8"/>
      <c r="AA305" s="8" t="s">
        <v>77</v>
      </c>
      <c r="AB305" s="10">
        <v>1649.2</v>
      </c>
      <c r="AC305" s="10">
        <v>0</v>
      </c>
      <c r="AD305" s="10">
        <v>0</v>
      </c>
      <c r="AE305" s="9">
        <v>46178</v>
      </c>
      <c r="AF305" s="10">
        <v>1649.2</v>
      </c>
      <c r="AG305" s="7">
        <v>80</v>
      </c>
      <c r="AH305" s="8" t="s">
        <v>130</v>
      </c>
      <c r="AI305" s="8"/>
      <c r="AJ305" s="8"/>
      <c r="AK305" s="8"/>
      <c r="AL305" s="7"/>
      <c r="AM305" s="8" t="s">
        <v>165</v>
      </c>
      <c r="AN305" s="8" t="s">
        <v>95</v>
      </c>
      <c r="AO305" s="9">
        <v>46171</v>
      </c>
    </row>
    <row r="306" spans="1:41" x14ac:dyDescent="0.25">
      <c r="A306" s="5" t="str">
        <f>IFERROR(IF(INDEX([5]DME!$A$2:$A$35,MATCH($D306,[5]DME!$D$2:$D$35,0))="","",INDEX([5]DME!$A$2:$A$35,MATCH($D306,[5]DME!$D$2:$D$35,0))),"")</f>
        <v>PAID</v>
      </c>
      <c r="B306" s="5" t="str">
        <f>IFERROR(IF(INDEX([5]DME!$B$2:$B$35,MATCH($D306,[5]DME!$D$2:$D$35,0))="","",INDEX([5]DME!$B$2:$B$35,MATCH($D306,[5]DME!$D$2:$D$35,0))),"")</f>
        <v>Surprise Reems -  PENDING POSTING</v>
      </c>
      <c r="C306" s="6">
        <f>IFERROR(IF(INDEX([5]DME!$C$2:$C$35,MATCH($D306,[5]DME!$D$2:$D$35,0))="","",INDEX([5]DME!$C$2:$C$35,MATCH($D306,[5]DME!$D$2:$D$35,0))),"")</f>
        <v>46209</v>
      </c>
      <c r="D306" s="7">
        <v>561853521</v>
      </c>
      <c r="E306" s="8" t="s">
        <v>859</v>
      </c>
      <c r="F306" s="9">
        <v>46168</v>
      </c>
      <c r="G306" s="8" t="s">
        <v>437</v>
      </c>
      <c r="H306" s="8" t="s">
        <v>437</v>
      </c>
      <c r="I306" s="8" t="s">
        <v>803</v>
      </c>
      <c r="J306" s="8" t="s">
        <v>640</v>
      </c>
      <c r="K306" s="6" t="str">
        <f>IFERROR(IF(INDEX([5]DME!$K$2:$K$35,MATCH($D306,[5]DME!$D$2:$D$35,0))="","",INDEX([5]DME!$K$2:$K$35,MATCH($D306,[5]DME!$D$2:$D$35,0))),"")</f>
        <v/>
      </c>
      <c r="L306" s="11">
        <f ca="1">IF($O306="","",$O306-TODAY())</f>
        <v>229</v>
      </c>
      <c r="M306" s="11">
        <f ca="1">IF(AND(TRIM($A306)="Finalized",$K306&lt;&gt;""),"",IF($C306="","",$C306+365-TODAY()))</f>
        <v>270</v>
      </c>
      <c r="N306" s="11">
        <f ca="1">IF(AND(TRIM($A306)="Finalized",$K306&lt;&gt;""),"",IF($C306="","",$C306+120-TODAY()))</f>
        <v>25</v>
      </c>
      <c r="O306" s="9">
        <f>IF(AND(TRIM($A306)="Finalized",$K306&lt;&gt;""),"",DATE(2027,5,26))</f>
        <v>46533</v>
      </c>
      <c r="P306" s="8" t="s">
        <v>73</v>
      </c>
      <c r="Q306" s="8" t="s">
        <v>739</v>
      </c>
      <c r="R306" s="8" t="s">
        <v>73</v>
      </c>
      <c r="S306" s="8" t="s">
        <v>74</v>
      </c>
      <c r="T306" s="8" t="s">
        <v>208</v>
      </c>
      <c r="U306" s="8" t="s">
        <v>74</v>
      </c>
      <c r="V306" s="8" t="s">
        <v>365</v>
      </c>
      <c r="W306" s="8" t="s">
        <v>89</v>
      </c>
      <c r="X306" s="8" t="s">
        <v>244</v>
      </c>
      <c r="Y306" s="8"/>
      <c r="Z306" s="8"/>
      <c r="AA306" s="8" t="s">
        <v>190</v>
      </c>
      <c r="AB306" s="10">
        <v>18176.900000000001</v>
      </c>
      <c r="AC306" s="10">
        <v>0</v>
      </c>
      <c r="AD306" s="10">
        <v>542.44000000000005</v>
      </c>
      <c r="AE306" s="9">
        <v>46209</v>
      </c>
      <c r="AF306" s="10">
        <v>17634.46</v>
      </c>
      <c r="AG306" s="7">
        <v>74</v>
      </c>
      <c r="AH306" s="8" t="s">
        <v>92</v>
      </c>
      <c r="AI306" s="8" t="s">
        <v>329</v>
      </c>
      <c r="AJ306" s="8"/>
      <c r="AK306" s="8"/>
      <c r="AL306" s="7"/>
      <c r="AM306" s="8" t="s">
        <v>745</v>
      </c>
      <c r="AN306" s="8" t="s">
        <v>746</v>
      </c>
      <c r="AO306" s="9">
        <v>46183</v>
      </c>
    </row>
    <row r="307" spans="1:41" x14ac:dyDescent="0.25">
      <c r="A307" s="5" t="str">
        <f>IFERROR(IF(INDEX([5]DME!$A$2:$A$35,MATCH($D307,[5]DME!$D$2:$D$35,0))="","",INDEX([5]DME!$A$2:$A$35,MATCH($D307,[5]DME!$D$2:$D$35,0))),"")</f>
        <v>PAID</v>
      </c>
      <c r="B307" s="5" t="str">
        <f>IFERROR(IF(INDEX([5]DME!$B$2:$B$35,MATCH($D307,[5]DME!$D$2:$D$35,0))="","",INDEX([5]DME!$B$2:$B$35,MATCH($D307,[5]DME!$D$2:$D$35,0))),"")</f>
        <v>Surprise Reems -  PENDING POSTING</v>
      </c>
      <c r="C307" s="6">
        <f>IFERROR(IF(INDEX([5]DME!$C$2:$C$35,MATCH($D307,[5]DME!$D$2:$D$35,0))="","",INDEX([5]DME!$C$2:$C$35,MATCH($D307,[5]DME!$D$2:$D$35,0))),"")</f>
        <v>46249</v>
      </c>
      <c r="D307" s="7">
        <v>561856360</v>
      </c>
      <c r="E307" s="8" t="s">
        <v>921</v>
      </c>
      <c r="F307" s="9">
        <v>46168</v>
      </c>
      <c r="G307" s="8" t="s">
        <v>437</v>
      </c>
      <c r="H307" s="8" t="s">
        <v>437</v>
      </c>
      <c r="I307" s="8" t="s">
        <v>83</v>
      </c>
      <c r="J307" s="8" t="s">
        <v>373</v>
      </c>
      <c r="K307" s="6" t="str">
        <f>IFERROR(IF(INDEX([5]DME!$K$2:$K$35,MATCH($D307,[5]DME!$D$2:$D$35,0))="","",INDEX([5]DME!$K$2:$K$35,MATCH($D307,[5]DME!$D$2:$D$35,0))),"")</f>
        <v/>
      </c>
      <c r="L307" s="11">
        <f ca="1">IF($O307="","",$O307-TODAY())</f>
        <v>229</v>
      </c>
      <c r="M307" s="11">
        <f ca="1">IF(AND(TRIM($A307)="Finalized",$K307&lt;&gt;""),"",IF($C307="","",$C307+365-TODAY()))</f>
        <v>310</v>
      </c>
      <c r="N307" s="11">
        <f ca="1">IF(AND(TRIM($A307)="Finalized",$K307&lt;&gt;""),"",IF($C307="","",$C307+120-TODAY()))</f>
        <v>65</v>
      </c>
      <c r="O307" s="9">
        <f>IF(AND(TRIM($A307)="Finalized",$K307&lt;&gt;""),"",DATE(2027,5,26))</f>
        <v>46533</v>
      </c>
      <c r="P307" s="8" t="s">
        <v>73</v>
      </c>
      <c r="Q307" s="8" t="s">
        <v>739</v>
      </c>
      <c r="R307" s="8" t="s">
        <v>73</v>
      </c>
      <c r="S307" s="8" t="s">
        <v>74</v>
      </c>
      <c r="T307" s="8" t="s">
        <v>208</v>
      </c>
      <c r="U307" s="8" t="s">
        <v>74</v>
      </c>
      <c r="V307" s="8" t="s">
        <v>365</v>
      </c>
      <c r="W307" s="8" t="s">
        <v>89</v>
      </c>
      <c r="X307" s="8" t="s">
        <v>244</v>
      </c>
      <c r="Y307" s="8"/>
      <c r="Z307" s="8"/>
      <c r="AA307" s="8" t="s">
        <v>190</v>
      </c>
      <c r="AB307" s="10">
        <v>2958.2</v>
      </c>
      <c r="AC307" s="10">
        <v>0</v>
      </c>
      <c r="AD307" s="10">
        <v>0</v>
      </c>
      <c r="AE307" s="9"/>
      <c r="AF307" s="10">
        <v>2958.2</v>
      </c>
      <c r="AG307" s="7">
        <v>74</v>
      </c>
      <c r="AH307" s="8" t="s">
        <v>92</v>
      </c>
      <c r="AI307" s="8" t="s">
        <v>145</v>
      </c>
      <c r="AJ307" s="8"/>
      <c r="AK307" s="8"/>
      <c r="AL307" s="7"/>
      <c r="AM307" s="8" t="s">
        <v>745</v>
      </c>
      <c r="AN307" s="8" t="s">
        <v>746</v>
      </c>
      <c r="AO307" s="9">
        <v>46183</v>
      </c>
    </row>
    <row r="308" spans="1:41" x14ac:dyDescent="0.25">
      <c r="A308" s="5" t="str">
        <f>IFERROR(IF(INDEX([5]BH!$A$2:$A$33,MATCH($D308,[5]BH!$D$2:$D$33,0))="","",INDEX([5]BH!$A$2:$A$33,MATCH($D308,[5]BH!$D$2:$D$33,0))),"")</f>
        <v>Pending</v>
      </c>
      <c r="B308" s="5" t="str">
        <f>IFERROR(IF(INDEX([5]BH!$B$2:$B$33,MATCH($D308,[5]BH!$D$2:$D$33,0))="","",INDEX([5]BH!$B$2:$B$33,MATCH($D308,[5]BH!$D$2:$D$33,0))),"")</f>
        <v>PENDING POSTING - Secondary</v>
      </c>
      <c r="C308" s="6">
        <f>IFERROR(IF(INDEX([5]BH!$C$2:$C$33,MATCH($D308,[5]BH!$D$2:$D$33,0))="","",INDEX([5]BH!$C$2:$C$33,MATCH($D308,[5]BH!$D$2:$D$33,0))),"")</f>
        <v>46196</v>
      </c>
      <c r="D308" s="7">
        <v>560682170</v>
      </c>
      <c r="E308" s="8" t="s">
        <v>922</v>
      </c>
      <c r="F308" s="9">
        <v>46170</v>
      </c>
      <c r="G308" s="8" t="s">
        <v>123</v>
      </c>
      <c r="H308" s="8" t="s">
        <v>171</v>
      </c>
      <c r="I308" s="8" t="s">
        <v>123</v>
      </c>
      <c r="J308" s="8" t="s">
        <v>160</v>
      </c>
      <c r="K308" s="6">
        <f>IFERROR(IF(INDEX([5]BH!$K$2:$K$33,MATCH($D308,[5]BH!$D$2:$D$33,0))="","",INDEX([5]BH!$K$2:$K$33,MATCH($D308,[5]BH!$D$2:$D$33,0))),"")</f>
        <v>46227</v>
      </c>
      <c r="L308" s="11">
        <f ca="1">IF($O308="","",$O308-TODAY())</f>
        <v>231</v>
      </c>
      <c r="M308" s="11">
        <f ca="1">IF(AND(TRIM($A308)="Finalized",$K308&lt;&gt;""),"",IF($C308="","",$C308+365-TODAY()))</f>
        <v>257</v>
      </c>
      <c r="N308" s="11">
        <f ca="1">IF(AND(TRIM($A308)="Finalized",$K308&lt;&gt;""),"",IF($C308="","",$C308+120-TODAY()))</f>
        <v>12</v>
      </c>
      <c r="O308" s="9">
        <f>IF(AND(TRIM($A308)="Finalized",$K308&lt;&gt;""),"",DATE(2027,5,28))</f>
        <v>46535</v>
      </c>
      <c r="P308" s="8" t="s">
        <v>73</v>
      </c>
      <c r="Q308" s="8" t="s">
        <v>739</v>
      </c>
      <c r="R308" s="8" t="s">
        <v>73</v>
      </c>
      <c r="S308" s="8" t="s">
        <v>74</v>
      </c>
      <c r="T308" s="8" t="s">
        <v>208</v>
      </c>
      <c r="U308" s="8" t="s">
        <v>74</v>
      </c>
      <c r="V308" s="8" t="s">
        <v>365</v>
      </c>
      <c r="W308" s="8" t="s">
        <v>118</v>
      </c>
      <c r="X308" s="8"/>
      <c r="Y308" s="8"/>
      <c r="Z308" s="8"/>
      <c r="AA308" s="8" t="s">
        <v>77</v>
      </c>
      <c r="AB308" s="10">
        <v>976.64</v>
      </c>
      <c r="AC308" s="10">
        <v>844.25</v>
      </c>
      <c r="AD308" s="10">
        <v>103.98</v>
      </c>
      <c r="AE308" s="9">
        <v>46196</v>
      </c>
      <c r="AF308" s="10">
        <v>28.41</v>
      </c>
      <c r="AG308" s="7">
        <v>72</v>
      </c>
      <c r="AH308" s="8" t="s">
        <v>119</v>
      </c>
      <c r="AI308" s="8"/>
      <c r="AJ308" s="8"/>
      <c r="AK308" s="8"/>
      <c r="AL308" s="7">
        <v>564133893</v>
      </c>
      <c r="AM308" s="8" t="s">
        <v>165</v>
      </c>
      <c r="AN308" s="8" t="s">
        <v>132</v>
      </c>
      <c r="AO308" s="9">
        <v>46182</v>
      </c>
    </row>
    <row r="309" spans="1:41" x14ac:dyDescent="0.25">
      <c r="A309" s="5" t="str">
        <f>IFERROR(IF(INDEX([5]DME!$A$2:$A$35,MATCH($D309,[5]DME!$D$2:$D$35,0))="","",INDEX([5]DME!$A$2:$A$35,MATCH($D309,[5]DME!$D$2:$D$35,0))),"")</f>
        <v>Denied</v>
      </c>
      <c r="B309" s="5" t="str">
        <f>IFERROR(IF(INDEX([5]DME!$B$2:$B$35,MATCH($D309,[5]DME!$D$2:$D$35,0))="","",INDEX([5]DME!$B$2:$B$35,MATCH($D309,[5]DME!$D$2:$D$35,0))),"")</f>
        <v>Peoria - Added the only knee dx on order encounter notes M25562, and resubmitted - Remark says 'medical necessity' because the diagnoses on the claim aren't knee diagnoses, yet this will probably denied again for missing authorzation.</v>
      </c>
      <c r="C309" s="6">
        <f>IFERROR(IF(INDEX([5]DME!$C$2:$C$35,MATCH($D309,[5]DME!$D$2:$D$35,0))="","",INDEX([5]DME!$C$2:$C$35,MATCH($D309,[5]DME!$D$2:$D$35,0))),"")</f>
        <v>46204</v>
      </c>
      <c r="D309" s="7">
        <v>563514079</v>
      </c>
      <c r="E309" s="8" t="s">
        <v>923</v>
      </c>
      <c r="F309" s="9">
        <v>46170</v>
      </c>
      <c r="G309" s="8" t="s">
        <v>437</v>
      </c>
      <c r="H309" s="8" t="s">
        <v>437</v>
      </c>
      <c r="I309" s="8" t="s">
        <v>924</v>
      </c>
      <c r="J309" s="8" t="s">
        <v>925</v>
      </c>
      <c r="K309" s="6">
        <f>IFERROR(IF(INDEX([5]DME!$K$2:$K$35,MATCH($D309,[5]DME!$D$2:$D$35,0))="","",INDEX([5]DME!$K$2:$K$35,MATCH($D309,[5]DME!$D$2:$D$35,0))),"")</f>
        <v>46255</v>
      </c>
      <c r="L309" s="11">
        <f ca="1">IF($O309="","",$O309-TODAY())</f>
        <v>231</v>
      </c>
      <c r="M309" s="11">
        <f ca="1">IF(AND(TRIM($A309)="Finalized",$K309&lt;&gt;""),"",IF($C309="","",$C309+365-TODAY()))</f>
        <v>265</v>
      </c>
      <c r="N309" s="11">
        <f ca="1">IF(AND(TRIM($A309)="Finalized",$K309&lt;&gt;""),"",IF($C309="","",$C309+120-TODAY()))</f>
        <v>20</v>
      </c>
      <c r="O309" s="9">
        <f>IF(AND(TRIM($A309)="Finalized",$K309&lt;&gt;""),"",DATE(2027,5,28))</f>
        <v>46535</v>
      </c>
      <c r="P309" s="8" t="s">
        <v>73</v>
      </c>
      <c r="Q309" s="8" t="s">
        <v>739</v>
      </c>
      <c r="R309" s="8" t="s">
        <v>73</v>
      </c>
      <c r="S309" s="8" t="s">
        <v>74</v>
      </c>
      <c r="T309" s="8" t="s">
        <v>208</v>
      </c>
      <c r="U309" s="8" t="s">
        <v>74</v>
      </c>
      <c r="V309" s="8" t="s">
        <v>365</v>
      </c>
      <c r="W309" s="8" t="s">
        <v>89</v>
      </c>
      <c r="X309" s="8" t="s">
        <v>232</v>
      </c>
      <c r="Y309" s="8" t="s">
        <v>153</v>
      </c>
      <c r="Z309" s="8"/>
      <c r="AA309" s="8" t="s">
        <v>77</v>
      </c>
      <c r="AB309" s="10">
        <v>7030.24</v>
      </c>
      <c r="AC309" s="10">
        <v>0</v>
      </c>
      <c r="AD309" s="10">
        <v>0</v>
      </c>
      <c r="AE309" s="9">
        <v>46204</v>
      </c>
      <c r="AF309" s="10">
        <v>7030.24</v>
      </c>
      <c r="AG309" s="7">
        <v>72</v>
      </c>
      <c r="AH309" s="8" t="s">
        <v>926</v>
      </c>
      <c r="AI309" s="8" t="s">
        <v>487</v>
      </c>
      <c r="AJ309" s="8" t="s">
        <v>304</v>
      </c>
      <c r="AK309" s="8"/>
      <c r="AL309" s="7"/>
      <c r="AM309" s="8" t="s">
        <v>742</v>
      </c>
      <c r="AN309" s="8" t="s">
        <v>743</v>
      </c>
      <c r="AO309" s="9">
        <v>46199</v>
      </c>
    </row>
    <row r="310" spans="1:41" x14ac:dyDescent="0.25">
      <c r="A310" s="5" t="str">
        <f>IFERROR(IF(INDEX([5]ORTHO!$A$2:$A$24,MATCH($D310,[5]ORTHO!$D$2:$D$24,0))="","",INDEX([5]ORTHO!$A$2:$A$24,MATCH($D310,[5]ORTHO!$D$2:$D$24,0))),"")</f>
        <v>Pending</v>
      </c>
      <c r="B310" s="5" t="str">
        <f>IFERROR(IF(INDEX([5]ORTHO!$B$2:$B$24,MATCH($D310,[5]ORTHO!$D$2:$D$24,0))="","",INDEX([5]ORTHO!$B$2:$B$24,MATCH($D310,[5]ORTHO!$D$2:$D$24,0))),"")</f>
        <v>secondary - Added Medicare ICN, and crossover electronically</v>
      </c>
      <c r="C310" s="6">
        <f>IFERROR(IF(INDEX([5]ORTHO!$C$2:$C$24,MATCH($D310,[5]ORTHO!$D$2:$D$24,0))="","",INDEX([5]ORTHO!$C$2:$C$24,MATCH($D310,[5]ORTHO!$D$2:$D$24,0))),"")</f>
        <v>46189</v>
      </c>
      <c r="D310" s="7">
        <v>560691343</v>
      </c>
      <c r="E310" s="8" t="s">
        <v>874</v>
      </c>
      <c r="F310" s="9">
        <v>46171</v>
      </c>
      <c r="G310" s="8" t="s">
        <v>114</v>
      </c>
      <c r="H310" s="8" t="s">
        <v>171</v>
      </c>
      <c r="I310" s="8" t="s">
        <v>114</v>
      </c>
      <c r="J310" s="8" t="s">
        <v>70</v>
      </c>
      <c r="K310" s="6">
        <f>IFERROR(IF(INDEX([5]ORTHO!$K$2:$K$24,MATCH($D310,[5]ORTHO!$D$2:$D$24,0))="","",INDEX([5]ORTHO!$K$2:$K$24,MATCH($D310,[5]ORTHO!$D$2:$D$24,0))),"")</f>
        <v>46256</v>
      </c>
      <c r="L310" s="11">
        <f ca="1">IF($O310="","",$O310-TODAY())</f>
        <v>232</v>
      </c>
      <c r="M310" s="11">
        <f ca="1">IF(AND(TRIM($A310)="Finalized",$K310&lt;&gt;""),"",IF($C310="","",$C310+365-TODAY()))</f>
        <v>250</v>
      </c>
      <c r="N310" s="11">
        <f ca="1">IF(AND(TRIM($A310)="Finalized",$K310&lt;&gt;""),"",IF($C310="","",$C310+120-TODAY()))</f>
        <v>5</v>
      </c>
      <c r="O310" s="9">
        <f>IF(AND(TRIM($A310)="Finalized",$K310&lt;&gt;""),"",DATE(2027,5,29))</f>
        <v>46536</v>
      </c>
      <c r="P310" s="8" t="s">
        <v>73</v>
      </c>
      <c r="Q310" s="8" t="s">
        <v>739</v>
      </c>
      <c r="R310" s="8" t="s">
        <v>73</v>
      </c>
      <c r="S310" s="8" t="s">
        <v>74</v>
      </c>
      <c r="T310" s="8" t="s">
        <v>208</v>
      </c>
      <c r="U310" s="8" t="s">
        <v>74</v>
      </c>
      <c r="V310" s="8" t="s">
        <v>365</v>
      </c>
      <c r="W310" s="8" t="s">
        <v>76</v>
      </c>
      <c r="X310" s="8"/>
      <c r="Y310" s="8"/>
      <c r="Z310" s="8"/>
      <c r="AA310" s="8" t="s">
        <v>77</v>
      </c>
      <c r="AB310" s="10">
        <v>2493.33</v>
      </c>
      <c r="AC310" s="10">
        <v>2351.73</v>
      </c>
      <c r="AD310" s="10">
        <v>110.6</v>
      </c>
      <c r="AE310" s="9">
        <v>46189</v>
      </c>
      <c r="AF310" s="10">
        <v>31</v>
      </c>
      <c r="AG310" s="7">
        <v>71</v>
      </c>
      <c r="AH310" s="8" t="s">
        <v>149</v>
      </c>
      <c r="AI310" s="8" t="s">
        <v>857</v>
      </c>
      <c r="AJ310" s="8"/>
      <c r="AK310" s="8"/>
      <c r="AL310" s="7">
        <v>563761052</v>
      </c>
      <c r="AM310" s="8" t="s">
        <v>157</v>
      </c>
      <c r="AN310" s="8" t="s">
        <v>81</v>
      </c>
      <c r="AO310" s="9">
        <v>46175</v>
      </c>
    </row>
    <row r="311" spans="1:41" x14ac:dyDescent="0.25">
      <c r="A311" s="5" t="str">
        <f>IFERROR(IF(INDEX([6]GAE!$A$2:$A$23,MATCH($D311,[6]GAE!$D$2:$D$23,0))="","",INDEX([6]GAE!$A$2:$A$23,MATCH($D311,[6]GAE!$D$2:$D$23,0))),"")</f>
        <v/>
      </c>
      <c r="B311" s="5" t="str">
        <f>IFERROR(IF(INDEX([6]GAE!$B$2:$B$23,MATCH($D311,[6]GAE!$D$2:$D$23,0))="","",INDEX([6]GAE!$B$2:$B$23,MATCH($D311,[6]GAE!$D$2:$D$23,0))),"")</f>
        <v/>
      </c>
      <c r="C311" s="6">
        <f>IFERROR(IF(INDEX([6]GAE!$C$2:$C$23,MATCH($D311,[6]GAE!$D$2:$D$23,0))="","",INDEX([6]GAE!$C$2:$C$23,MATCH($D311,[6]GAE!$D$2:$D$23,0))),"")</f>
        <v>46225</v>
      </c>
      <c r="D311" s="7">
        <v>562932709</v>
      </c>
      <c r="E311" s="8" t="s">
        <v>865</v>
      </c>
      <c r="F311" s="9">
        <v>46174</v>
      </c>
      <c r="G311" s="8" t="s">
        <v>470</v>
      </c>
      <c r="H311" s="8" t="s">
        <v>470</v>
      </c>
      <c r="I311" s="8" t="s">
        <v>148</v>
      </c>
      <c r="J311" s="8" t="s">
        <v>778</v>
      </c>
      <c r="K311" s="6" t="str">
        <f>IFERROR(IF(INDEX([6]GAE!$K$2:$K$23,MATCH($D311,[6]GAE!$D$2:$D$23,0))="","",INDEX([6]GAE!$K$2:$K$23,MATCH($D311,[6]GAE!$D$2:$D$23,0))),"")</f>
        <v/>
      </c>
      <c r="L311" s="11">
        <f ca="1">IF($O311="","",$O311-TODAY())</f>
        <v>235</v>
      </c>
      <c r="M311" s="11">
        <f ca="1">IF(AND(TRIM($A311)="Finalized",$K311&lt;&gt;""),"",IF($C311="","",$C311+180-TODAY()))</f>
        <v>101</v>
      </c>
      <c r="N311" s="11">
        <f ca="1">IF(AND(TRIM($A311)="Finalized",$K311&lt;&gt;""),"",IF($C311="","",$C311+365-TODAY()))</f>
        <v>286</v>
      </c>
      <c r="O311" s="9">
        <f>IF(AND(TRIM($A311)="Finalized",$K311&lt;&gt;""),"",DATE(2027,6,1))</f>
        <v>46539</v>
      </c>
      <c r="P311" s="8" t="s">
        <v>73</v>
      </c>
      <c r="Q311" s="8" t="s">
        <v>777</v>
      </c>
      <c r="R311" s="8" t="s">
        <v>117</v>
      </c>
      <c r="S311" s="8" t="s">
        <v>74</v>
      </c>
      <c r="T311" s="8" t="s">
        <v>73</v>
      </c>
      <c r="U311" s="8" t="s">
        <v>74</v>
      </c>
      <c r="V311" s="8" t="s">
        <v>455</v>
      </c>
      <c r="W311" s="8" t="s">
        <v>101</v>
      </c>
      <c r="X311" s="8" t="s">
        <v>257</v>
      </c>
      <c r="Y311" s="8" t="s">
        <v>360</v>
      </c>
      <c r="Z311" s="8" t="s">
        <v>153</v>
      </c>
      <c r="AA311" s="8" t="s">
        <v>210</v>
      </c>
      <c r="AB311" s="10">
        <v>67599.91</v>
      </c>
      <c r="AC311" s="10">
        <v>0</v>
      </c>
      <c r="AD311" s="10">
        <v>0</v>
      </c>
      <c r="AE311" s="9">
        <v>46225</v>
      </c>
      <c r="AF311" s="10">
        <v>67599.91</v>
      </c>
      <c r="AG311" s="7">
        <v>68</v>
      </c>
      <c r="AH311" s="8" t="s">
        <v>329</v>
      </c>
      <c r="AI311" s="8" t="s">
        <v>106</v>
      </c>
      <c r="AJ311" s="8" t="s">
        <v>361</v>
      </c>
      <c r="AK311" s="8"/>
      <c r="AL311" s="7"/>
      <c r="AM311" s="8" t="s">
        <v>108</v>
      </c>
      <c r="AN311" s="8" t="s">
        <v>81</v>
      </c>
      <c r="AO311" s="9">
        <v>46193</v>
      </c>
    </row>
    <row r="312" spans="1:41" x14ac:dyDescent="0.25">
      <c r="A312" s="5" t="str">
        <f>IFERROR(IF(INDEX([6]BH!$A$2:$A$82,MATCH($D312,[6]BH!$D$2:$D$82,0))="","",INDEX([6]BH!$A$2:$A$82,MATCH($D312,[6]BH!$D$2:$D$82,0))),"")</f>
        <v/>
      </c>
      <c r="B312" s="5" t="str">
        <f>IFERROR(IF(INDEX([6]BH!$B$2:$B$82,MATCH($D312,[6]BH!$D$2:$D$82,0))="","",INDEX([6]BH!$B$2:$B$82,MATCH($D312,[6]BH!$D$2:$D$82,0))),"")</f>
        <v/>
      </c>
      <c r="C312" s="6">
        <f>IFERROR(IF(INDEX([6]BH!$C$2:$C$82,MATCH($D312,[6]BH!$D$2:$D$82,0))="","",INDEX([6]BH!$C$2:$C$82,MATCH($D312,[6]BH!$D$2:$D$82,0))),"")</f>
        <v>46225</v>
      </c>
      <c r="D312" s="7">
        <v>561218278</v>
      </c>
      <c r="E312" s="8" t="s">
        <v>928</v>
      </c>
      <c r="F312" s="9">
        <v>46175</v>
      </c>
      <c r="G312" s="8" t="s">
        <v>171</v>
      </c>
      <c r="H312" s="8" t="s">
        <v>171</v>
      </c>
      <c r="I312" s="8" t="s">
        <v>123</v>
      </c>
      <c r="J312" s="8" t="s">
        <v>124</v>
      </c>
      <c r="K312" s="6" t="str">
        <f>IFERROR(IF(INDEX([6]BH!$K$2:$K$82,MATCH($D312,[6]BH!$D$2:$D$82,0))="","",INDEX([6]BH!$K$2:$K$82,MATCH($D312,[6]BH!$D$2:$D$82,0))),"")</f>
        <v/>
      </c>
      <c r="L312" s="11">
        <f ca="1">IF($O312="","",$O312-TODAY())</f>
        <v>236</v>
      </c>
      <c r="M312" s="11">
        <f ca="1">IF(AND(TRIM($A312)="Finalized",$K312&lt;&gt;""),"",IF($C312="","",$C312+365-TODAY()))</f>
        <v>286</v>
      </c>
      <c r="N312" s="11">
        <f ca="1">IF(AND(TRIM($A312)="Finalized",$K312&lt;&gt;""),"",IF($C312="","",$C312+120-TODAY()))</f>
        <v>41</v>
      </c>
      <c r="O312" s="9">
        <f>IF(AND(TRIM($A312)="Finalized",$K312&lt;&gt;""),"",DATE(2027,6,2))</f>
        <v>46540</v>
      </c>
      <c r="P312" s="8" t="s">
        <v>73</v>
      </c>
      <c r="Q312" s="8" t="s">
        <v>739</v>
      </c>
      <c r="R312" s="8" t="s">
        <v>73</v>
      </c>
      <c r="S312" s="8" t="s">
        <v>74</v>
      </c>
      <c r="T312" s="8" t="s">
        <v>208</v>
      </c>
      <c r="U312" s="8" t="s">
        <v>74</v>
      </c>
      <c r="V312" s="8" t="s">
        <v>455</v>
      </c>
      <c r="W312" s="8" t="s">
        <v>118</v>
      </c>
      <c r="X312" s="8"/>
      <c r="Y312" s="8"/>
      <c r="Z312" s="8"/>
      <c r="AA312" s="8" t="s">
        <v>77</v>
      </c>
      <c r="AB312" s="10">
        <v>1426.25</v>
      </c>
      <c r="AC312" s="10">
        <v>0</v>
      </c>
      <c r="AD312" s="10">
        <v>0</v>
      </c>
      <c r="AE312" s="9">
        <v>46225</v>
      </c>
      <c r="AF312" s="10">
        <v>1426.25</v>
      </c>
      <c r="AG312" s="7">
        <v>67</v>
      </c>
      <c r="AH312" s="8" t="s">
        <v>119</v>
      </c>
      <c r="AI312" s="8"/>
      <c r="AJ312" s="8"/>
      <c r="AK312" s="8"/>
      <c r="AL312" s="7"/>
      <c r="AM312" s="8" t="s">
        <v>126</v>
      </c>
      <c r="AN312" s="8" t="s">
        <v>121</v>
      </c>
      <c r="AO312" s="9">
        <v>46217</v>
      </c>
    </row>
    <row r="313" spans="1:41" x14ac:dyDescent="0.25">
      <c r="A313" s="5" t="str">
        <f>IFERROR(IF(INDEX([6]US!$A$2:$A$22,MATCH($D313,[6]US!$D$2:$D$22,0))="","",INDEX([6]US!$A$2:$A$22,MATCH($D313,[6]US!$D$2:$D$22,0))),"")</f>
        <v/>
      </c>
      <c r="B313" s="5" t="str">
        <f>IFERROR(IF(INDEX([6]US!$B$2:$B$22,MATCH($D313,[6]US!$D$2:$D$22,0))="","",INDEX([6]US!$B$2:$B$22,MATCH($D313,[6]US!$D$2:$D$22,0))),"")</f>
        <v/>
      </c>
      <c r="C313" s="6">
        <f>IFERROR(IF(INDEX([6]US!$C$2:$C$22,MATCH($D313,[6]US!$D$2:$D$22,0))="","",INDEX([6]US!$C$2:$C$22,MATCH($D313,[6]US!$D$2:$D$22,0))),"")</f>
        <v>46202</v>
      </c>
      <c r="D313" s="7">
        <v>563006512</v>
      </c>
      <c r="E313" s="8" t="s">
        <v>929</v>
      </c>
      <c r="F313" s="9">
        <v>46175</v>
      </c>
      <c r="G313" s="8" t="s">
        <v>171</v>
      </c>
      <c r="H313" s="8" t="s">
        <v>171</v>
      </c>
      <c r="I313" s="8" t="s">
        <v>750</v>
      </c>
      <c r="J313" s="8" t="s">
        <v>311</v>
      </c>
      <c r="K313" s="6" t="str">
        <f>IFERROR(IF(INDEX([6]US!$K$2:$K$22,MATCH($D313,[6]US!$D$2:$D$22,0))="","",INDEX([6]US!$K$2:$K$22,MATCH($D313,[6]US!$D$2:$D$22,0))),"")</f>
        <v/>
      </c>
      <c r="L313" s="11">
        <f ca="1">IF($O313="","",$O313-TODAY())</f>
        <v>236</v>
      </c>
      <c r="M313" s="11">
        <f ca="1">IF(AND(TRIM($A313)="Finalized",$K313&lt;&gt;""),"",IF($C313="","",$C313+365-TODAY()))</f>
        <v>263</v>
      </c>
      <c r="N313" s="11">
        <f ca="1">IF(AND(TRIM($A313)="Finalized",$K313&lt;&gt;""),"",IF($C313="","",$C313+120-TODAY()))</f>
        <v>18</v>
      </c>
      <c r="O313" s="9">
        <f>IF(AND(TRIM($A313)="Finalized",$K313&lt;&gt;""),"",DATE(2027,6,2))</f>
        <v>46540</v>
      </c>
      <c r="P313" s="8" t="s">
        <v>73</v>
      </c>
      <c r="Q313" s="8" t="s">
        <v>739</v>
      </c>
      <c r="R313" s="8" t="s">
        <v>73</v>
      </c>
      <c r="S313" s="8" t="s">
        <v>74</v>
      </c>
      <c r="T313" s="8" t="s">
        <v>208</v>
      </c>
      <c r="U313" s="8" t="s">
        <v>74</v>
      </c>
      <c r="V313" s="8" t="s">
        <v>455</v>
      </c>
      <c r="W313" s="8" t="s">
        <v>129</v>
      </c>
      <c r="X313" s="8"/>
      <c r="Y313" s="8"/>
      <c r="Z313" s="8"/>
      <c r="AA313" s="8" t="s">
        <v>77</v>
      </c>
      <c r="AB313" s="10">
        <v>3822.49</v>
      </c>
      <c r="AC313" s="10">
        <v>0</v>
      </c>
      <c r="AD313" s="10">
        <v>0</v>
      </c>
      <c r="AE313" s="9">
        <v>46202</v>
      </c>
      <c r="AF313" s="10">
        <v>3822.49</v>
      </c>
      <c r="AG313" s="7">
        <v>67</v>
      </c>
      <c r="AH313" s="8" t="s">
        <v>309</v>
      </c>
      <c r="AI313" s="8" t="s">
        <v>930</v>
      </c>
      <c r="AJ313" s="8"/>
      <c r="AK313" s="8"/>
      <c r="AL313" s="7"/>
      <c r="AM313" s="8" t="s">
        <v>157</v>
      </c>
      <c r="AN313" s="8" t="s">
        <v>158</v>
      </c>
      <c r="AO313" s="9">
        <v>46195</v>
      </c>
    </row>
    <row r="314" spans="1:41" x14ac:dyDescent="0.25">
      <c r="A314" s="5" t="str">
        <f>IFERROR(IF(INDEX([6]ORTHO!$A$2:$A$39,MATCH($D314,[6]ORTHO!$D$2:$D$39,0))="","",INDEX([6]ORTHO!$A$2:$A$39,MATCH($D314,[6]ORTHO!$D$2:$D$39,0))),"")</f>
        <v/>
      </c>
      <c r="B314" s="5" t="str">
        <f>IFERROR(IF(INDEX([6]ORTHO!$B$2:$B$39,MATCH($D314,[6]ORTHO!$D$2:$D$39,0))="","",INDEX([6]ORTHO!$B$2:$B$39,MATCH($D314,[6]ORTHO!$D$2:$D$39,0))),"")</f>
        <v/>
      </c>
      <c r="C314" s="6">
        <f>IFERROR(IF(INDEX([6]ORTHO!$C$2:$C$39,MATCH($D314,[6]ORTHO!$D$2:$D$39,0))="","",INDEX([6]ORTHO!$C$2:$C$39,MATCH($D314,[6]ORTHO!$D$2:$D$39,0))),"")</f>
        <v>46188</v>
      </c>
      <c r="D314" s="7">
        <v>561270366</v>
      </c>
      <c r="E314" s="8" t="s">
        <v>931</v>
      </c>
      <c r="F314" s="9">
        <v>46177</v>
      </c>
      <c r="G314" s="8" t="s">
        <v>171</v>
      </c>
      <c r="H314" s="8" t="s">
        <v>171</v>
      </c>
      <c r="I314" s="8" t="s">
        <v>907</v>
      </c>
      <c r="J314" s="8" t="s">
        <v>181</v>
      </c>
      <c r="K314" s="6" t="str">
        <f>IFERROR(IF(INDEX([6]ORTHO!$K$2:$K$39,MATCH($D314,[6]ORTHO!$D$2:$D$39,0))="","",INDEX([6]ORTHO!$K$2:$K$39,MATCH($D314,[6]ORTHO!$D$2:$D$39,0))),"")</f>
        <v/>
      </c>
      <c r="L314" s="11">
        <f ca="1">IF($O314="","",$O314-TODAY())</f>
        <v>238</v>
      </c>
      <c r="M314" s="11">
        <f ca="1">IF(AND(TRIM($A314)="Finalized",$K314&lt;&gt;""),"",IF($C314="","",$C314+365-TODAY()))</f>
        <v>249</v>
      </c>
      <c r="N314" s="11">
        <f ca="1">IF(AND(TRIM($A314)="Finalized",$K314&lt;&gt;""),"",IF($C314="","",$C314+120-TODAY()))</f>
        <v>4</v>
      </c>
      <c r="O314" s="9">
        <f>IF(AND(TRIM($A314)="Finalized",$K314&lt;&gt;""),"",DATE(2027,6,4))</f>
        <v>46542</v>
      </c>
      <c r="P314" s="8" t="s">
        <v>73</v>
      </c>
      <c r="Q314" s="8" t="s">
        <v>739</v>
      </c>
      <c r="R314" s="8" t="s">
        <v>73</v>
      </c>
      <c r="S314" s="8" t="s">
        <v>74</v>
      </c>
      <c r="T314" s="8" t="s">
        <v>208</v>
      </c>
      <c r="U314" s="8" t="s">
        <v>74</v>
      </c>
      <c r="V314" s="8" t="s">
        <v>455</v>
      </c>
      <c r="W314" s="8" t="s">
        <v>76</v>
      </c>
      <c r="X314" s="8" t="s">
        <v>153</v>
      </c>
      <c r="Y314" s="8"/>
      <c r="Z314" s="8"/>
      <c r="AA314" s="8" t="s">
        <v>77</v>
      </c>
      <c r="AB314" s="10">
        <v>5614.63</v>
      </c>
      <c r="AC314" s="10">
        <v>0</v>
      </c>
      <c r="AD314" s="10">
        <v>0</v>
      </c>
      <c r="AE314" s="9">
        <v>46188</v>
      </c>
      <c r="AF314" s="10">
        <v>5614.63</v>
      </c>
      <c r="AG314" s="7">
        <v>65</v>
      </c>
      <c r="AH314" s="8" t="s">
        <v>182</v>
      </c>
      <c r="AI314" s="8"/>
      <c r="AJ314" s="8"/>
      <c r="AK314" s="8"/>
      <c r="AL314" s="7"/>
      <c r="AM314" s="8" t="s">
        <v>80</v>
      </c>
      <c r="AN314" s="8" t="s">
        <v>81</v>
      </c>
      <c r="AO314" s="9">
        <v>46181</v>
      </c>
    </row>
    <row r="315" spans="1:41" x14ac:dyDescent="0.25">
      <c r="A315" s="5" t="str">
        <f>IFERROR(IF(INDEX([6]DME!$A$2:$A$51,MATCH($D315,[6]DME!$D$2:$D$51,0))="","",INDEX([6]DME!$A$2:$A$51,MATCH($D315,[6]DME!$D$2:$D$51,0))),"")</f>
        <v/>
      </c>
      <c r="B315" s="5" t="str">
        <f>IFERROR(IF(INDEX([6]DME!$B$2:$B$51,MATCH($D315,[6]DME!$D$2:$D$51,0))="","",INDEX([6]DME!$B$2:$B$51,MATCH($D315,[6]DME!$D$2:$D$51,0))),"")</f>
        <v/>
      </c>
      <c r="C315" s="6">
        <f>IFERROR(IF(INDEX([6]DME!$C$2:$C$51,MATCH($D315,[6]DME!$D$2:$D$51,0))="","",INDEX([6]DME!$C$2:$C$51,MATCH($D315,[6]DME!$D$2:$D$51,0))),"")</f>
        <v>46188</v>
      </c>
      <c r="D315" s="7">
        <v>562148651</v>
      </c>
      <c r="E315" s="8" t="s">
        <v>932</v>
      </c>
      <c r="F315" s="9">
        <v>46177</v>
      </c>
      <c r="G315" s="8" t="s">
        <v>437</v>
      </c>
      <c r="H315" s="8" t="s">
        <v>437</v>
      </c>
      <c r="I315" s="8" t="s">
        <v>933</v>
      </c>
      <c r="J315" s="8" t="s">
        <v>934</v>
      </c>
      <c r="K315" s="6" t="str">
        <f>IFERROR(IF(INDEX([6]DME!$K$2:$K$51,MATCH($D315,[6]DME!$D$2:$D$51,0))="","",INDEX([6]DME!$K$2:$K$51,MATCH($D315,[6]DME!$D$2:$D$51,0))),"")</f>
        <v/>
      </c>
      <c r="L315" s="11">
        <f ca="1">IF($O315="","",$O315-TODAY())</f>
        <v>238</v>
      </c>
      <c r="M315" s="11">
        <f ca="1">IF(AND(TRIM($A315)="Finalized",$K315&lt;&gt;""),"",IF($C315="","",$C315+365-TODAY()))</f>
        <v>249</v>
      </c>
      <c r="N315" s="11">
        <f ca="1">IF(AND(TRIM($A315)="Finalized",$K315&lt;&gt;""),"",IF($C315="","",$C315+120-TODAY()))</f>
        <v>4</v>
      </c>
      <c r="O315" s="9">
        <f>IF(AND(TRIM($A315)="Finalized",$K315&lt;&gt;""),"",DATE(2027,6,4))</f>
        <v>46542</v>
      </c>
      <c r="P315" s="8" t="s">
        <v>73</v>
      </c>
      <c r="Q315" s="8" t="s">
        <v>739</v>
      </c>
      <c r="R315" s="8" t="s">
        <v>73</v>
      </c>
      <c r="S315" s="8" t="s">
        <v>74</v>
      </c>
      <c r="T315" s="8" t="s">
        <v>208</v>
      </c>
      <c r="U315" s="8" t="s">
        <v>74</v>
      </c>
      <c r="V315" s="8" t="s">
        <v>455</v>
      </c>
      <c r="W315" s="8" t="s">
        <v>89</v>
      </c>
      <c r="X315" s="8" t="s">
        <v>232</v>
      </c>
      <c r="Y315" s="8" t="s">
        <v>103</v>
      </c>
      <c r="Z315" s="8"/>
      <c r="AA315" s="8" t="s">
        <v>77</v>
      </c>
      <c r="AB315" s="10">
        <v>3790.43</v>
      </c>
      <c r="AC315" s="10">
        <v>0</v>
      </c>
      <c r="AD315" s="10">
        <v>0</v>
      </c>
      <c r="AE315" s="9">
        <v>46188</v>
      </c>
      <c r="AF315" s="10">
        <v>3790.43</v>
      </c>
      <c r="AG315" s="7">
        <v>65</v>
      </c>
      <c r="AH315" s="8" t="s">
        <v>935</v>
      </c>
      <c r="AI315" s="8"/>
      <c r="AJ315" s="8"/>
      <c r="AK315" s="8"/>
      <c r="AL315" s="7"/>
      <c r="AM315" s="8" t="s">
        <v>806</v>
      </c>
      <c r="AN315" s="8" t="s">
        <v>807</v>
      </c>
      <c r="AO315" s="9">
        <v>46185</v>
      </c>
    </row>
    <row r="316" spans="1:41" x14ac:dyDescent="0.25">
      <c r="A316" s="5" t="str">
        <f>IFERROR(IF(INDEX([6]DME!$A$2:$A$51,MATCH($D316,[6]DME!$D$2:$D$51,0))="","",INDEX([6]DME!$A$2:$A$51,MATCH($D316,[6]DME!$D$2:$D$51,0))),"")</f>
        <v/>
      </c>
      <c r="B316" s="5" t="str">
        <f>IFERROR(IF(INDEX([6]DME!$B$2:$B$51,MATCH($D316,[6]DME!$D$2:$D$51,0))="","",INDEX([6]DME!$B$2:$B$51,MATCH($D316,[6]DME!$D$2:$D$51,0))),"")</f>
        <v/>
      </c>
      <c r="C316" s="6">
        <f>IFERROR(IF(INDEX([6]DME!$C$2:$C$51,MATCH($D316,[6]DME!$D$2:$D$51,0))="","",INDEX([6]DME!$C$2:$C$51,MATCH($D316,[6]DME!$D$2:$D$51,0))),"")</f>
        <v>46195</v>
      </c>
      <c r="D316" s="7">
        <v>562696935</v>
      </c>
      <c r="E316" s="8" t="s">
        <v>936</v>
      </c>
      <c r="F316" s="9">
        <v>46177</v>
      </c>
      <c r="G316" s="8" t="s">
        <v>437</v>
      </c>
      <c r="H316" s="8" t="s">
        <v>437</v>
      </c>
      <c r="I316" s="8" t="s">
        <v>83</v>
      </c>
      <c r="J316" s="8" t="s">
        <v>937</v>
      </c>
      <c r="K316" s="6" t="str">
        <f>IFERROR(IF(INDEX([6]DME!$K$2:$K$51,MATCH($D316,[6]DME!$D$2:$D$51,0))="","",INDEX([6]DME!$K$2:$K$51,MATCH($D316,[6]DME!$D$2:$D$51,0))),"")</f>
        <v/>
      </c>
      <c r="L316" s="11">
        <f ca="1">IF($O316="","",$O316-TODAY())</f>
        <v>238</v>
      </c>
      <c r="M316" s="11">
        <f ca="1">IF(AND(TRIM($A316)="Finalized",$K316&lt;&gt;""),"",IF($C316="","",$C316+365-TODAY()))</f>
        <v>256</v>
      </c>
      <c r="N316" s="11">
        <f ca="1">IF(AND(TRIM($A316)="Finalized",$K316&lt;&gt;""),"",IF($C316="","",$C316+120-TODAY()))</f>
        <v>11</v>
      </c>
      <c r="O316" s="9">
        <f>IF(AND(TRIM($A316)="Finalized",$K316&lt;&gt;""),"",DATE(2027,6,4))</f>
        <v>46542</v>
      </c>
      <c r="P316" s="8" t="s">
        <v>73</v>
      </c>
      <c r="Q316" s="8" t="s">
        <v>739</v>
      </c>
      <c r="R316" s="8" t="s">
        <v>73</v>
      </c>
      <c r="S316" s="8" t="s">
        <v>74</v>
      </c>
      <c r="T316" s="8" t="s">
        <v>208</v>
      </c>
      <c r="U316" s="8" t="s">
        <v>74</v>
      </c>
      <c r="V316" s="8" t="s">
        <v>455</v>
      </c>
      <c r="W316" s="8" t="s">
        <v>89</v>
      </c>
      <c r="X316" s="8" t="s">
        <v>232</v>
      </c>
      <c r="Y316" s="8" t="s">
        <v>816</v>
      </c>
      <c r="Z316" s="8"/>
      <c r="AA316" s="8" t="s">
        <v>77</v>
      </c>
      <c r="AB316" s="10">
        <v>9040.2199999999993</v>
      </c>
      <c r="AC316" s="10">
        <v>0</v>
      </c>
      <c r="AD316" s="10">
        <v>0</v>
      </c>
      <c r="AE316" s="9">
        <v>46195</v>
      </c>
      <c r="AF316" s="10">
        <v>9040.2199999999993</v>
      </c>
      <c r="AG316" s="7">
        <v>65</v>
      </c>
      <c r="AH316" s="8" t="s">
        <v>938</v>
      </c>
      <c r="AI316" s="8"/>
      <c r="AJ316" s="8"/>
      <c r="AK316" s="8"/>
      <c r="AL316" s="7"/>
      <c r="AM316" s="8" t="s">
        <v>806</v>
      </c>
      <c r="AN316" s="8" t="s">
        <v>807</v>
      </c>
      <c r="AO316" s="9">
        <v>46191</v>
      </c>
    </row>
    <row r="317" spans="1:41" x14ac:dyDescent="0.25">
      <c r="A317" s="5" t="str">
        <f>IFERROR(IF(INDEX([6]DME!$A$2:$A$51,MATCH($D317,[6]DME!$D$2:$D$51,0))="","",INDEX([6]DME!$A$2:$A$51,MATCH($D317,[6]DME!$D$2:$D$51,0))),"")</f>
        <v>Finalized</v>
      </c>
      <c r="B317" s="5" t="str">
        <f>IFERROR(IF(INDEX([6]DME!$B$2:$B$51,MATCH($D317,[6]DME!$D$2:$D$51,0))="","",INDEX([6]DME!$B$2:$B$51,MATCH($D317,[6]DME!$D$2:$D$51,0))),"")</f>
        <v/>
      </c>
      <c r="C317" s="6">
        <f>IFERROR(IF(INDEX([6]DME!$C$2:$C$51,MATCH($D317,[6]DME!$D$2:$D$51,0))="","",INDEX([6]DME!$C$2:$C$51,MATCH($D317,[6]DME!$D$2:$D$51,0))),"")</f>
        <v>46217</v>
      </c>
      <c r="D317" s="7">
        <v>562140958</v>
      </c>
      <c r="E317" s="8" t="s">
        <v>939</v>
      </c>
      <c r="F317" s="9">
        <v>46178</v>
      </c>
      <c r="G317" s="8" t="s">
        <v>123</v>
      </c>
      <c r="H317" s="8" t="s">
        <v>437</v>
      </c>
      <c r="I317" s="8" t="s">
        <v>123</v>
      </c>
      <c r="J317" s="8" t="s">
        <v>85</v>
      </c>
      <c r="K317" s="6" t="str">
        <f>IFERROR(IF(INDEX([6]DME!$K$2:$K$51,MATCH($D317,[6]DME!$D$2:$D$51,0))="","",INDEX([6]DME!$K$2:$K$51,MATCH($D317,[6]DME!$D$2:$D$51,0))),"")</f>
        <v/>
      </c>
      <c r="L317" s="11">
        <f ca="1">IF($O317="","",$O317-TODAY())</f>
        <v>239</v>
      </c>
      <c r="M317" s="11">
        <f ca="1">IF(AND(TRIM($A317)="Finalized",$K317&lt;&gt;""),"",IF($C317="","",$C317+365-TODAY()))</f>
        <v>278</v>
      </c>
      <c r="N317" s="11">
        <f ca="1">IF(AND(TRIM($A317)="Finalized",$K317&lt;&gt;""),"",IF($C317="","",$C317+120-TODAY()))</f>
        <v>33</v>
      </c>
      <c r="O317" s="9">
        <f>IF(AND(TRIM($A317)="Finalized",$K317&lt;&gt;""),"",DATE(2027,6,5))</f>
        <v>46543</v>
      </c>
      <c r="P317" s="8" t="s">
        <v>73</v>
      </c>
      <c r="Q317" s="8" t="s">
        <v>739</v>
      </c>
      <c r="R317" s="8" t="s">
        <v>73</v>
      </c>
      <c r="S317" s="8" t="s">
        <v>74</v>
      </c>
      <c r="T317" s="8" t="s">
        <v>208</v>
      </c>
      <c r="U317" s="8" t="s">
        <v>74</v>
      </c>
      <c r="V317" s="8" t="s">
        <v>455</v>
      </c>
      <c r="W317" s="8" t="s">
        <v>89</v>
      </c>
      <c r="X317" s="8" t="s">
        <v>90</v>
      </c>
      <c r="Y317" s="8"/>
      <c r="Z317" s="8"/>
      <c r="AA317" s="8" t="s">
        <v>91</v>
      </c>
      <c r="AB317" s="10">
        <v>36353.800000000003</v>
      </c>
      <c r="AC317" s="10">
        <v>31016.19</v>
      </c>
      <c r="AD317" s="10">
        <v>4252.7299999999996</v>
      </c>
      <c r="AE317" s="9">
        <v>46217</v>
      </c>
      <c r="AF317" s="10">
        <v>1084.8800000000001</v>
      </c>
      <c r="AG317" s="7">
        <v>64</v>
      </c>
      <c r="AH317" s="8" t="s">
        <v>92</v>
      </c>
      <c r="AI317" s="8"/>
      <c r="AJ317" s="8"/>
      <c r="AK317" s="8"/>
      <c r="AL317" s="7">
        <v>564721141</v>
      </c>
      <c r="AM317" s="8" t="s">
        <v>916</v>
      </c>
      <c r="AN317" s="8" t="s">
        <v>917</v>
      </c>
      <c r="AO317" s="9">
        <v>46185</v>
      </c>
    </row>
    <row r="318" spans="1:41" x14ac:dyDescent="0.25">
      <c r="A318" s="5" t="str">
        <f>IFERROR(IF(INDEX([6]BH!$A$2:$A$82,MATCH($D318,[6]BH!$D$2:$D$82,0))="","",INDEX([6]BH!$A$2:$A$82,MATCH($D318,[6]BH!$D$2:$D$82,0))),"")</f>
        <v/>
      </c>
      <c r="B318" s="5" t="str">
        <f>IFERROR(IF(INDEX([6]BH!$B$2:$B$82,MATCH($D318,[6]BH!$D$2:$D$82,0))="","",INDEX([6]BH!$B$2:$B$82,MATCH($D318,[6]BH!$D$2:$D$82,0))),"")</f>
        <v/>
      </c>
      <c r="C318" s="6" t="str">
        <f>IFERROR(IF(INDEX([6]BH!$C$2:$C$82,MATCH($D318,[6]BH!$D$2:$D$82,0))="","",INDEX([6]BH!$C$2:$C$82,MATCH($D318,[6]BH!$D$2:$D$82,0))),"")</f>
        <v/>
      </c>
      <c r="D318" s="7">
        <v>561646597</v>
      </c>
      <c r="E318" s="8" t="s">
        <v>940</v>
      </c>
      <c r="F318" s="9">
        <v>46178</v>
      </c>
      <c r="G318" s="8" t="s">
        <v>171</v>
      </c>
      <c r="H318" s="8" t="s">
        <v>171</v>
      </c>
      <c r="I318" s="8" t="s">
        <v>185</v>
      </c>
      <c r="J318" s="8" t="s">
        <v>333</v>
      </c>
      <c r="K318" s="6" t="str">
        <f>IFERROR(IF(INDEX([6]BH!$K$2:$K$82,MATCH($D318,[6]BH!$D$2:$D$82,0))="","",INDEX([6]BH!$K$2:$K$82,MATCH($D318,[6]BH!$D$2:$D$82,0))),"")</f>
        <v/>
      </c>
      <c r="L318" s="11">
        <f ca="1">IF($O318="","",$O318-TODAY())</f>
        <v>239</v>
      </c>
      <c r="M318" s="11" t="str">
        <f ca="1">IF(AND(TRIM($A318)="Finalized",$K318&lt;&gt;""),"",IF($C318="","",$C318+365-TODAY()))</f>
        <v/>
      </c>
      <c r="N318" s="11" t="str">
        <f ca="1">IF(AND(TRIM($A318)="Finalized",$K318&lt;&gt;""),"",IF($C318="","",$C318+120-TODAY()))</f>
        <v/>
      </c>
      <c r="O318" s="9">
        <f>IF(AND(TRIM($A318)="Finalized",$K318&lt;&gt;""),"",DATE(2027,6,5))</f>
        <v>46543</v>
      </c>
      <c r="P318" s="8" t="s">
        <v>73</v>
      </c>
      <c r="Q318" s="8" t="s">
        <v>739</v>
      </c>
      <c r="R318" s="8" t="s">
        <v>73</v>
      </c>
      <c r="S318" s="8" t="s">
        <v>74</v>
      </c>
      <c r="T318" s="8" t="s">
        <v>208</v>
      </c>
      <c r="U318" s="8" t="s">
        <v>74</v>
      </c>
      <c r="V318" s="8" t="s">
        <v>455</v>
      </c>
      <c r="W318" s="8" t="s">
        <v>118</v>
      </c>
      <c r="X318" s="8"/>
      <c r="Y318" s="8"/>
      <c r="Z318" s="8"/>
      <c r="AA318" s="8" t="s">
        <v>77</v>
      </c>
      <c r="AB318" s="10">
        <v>1029.98</v>
      </c>
      <c r="AC318" s="10">
        <v>0</v>
      </c>
      <c r="AD318" s="10">
        <v>0</v>
      </c>
      <c r="AE318" s="9"/>
      <c r="AF318" s="10">
        <v>1029.98</v>
      </c>
      <c r="AG318" s="7">
        <v>64</v>
      </c>
      <c r="AH318" s="8" t="s">
        <v>941</v>
      </c>
      <c r="AI318" s="8"/>
      <c r="AJ318" s="8"/>
      <c r="AK318" s="8"/>
      <c r="AL318" s="7"/>
      <c r="AM318" s="8" t="s">
        <v>154</v>
      </c>
      <c r="AN318" s="8" t="s">
        <v>132</v>
      </c>
      <c r="AO318" s="9">
        <v>46274</v>
      </c>
    </row>
    <row r="319" spans="1:41" x14ac:dyDescent="0.25">
      <c r="A319" s="5" t="str">
        <f>IFERROR(IF(INDEX([6]DME!$A$2:$A$51,MATCH($D319,[6]DME!$D$2:$D$51,0))="","",INDEX([6]DME!$A$2:$A$51,MATCH($D319,[6]DME!$D$2:$D$51,0))),"")</f>
        <v/>
      </c>
      <c r="B319" s="5" t="str">
        <f>IFERROR(IF(INDEX([6]DME!$B$2:$B$51,MATCH($D319,[6]DME!$D$2:$D$51,0))="","",INDEX([6]DME!$B$2:$B$51,MATCH($D319,[6]DME!$D$2:$D$51,0))),"")</f>
        <v/>
      </c>
      <c r="C319" s="6" t="str">
        <f>IFERROR(IF(INDEX([6]DME!$C$2:$C$51,MATCH($D319,[6]DME!$D$2:$D$51,0))="","",INDEX([6]DME!$C$2:$C$51,MATCH($D319,[6]DME!$D$2:$D$51,0))),"")</f>
        <v/>
      </c>
      <c r="D319" s="7">
        <v>564672683</v>
      </c>
      <c r="E319" s="8" t="s">
        <v>942</v>
      </c>
      <c r="F319" s="9">
        <v>46181</v>
      </c>
      <c r="G319" s="8" t="s">
        <v>437</v>
      </c>
      <c r="H319" s="8" t="s">
        <v>437</v>
      </c>
      <c r="I319" s="8" t="s">
        <v>83</v>
      </c>
      <c r="J319" s="8" t="s">
        <v>640</v>
      </c>
      <c r="K319" s="6" t="str">
        <f>IFERROR(IF(INDEX([6]DME!$K$2:$K$51,MATCH($D319,[6]DME!$D$2:$D$51,0))="","",INDEX([6]DME!$K$2:$K$51,MATCH($D319,[6]DME!$D$2:$D$51,0))),"")</f>
        <v/>
      </c>
      <c r="L319" s="11">
        <f ca="1">IF($O319="","",$O319-TODAY())</f>
        <v>242</v>
      </c>
      <c r="M319" s="11" t="str">
        <f ca="1">IF(AND(TRIM($A319)="Finalized",$K319&lt;&gt;""),"",IF($C319="","",$C319+365-TODAY()))</f>
        <v/>
      </c>
      <c r="N319" s="11" t="str">
        <f ca="1">IF(AND(TRIM($A319)="Finalized",$K319&lt;&gt;""),"",IF($C319="","",$C319+120-TODAY()))</f>
        <v/>
      </c>
      <c r="O319" s="9">
        <f>IF(AND(TRIM($A319)="Finalized",$K319&lt;&gt;""),"",DATE(2027,6,8))</f>
        <v>46546</v>
      </c>
      <c r="P319" s="8" t="s">
        <v>73</v>
      </c>
      <c r="Q319" s="8" t="s">
        <v>739</v>
      </c>
      <c r="R319" s="8" t="s">
        <v>73</v>
      </c>
      <c r="S319" s="8" t="s">
        <v>74</v>
      </c>
      <c r="T319" s="8" t="s">
        <v>208</v>
      </c>
      <c r="U319" s="8" t="s">
        <v>74</v>
      </c>
      <c r="V319" s="8" t="s">
        <v>455</v>
      </c>
      <c r="W319" s="8" t="s">
        <v>89</v>
      </c>
      <c r="X319" s="8" t="s">
        <v>244</v>
      </c>
      <c r="Y319" s="8"/>
      <c r="Z319" s="8"/>
      <c r="AA319" s="8" t="s">
        <v>190</v>
      </c>
      <c r="AB319" s="10">
        <v>18176.900000000001</v>
      </c>
      <c r="AC319" s="10">
        <v>0</v>
      </c>
      <c r="AD319" s="10">
        <v>0</v>
      </c>
      <c r="AE319" s="9"/>
      <c r="AF319" s="10">
        <v>18176.900000000001</v>
      </c>
      <c r="AG319" s="7">
        <v>61</v>
      </c>
      <c r="AH319" s="8" t="s">
        <v>92</v>
      </c>
      <c r="AI319" s="8"/>
      <c r="AJ319" s="8"/>
      <c r="AK319" s="8"/>
      <c r="AL319" s="7"/>
      <c r="AM319" s="8" t="s">
        <v>745</v>
      </c>
      <c r="AN319" s="8" t="s">
        <v>746</v>
      </c>
      <c r="AO319" s="9">
        <v>46211</v>
      </c>
    </row>
    <row r="320" spans="1:41" x14ac:dyDescent="0.25">
      <c r="A320" s="5" t="str">
        <f>IFERROR(IF(INDEX([6]BH!$A$2:$A$82,MATCH($D320,[6]BH!$D$2:$D$82,0))="","",INDEX([6]BH!$A$2:$A$82,MATCH($D320,[6]BH!$D$2:$D$82,0))),"")</f>
        <v/>
      </c>
      <c r="B320" s="5" t="str">
        <f>IFERROR(IF(INDEX([6]BH!$B$2:$B$82,MATCH($D320,[6]BH!$D$2:$D$82,0))="","",INDEX([6]BH!$B$2:$B$82,MATCH($D320,[6]BH!$D$2:$D$82,0))),"")</f>
        <v/>
      </c>
      <c r="C320" s="6">
        <f>IFERROR(IF(INDEX([6]BH!$C$2:$C$82,MATCH($D320,[6]BH!$D$2:$D$82,0))="","",INDEX([6]BH!$C$2:$C$82,MATCH($D320,[6]BH!$D$2:$D$82,0))),"")</f>
        <v>46226</v>
      </c>
      <c r="D320" s="7">
        <v>561886342</v>
      </c>
      <c r="E320" s="8" t="s">
        <v>943</v>
      </c>
      <c r="F320" s="9">
        <v>46182</v>
      </c>
      <c r="G320" s="8" t="s">
        <v>171</v>
      </c>
      <c r="H320" s="8" t="s">
        <v>171</v>
      </c>
      <c r="I320" s="8" t="s">
        <v>933</v>
      </c>
      <c r="J320" s="8" t="s">
        <v>195</v>
      </c>
      <c r="K320" s="6" t="str">
        <f>IFERROR(IF(INDEX([6]BH!$K$2:$K$82,MATCH($D320,[6]BH!$D$2:$D$82,0))="","",INDEX([6]BH!$K$2:$K$82,MATCH($D320,[6]BH!$D$2:$D$82,0))),"")</f>
        <v/>
      </c>
      <c r="L320" s="11">
        <f ca="1">IF($O320="","",$O320-TODAY())</f>
        <v>243</v>
      </c>
      <c r="M320" s="11">
        <f ca="1">IF(AND(TRIM($A320)="Finalized",$K320&lt;&gt;""),"",IF($C320="","",$C320+365-TODAY()))</f>
        <v>287</v>
      </c>
      <c r="N320" s="11">
        <f ca="1">IF(AND(TRIM($A320)="Finalized",$K320&lt;&gt;""),"",IF($C320="","",$C320+120-TODAY()))</f>
        <v>42</v>
      </c>
      <c r="O320" s="9">
        <f>IF(AND(TRIM($A320)="Finalized",$K320&lt;&gt;""),"",DATE(2027,6,9))</f>
        <v>46547</v>
      </c>
      <c r="P320" s="8" t="s">
        <v>73</v>
      </c>
      <c r="Q320" s="8" t="s">
        <v>739</v>
      </c>
      <c r="R320" s="8" t="s">
        <v>73</v>
      </c>
      <c r="S320" s="8" t="s">
        <v>74</v>
      </c>
      <c r="T320" s="8" t="s">
        <v>208</v>
      </c>
      <c r="U320" s="8" t="s">
        <v>74</v>
      </c>
      <c r="V320" s="8" t="s">
        <v>455</v>
      </c>
      <c r="W320" s="8" t="s">
        <v>118</v>
      </c>
      <c r="X320" s="8"/>
      <c r="Y320" s="8"/>
      <c r="Z320" s="8"/>
      <c r="AA320" s="8" t="s">
        <v>77</v>
      </c>
      <c r="AB320" s="10">
        <v>1426.25</v>
      </c>
      <c r="AC320" s="10">
        <v>0</v>
      </c>
      <c r="AD320" s="10">
        <v>0</v>
      </c>
      <c r="AE320" s="9">
        <v>46226</v>
      </c>
      <c r="AF320" s="10">
        <v>1426.25</v>
      </c>
      <c r="AG320" s="7">
        <v>60</v>
      </c>
      <c r="AH320" s="8" t="s">
        <v>119</v>
      </c>
      <c r="AI320" s="8"/>
      <c r="AJ320" s="8"/>
      <c r="AK320" s="8"/>
      <c r="AL320" s="7"/>
      <c r="AM320" s="8" t="s">
        <v>146</v>
      </c>
      <c r="AN320" s="8" t="s">
        <v>121</v>
      </c>
      <c r="AO320" s="9">
        <v>46217</v>
      </c>
    </row>
    <row r="321" spans="1:41" x14ac:dyDescent="0.25">
      <c r="A321" s="5" t="str">
        <f>IFERROR(IF(INDEX([6]DME!$A$2:$A$51,MATCH($D321,[6]DME!$D$2:$D$51,0))="","",INDEX([6]DME!$A$2:$A$51,MATCH($D321,[6]DME!$D$2:$D$51,0))),"")</f>
        <v/>
      </c>
      <c r="B321" s="5" t="str">
        <f>IFERROR(IF(INDEX([6]DME!$B$2:$B$51,MATCH($D321,[6]DME!$D$2:$D$51,0))="","",INDEX([6]DME!$B$2:$B$51,MATCH($D321,[6]DME!$D$2:$D$51,0))),"")</f>
        <v/>
      </c>
      <c r="C321" s="6" t="str">
        <f>IFERROR(IF(INDEX([6]DME!$C$2:$C$51,MATCH($D321,[6]DME!$D$2:$D$51,0))="","",INDEX([6]DME!$C$2:$C$51,MATCH($D321,[6]DME!$D$2:$D$51,0))),"")</f>
        <v/>
      </c>
      <c r="D321" s="7">
        <v>562699568</v>
      </c>
      <c r="E321" s="8" t="s">
        <v>944</v>
      </c>
      <c r="F321" s="9">
        <v>46182</v>
      </c>
      <c r="G321" s="8" t="s">
        <v>437</v>
      </c>
      <c r="H321" s="8" t="s">
        <v>437</v>
      </c>
      <c r="I321" s="8" t="s">
        <v>750</v>
      </c>
      <c r="J321" s="8" t="s">
        <v>231</v>
      </c>
      <c r="K321" s="6" t="str">
        <f>IFERROR(IF(INDEX([6]DME!$K$2:$K$51,MATCH($D321,[6]DME!$D$2:$D$51,0))="","",INDEX([6]DME!$K$2:$K$51,MATCH($D321,[6]DME!$D$2:$D$51,0))),"")</f>
        <v/>
      </c>
      <c r="L321" s="11">
        <f ca="1">IF($O321="","",$O321-TODAY())</f>
        <v>243</v>
      </c>
      <c r="M321" s="11" t="str">
        <f ca="1">IF(AND(TRIM($A321)="Finalized",$K321&lt;&gt;""),"",IF($C321="","",$C321+365-TODAY()))</f>
        <v/>
      </c>
      <c r="N321" s="11" t="str">
        <f ca="1">IF(AND(TRIM($A321)="Finalized",$K321&lt;&gt;""),"",IF($C321="","",$C321+120-TODAY()))</f>
        <v/>
      </c>
      <c r="O321" s="9">
        <f>IF(AND(TRIM($A321)="Finalized",$K321&lt;&gt;""),"",DATE(2027,6,9))</f>
        <v>46547</v>
      </c>
      <c r="P321" s="8" t="s">
        <v>73</v>
      </c>
      <c r="Q321" s="8" t="s">
        <v>739</v>
      </c>
      <c r="R321" s="8" t="s">
        <v>73</v>
      </c>
      <c r="S321" s="8" t="s">
        <v>74</v>
      </c>
      <c r="T321" s="8" t="s">
        <v>208</v>
      </c>
      <c r="U321" s="8" t="s">
        <v>74</v>
      </c>
      <c r="V321" s="8" t="s">
        <v>455</v>
      </c>
      <c r="W321" s="8" t="s">
        <v>89</v>
      </c>
      <c r="X321" s="8" t="s">
        <v>232</v>
      </c>
      <c r="Y321" s="8"/>
      <c r="Z321" s="8"/>
      <c r="AA321" s="8" t="s">
        <v>77</v>
      </c>
      <c r="AB321" s="10">
        <v>5492.55</v>
      </c>
      <c r="AC321" s="10">
        <v>0</v>
      </c>
      <c r="AD321" s="10">
        <v>0</v>
      </c>
      <c r="AE321" s="9"/>
      <c r="AF321" s="10">
        <v>5492.55</v>
      </c>
      <c r="AG321" s="7">
        <v>60</v>
      </c>
      <c r="AH321" s="8" t="s">
        <v>945</v>
      </c>
      <c r="AI321" s="8"/>
      <c r="AJ321" s="8"/>
      <c r="AK321" s="8"/>
      <c r="AL321" s="7"/>
      <c r="AM321" s="8" t="s">
        <v>811</v>
      </c>
      <c r="AN321" s="8" t="s">
        <v>812</v>
      </c>
      <c r="AO321" s="9">
        <v>46191</v>
      </c>
    </row>
    <row r="322" spans="1:41" x14ac:dyDescent="0.25">
      <c r="A322" s="5" t="str">
        <f>IFERROR(IF(INDEX([6]BH!$A$2:$A$82,MATCH($D322,[6]BH!$D$2:$D$82,0))="","",INDEX([6]BH!$A$2:$A$82,MATCH($D322,[6]BH!$D$2:$D$82,0))),"")</f>
        <v/>
      </c>
      <c r="B322" s="5" t="str">
        <f>IFERROR(IF(INDEX([6]BH!$B$2:$B$82,MATCH($D322,[6]BH!$D$2:$D$82,0))="","",INDEX([6]BH!$B$2:$B$82,MATCH($D322,[6]BH!$D$2:$D$82,0))),"")</f>
        <v/>
      </c>
      <c r="C322" s="6">
        <f>IFERROR(IF(INDEX([6]BH!$C$2:$C$82,MATCH($D322,[6]BH!$D$2:$D$82,0))="","",INDEX([6]BH!$C$2:$C$82,MATCH($D322,[6]BH!$D$2:$D$82,0))),"")</f>
        <v>46226</v>
      </c>
      <c r="D322" s="7">
        <v>561898000</v>
      </c>
      <c r="E322" s="8" t="s">
        <v>946</v>
      </c>
      <c r="F322" s="9">
        <v>46183</v>
      </c>
      <c r="G322" s="8" t="s">
        <v>171</v>
      </c>
      <c r="H322" s="8" t="s">
        <v>171</v>
      </c>
      <c r="I322" s="8" t="s">
        <v>123</v>
      </c>
      <c r="J322" s="8" t="s">
        <v>203</v>
      </c>
      <c r="K322" s="6" t="str">
        <f>IFERROR(IF(INDEX([6]BH!$K$2:$K$82,MATCH($D322,[6]BH!$D$2:$D$82,0))="","",INDEX([6]BH!$K$2:$K$82,MATCH($D322,[6]BH!$D$2:$D$82,0))),"")</f>
        <v/>
      </c>
      <c r="L322" s="11">
        <f ca="1">IF($O322="","",$O322-TODAY())</f>
        <v>244</v>
      </c>
      <c r="M322" s="11">
        <f ca="1">IF(AND(TRIM($A322)="Finalized",$K322&lt;&gt;""),"",IF($C322="","",$C322+365-TODAY()))</f>
        <v>287</v>
      </c>
      <c r="N322" s="11">
        <f ca="1">IF(AND(TRIM($A322)="Finalized",$K322&lt;&gt;""),"",IF($C322="","",$C322+120-TODAY()))</f>
        <v>42</v>
      </c>
      <c r="O322" s="9">
        <f>IF(AND(TRIM($A322)="Finalized",$K322&lt;&gt;""),"",DATE(2027,6,10))</f>
        <v>46548</v>
      </c>
      <c r="P322" s="8" t="s">
        <v>73</v>
      </c>
      <c r="Q322" s="8" t="s">
        <v>739</v>
      </c>
      <c r="R322" s="8" t="s">
        <v>73</v>
      </c>
      <c r="S322" s="8" t="s">
        <v>74</v>
      </c>
      <c r="T322" s="8" t="s">
        <v>208</v>
      </c>
      <c r="U322" s="8" t="s">
        <v>74</v>
      </c>
      <c r="V322" s="8" t="s">
        <v>455</v>
      </c>
      <c r="W322" s="8" t="s">
        <v>118</v>
      </c>
      <c r="X322" s="8"/>
      <c r="Y322" s="8"/>
      <c r="Z322" s="8"/>
      <c r="AA322" s="8" t="s">
        <v>77</v>
      </c>
      <c r="AB322" s="10">
        <v>1372.91</v>
      </c>
      <c r="AC322" s="10">
        <v>0</v>
      </c>
      <c r="AD322" s="10">
        <v>0</v>
      </c>
      <c r="AE322" s="9">
        <v>46226</v>
      </c>
      <c r="AF322" s="10">
        <v>1372.91</v>
      </c>
      <c r="AG322" s="7">
        <v>59</v>
      </c>
      <c r="AH322" s="8" t="s">
        <v>172</v>
      </c>
      <c r="AI322" s="8"/>
      <c r="AJ322" s="8"/>
      <c r="AK322" s="8"/>
      <c r="AL322" s="7"/>
      <c r="AM322" s="8" t="s">
        <v>157</v>
      </c>
      <c r="AN322" s="8" t="s">
        <v>158</v>
      </c>
      <c r="AO322" s="9">
        <v>46217</v>
      </c>
    </row>
    <row r="323" spans="1:41" x14ac:dyDescent="0.25">
      <c r="A323" s="5" t="str">
        <f>IFERROR(IF(INDEX([6]ORTHO!$A$2:$A$39,MATCH($D323,[6]ORTHO!$D$2:$D$39,0))="","",INDEX([6]ORTHO!$A$2:$A$39,MATCH($D323,[6]ORTHO!$D$2:$D$39,0))),"")</f>
        <v/>
      </c>
      <c r="B323" s="5" t="str">
        <f>IFERROR(IF(INDEX([6]ORTHO!$B$2:$B$39,MATCH($D323,[6]ORTHO!$D$2:$D$39,0))="","",INDEX([6]ORTHO!$B$2:$B$39,MATCH($D323,[6]ORTHO!$D$2:$D$39,0))),"")</f>
        <v/>
      </c>
      <c r="C323" s="6">
        <f>IFERROR(IF(INDEX([6]ORTHO!$C$2:$C$39,MATCH($D323,[6]ORTHO!$D$2:$D$39,0))="","",INDEX([6]ORTHO!$C$2:$C$39,MATCH($D323,[6]ORTHO!$D$2:$D$39,0))),"")</f>
        <v>46195</v>
      </c>
      <c r="D323" s="7">
        <v>562554208</v>
      </c>
      <c r="E323" s="8" t="s">
        <v>885</v>
      </c>
      <c r="F323" s="9">
        <v>46188</v>
      </c>
      <c r="G323" s="8" t="s">
        <v>171</v>
      </c>
      <c r="H323" s="8" t="s">
        <v>171</v>
      </c>
      <c r="I323" s="8" t="s">
        <v>332</v>
      </c>
      <c r="J323" s="8" t="s">
        <v>820</v>
      </c>
      <c r="K323" s="6" t="str">
        <f>IFERROR(IF(INDEX([6]ORTHO!$K$2:$K$39,MATCH($D323,[6]ORTHO!$D$2:$D$39,0))="","",INDEX([6]ORTHO!$K$2:$K$39,MATCH($D323,[6]ORTHO!$D$2:$D$39,0))),"")</f>
        <v/>
      </c>
      <c r="L323" s="11">
        <f ca="1">IF($O323="","",$O323-TODAY())</f>
        <v>249</v>
      </c>
      <c r="M323" s="11">
        <f ca="1">IF(AND(TRIM($A323)="Finalized",$K323&lt;&gt;""),"",IF($C323="","",$C323+365-TODAY()))</f>
        <v>256</v>
      </c>
      <c r="N323" s="11">
        <f ca="1">IF(AND(TRIM($A323)="Finalized",$K323&lt;&gt;""),"",IF($C323="","",$C323+120-TODAY()))</f>
        <v>11</v>
      </c>
      <c r="O323" s="9">
        <f>IF(AND(TRIM($A323)="Finalized",$K323&lt;&gt;""),"",DATE(2027,6,15))</f>
        <v>46553</v>
      </c>
      <c r="P323" s="8" t="s">
        <v>73</v>
      </c>
      <c r="Q323" s="8" t="s">
        <v>739</v>
      </c>
      <c r="R323" s="8" t="s">
        <v>73</v>
      </c>
      <c r="S323" s="8" t="s">
        <v>74</v>
      </c>
      <c r="T323" s="8" t="s">
        <v>208</v>
      </c>
      <c r="U323" s="8" t="s">
        <v>74</v>
      </c>
      <c r="V323" s="8" t="s">
        <v>455</v>
      </c>
      <c r="W323" s="8" t="s">
        <v>76</v>
      </c>
      <c r="X323" s="8"/>
      <c r="Y323" s="8"/>
      <c r="Z323" s="8"/>
      <c r="AA323" s="8" t="s">
        <v>77</v>
      </c>
      <c r="AB323" s="10">
        <v>5784.24</v>
      </c>
      <c r="AC323" s="10">
        <v>0</v>
      </c>
      <c r="AD323" s="10">
        <v>0</v>
      </c>
      <c r="AE323" s="9">
        <v>46195</v>
      </c>
      <c r="AF323" s="10">
        <v>5784.24</v>
      </c>
      <c r="AG323" s="7">
        <v>54</v>
      </c>
      <c r="AH323" s="8" t="s">
        <v>149</v>
      </c>
      <c r="AI323" s="8" t="s">
        <v>79</v>
      </c>
      <c r="AJ323" s="8"/>
      <c r="AK323" s="8"/>
      <c r="AL323" s="7"/>
      <c r="AM323" s="8" t="s">
        <v>217</v>
      </c>
      <c r="AN323" s="8" t="s">
        <v>109</v>
      </c>
      <c r="AO323" s="9">
        <v>46190</v>
      </c>
    </row>
    <row r="324" spans="1:41" x14ac:dyDescent="0.25">
      <c r="A324" s="5" t="str">
        <f>IFERROR(IF(INDEX([6]US!$A$2:$A$22,MATCH($D324,[6]US!$D$2:$D$22,0))="","",INDEX([6]US!$A$2:$A$22,MATCH($D324,[6]US!$D$2:$D$22,0))),"")</f>
        <v/>
      </c>
      <c r="B324" s="5" t="str">
        <f>IFERROR(IF(INDEX([6]US!$B$2:$B$22,MATCH($D324,[6]US!$D$2:$D$22,0))="","",INDEX([6]US!$B$2:$B$22,MATCH($D324,[6]US!$D$2:$D$22,0))),"")</f>
        <v/>
      </c>
      <c r="C324" s="6">
        <f>IFERROR(IF(INDEX([6]US!$C$2:$C$22,MATCH($D324,[6]US!$D$2:$D$22,0))="","",INDEX([6]US!$C$2:$C$22,MATCH($D324,[6]US!$D$2:$D$22,0))),"")</f>
        <v>46202</v>
      </c>
      <c r="D324" s="7">
        <v>563068412</v>
      </c>
      <c r="E324" s="8" t="s">
        <v>947</v>
      </c>
      <c r="F324" s="9">
        <v>46189</v>
      </c>
      <c r="G324" s="8" t="s">
        <v>171</v>
      </c>
      <c r="H324" s="8" t="s">
        <v>171</v>
      </c>
      <c r="I324" s="8" t="s">
        <v>69</v>
      </c>
      <c r="J324" s="8" t="s">
        <v>508</v>
      </c>
      <c r="K324" s="6" t="str">
        <f>IFERROR(IF(INDEX([6]US!$K$2:$K$22,MATCH($D324,[6]US!$D$2:$D$22,0))="","",INDEX([6]US!$K$2:$K$22,MATCH($D324,[6]US!$D$2:$D$22,0))),"")</f>
        <v/>
      </c>
      <c r="L324" s="11">
        <f ca="1">IF($O324="","",$O324-TODAY())</f>
        <v>250</v>
      </c>
      <c r="M324" s="11">
        <f ca="1">IF(AND(TRIM($A324)="Finalized",$K324&lt;&gt;""),"",IF($C324="","",$C324+365-TODAY()))</f>
        <v>263</v>
      </c>
      <c r="N324" s="11">
        <f ca="1">IF(AND(TRIM($A324)="Finalized",$K324&lt;&gt;""),"",IF($C324="","",$C324+120-TODAY()))</f>
        <v>18</v>
      </c>
      <c r="O324" s="9">
        <f>IF(AND(TRIM($A324)="Finalized",$K324&lt;&gt;""),"",DATE(2027,6,16))</f>
        <v>46554</v>
      </c>
      <c r="P324" s="8" t="s">
        <v>73</v>
      </c>
      <c r="Q324" s="8" t="s">
        <v>739</v>
      </c>
      <c r="R324" s="8" t="s">
        <v>73</v>
      </c>
      <c r="S324" s="8" t="s">
        <v>74</v>
      </c>
      <c r="T324" s="8" t="s">
        <v>208</v>
      </c>
      <c r="U324" s="8" t="s">
        <v>74</v>
      </c>
      <c r="V324" s="8" t="s">
        <v>455</v>
      </c>
      <c r="W324" s="8" t="s">
        <v>129</v>
      </c>
      <c r="X324" s="8"/>
      <c r="Y324" s="8"/>
      <c r="Z324" s="8"/>
      <c r="AA324" s="8" t="s">
        <v>77</v>
      </c>
      <c r="AB324" s="10">
        <v>3822.49</v>
      </c>
      <c r="AC324" s="10">
        <v>0</v>
      </c>
      <c r="AD324" s="10">
        <v>0</v>
      </c>
      <c r="AE324" s="9">
        <v>46202</v>
      </c>
      <c r="AF324" s="10">
        <v>3822.49</v>
      </c>
      <c r="AG324" s="7">
        <v>53</v>
      </c>
      <c r="AH324" s="8" t="s">
        <v>620</v>
      </c>
      <c r="AI324" s="8" t="s">
        <v>316</v>
      </c>
      <c r="AJ324" s="8"/>
      <c r="AK324" s="8"/>
      <c r="AL324" s="7"/>
      <c r="AM324" s="8" t="s">
        <v>157</v>
      </c>
      <c r="AN324" s="8" t="s">
        <v>158</v>
      </c>
      <c r="AO324" s="9">
        <v>46195</v>
      </c>
    </row>
    <row r="325" spans="1:41" x14ac:dyDescent="0.25">
      <c r="A325" s="5" t="str">
        <f>IFERROR(IF(INDEX([6]US!$A$2:$A$22,MATCH($D325,[6]US!$D$2:$D$22,0))="","",INDEX([6]US!$A$2:$A$22,MATCH($D325,[6]US!$D$2:$D$22,0))),"")</f>
        <v/>
      </c>
      <c r="B325" s="5" t="str">
        <f>IFERROR(IF(INDEX([6]US!$B$2:$B$22,MATCH($D325,[6]US!$D$2:$D$22,0))="","",INDEX([6]US!$B$2:$B$22,MATCH($D325,[6]US!$D$2:$D$22,0))),"")</f>
        <v/>
      </c>
      <c r="C325" s="6">
        <f>IFERROR(IF(INDEX([6]US!$C$2:$C$22,MATCH($D325,[6]US!$D$2:$D$22,0))="","",INDEX([6]US!$C$2:$C$22,MATCH($D325,[6]US!$D$2:$D$22,0))),"")</f>
        <v>46212</v>
      </c>
      <c r="D325" s="7">
        <v>564058406</v>
      </c>
      <c r="E325" s="8" t="s">
        <v>787</v>
      </c>
      <c r="F325" s="9">
        <v>46191</v>
      </c>
      <c r="G325" s="8" t="s">
        <v>171</v>
      </c>
      <c r="H325" s="8" t="s">
        <v>171</v>
      </c>
      <c r="I325" s="8" t="s">
        <v>750</v>
      </c>
      <c r="J325" s="8" t="s">
        <v>135</v>
      </c>
      <c r="K325" s="6" t="str">
        <f>IFERROR(IF(INDEX([6]US!$K$2:$K$22,MATCH($D325,[6]US!$D$2:$D$22,0))="","",INDEX([6]US!$K$2:$K$22,MATCH($D325,[6]US!$D$2:$D$22,0))),"")</f>
        <v/>
      </c>
      <c r="L325" s="11">
        <f ca="1">IF($O325="","",$O325-TODAY())</f>
        <v>252</v>
      </c>
      <c r="M325" s="11">
        <f ca="1">IF(AND(TRIM($A325)="Finalized",$K325&lt;&gt;""),"",IF($C325="","",$C325+365-TODAY()))</f>
        <v>273</v>
      </c>
      <c r="N325" s="11">
        <f ca="1">IF(AND(TRIM($A325)="Finalized",$K325&lt;&gt;""),"",IF($C325="","",$C325+120-TODAY()))</f>
        <v>28</v>
      </c>
      <c r="O325" s="9">
        <f>IF(AND(TRIM($A325)="Finalized",$K325&lt;&gt;""),"",DATE(2027,6,18))</f>
        <v>46556</v>
      </c>
      <c r="P325" s="8" t="s">
        <v>73</v>
      </c>
      <c r="Q325" s="8" t="s">
        <v>739</v>
      </c>
      <c r="R325" s="8" t="s">
        <v>73</v>
      </c>
      <c r="S325" s="8" t="s">
        <v>74</v>
      </c>
      <c r="T325" s="8" t="s">
        <v>208</v>
      </c>
      <c r="U325" s="8" t="s">
        <v>74</v>
      </c>
      <c r="V325" s="8" t="s">
        <v>455</v>
      </c>
      <c r="W325" s="8" t="s">
        <v>129</v>
      </c>
      <c r="X325" s="8"/>
      <c r="Y325" s="8"/>
      <c r="Z325" s="8"/>
      <c r="AA325" s="8" t="s">
        <v>77</v>
      </c>
      <c r="AB325" s="10">
        <v>1294.23</v>
      </c>
      <c r="AC325" s="10">
        <v>0</v>
      </c>
      <c r="AD325" s="10">
        <v>0</v>
      </c>
      <c r="AE325" s="9">
        <v>46212</v>
      </c>
      <c r="AF325" s="10">
        <v>1294.23</v>
      </c>
      <c r="AG325" s="7">
        <v>51</v>
      </c>
      <c r="AH325" s="8" t="s">
        <v>327</v>
      </c>
      <c r="AI325" s="8" t="s">
        <v>175</v>
      </c>
      <c r="AJ325" s="8" t="s">
        <v>105</v>
      </c>
      <c r="AK325" s="8"/>
      <c r="AL325" s="7"/>
      <c r="AM325" s="8" t="s">
        <v>131</v>
      </c>
      <c r="AN325" s="8" t="s">
        <v>350</v>
      </c>
      <c r="AO325" s="9">
        <v>46204</v>
      </c>
    </row>
    <row r="326" spans="1:41" x14ac:dyDescent="0.25">
      <c r="A326" s="5" t="str">
        <f>IFERROR(IF(INDEX([6]ORTHO!$A$2:$A$39,MATCH($D326,[6]ORTHO!$D$2:$D$39,0))="","",INDEX([6]ORTHO!$A$2:$A$39,MATCH($D326,[6]ORTHO!$D$2:$D$39,0))),"")</f>
        <v/>
      </c>
      <c r="B326" s="5" t="str">
        <f>IFERROR(IF(INDEX([6]ORTHO!$B$2:$B$39,MATCH($D326,[6]ORTHO!$D$2:$D$39,0))="","",INDEX([6]ORTHO!$B$2:$B$39,MATCH($D326,[6]ORTHO!$D$2:$D$39,0))),"")</f>
        <v/>
      </c>
      <c r="C326" s="6">
        <f>IFERROR(IF(INDEX([6]ORTHO!$C$2:$C$39,MATCH($D326,[6]ORTHO!$D$2:$D$39,0))="","",INDEX([6]ORTHO!$C$2:$C$39,MATCH($D326,[6]ORTHO!$D$2:$D$39,0))),"")</f>
        <v>46218</v>
      </c>
      <c r="D326" s="7">
        <v>564087324</v>
      </c>
      <c r="E326" s="8" t="s">
        <v>948</v>
      </c>
      <c r="F326" s="9">
        <v>46191</v>
      </c>
      <c r="G326" s="8" t="s">
        <v>171</v>
      </c>
      <c r="H326" s="8" t="s">
        <v>171</v>
      </c>
      <c r="I326" s="8" t="s">
        <v>315</v>
      </c>
      <c r="J326" s="8" t="s">
        <v>181</v>
      </c>
      <c r="K326" s="6" t="str">
        <f>IFERROR(IF(INDEX([6]ORTHO!$K$2:$K$39,MATCH($D326,[6]ORTHO!$D$2:$D$39,0))="","",INDEX([6]ORTHO!$K$2:$K$39,MATCH($D326,[6]ORTHO!$D$2:$D$39,0))),"")</f>
        <v/>
      </c>
      <c r="L326" s="11">
        <f ca="1">IF($O326="","",$O326-TODAY())</f>
        <v>252</v>
      </c>
      <c r="M326" s="11">
        <f ca="1">IF(AND(TRIM($A326)="Finalized",$K326&lt;&gt;""),"",IF($C326="","",$C326+365-TODAY()))</f>
        <v>279</v>
      </c>
      <c r="N326" s="11">
        <f ca="1">IF(AND(TRIM($A326)="Finalized",$K326&lt;&gt;""),"",IF($C326="","",$C326+120-TODAY()))</f>
        <v>34</v>
      </c>
      <c r="O326" s="9">
        <f>IF(AND(TRIM($A326)="Finalized",$K326&lt;&gt;""),"",DATE(2027,6,18))</f>
        <v>46556</v>
      </c>
      <c r="P326" s="8" t="s">
        <v>73</v>
      </c>
      <c r="Q326" s="8" t="s">
        <v>739</v>
      </c>
      <c r="R326" s="8" t="s">
        <v>73</v>
      </c>
      <c r="S326" s="8" t="s">
        <v>74</v>
      </c>
      <c r="T326" s="8" t="s">
        <v>208</v>
      </c>
      <c r="U326" s="8" t="s">
        <v>74</v>
      </c>
      <c r="V326" s="8" t="s">
        <v>455</v>
      </c>
      <c r="W326" s="8" t="s">
        <v>76</v>
      </c>
      <c r="X326" s="8" t="s">
        <v>153</v>
      </c>
      <c r="Y326" s="8"/>
      <c r="Z326" s="8"/>
      <c r="AA326" s="8" t="s">
        <v>77</v>
      </c>
      <c r="AB326" s="10">
        <v>5614.63</v>
      </c>
      <c r="AC326" s="10">
        <v>0</v>
      </c>
      <c r="AD326" s="10">
        <v>0</v>
      </c>
      <c r="AE326" s="9">
        <v>46218</v>
      </c>
      <c r="AF326" s="10">
        <v>5614.63</v>
      </c>
      <c r="AG326" s="7">
        <v>51</v>
      </c>
      <c r="AH326" s="8" t="s">
        <v>182</v>
      </c>
      <c r="AI326" s="8"/>
      <c r="AJ326" s="8"/>
      <c r="AK326" s="8"/>
      <c r="AL326" s="7"/>
      <c r="AM326" s="8" t="s">
        <v>120</v>
      </c>
      <c r="AN326" s="8" t="s">
        <v>109</v>
      </c>
      <c r="AO326" s="9">
        <v>46210</v>
      </c>
    </row>
    <row r="327" spans="1:41" x14ac:dyDescent="0.25">
      <c r="A327" s="5" t="str">
        <f>IFERROR(IF(INDEX([6]BH!$A$2:$A$82,MATCH($D327,[6]BH!$D$2:$D$82,0))="","",INDEX([6]BH!$A$2:$A$82,MATCH($D327,[6]BH!$D$2:$D$82,0))),"")</f>
        <v/>
      </c>
      <c r="B327" s="5" t="str">
        <f>IFERROR(IF(INDEX([6]BH!$B$2:$B$82,MATCH($D327,[6]BH!$D$2:$D$82,0))="","",INDEX([6]BH!$B$2:$B$82,MATCH($D327,[6]BH!$D$2:$D$82,0))),"")</f>
        <v/>
      </c>
      <c r="C327" s="6">
        <f>IFERROR(IF(INDEX([6]BH!$C$2:$C$82,MATCH($D327,[6]BH!$D$2:$D$82,0))="","",INDEX([6]BH!$C$2:$C$82,MATCH($D327,[6]BH!$D$2:$D$82,0))),"")</f>
        <v>46225</v>
      </c>
      <c r="D327" s="7">
        <v>562843131</v>
      </c>
      <c r="E327" s="8" t="s">
        <v>858</v>
      </c>
      <c r="F327" s="9">
        <v>46192</v>
      </c>
      <c r="G327" s="8" t="s">
        <v>171</v>
      </c>
      <c r="H327" s="8" t="s">
        <v>171</v>
      </c>
      <c r="I327" s="8" t="s">
        <v>803</v>
      </c>
      <c r="J327" s="8" t="s">
        <v>203</v>
      </c>
      <c r="K327" s="6" t="str">
        <f>IFERROR(IF(INDEX([6]BH!$K$2:$K$82,MATCH($D327,[6]BH!$D$2:$D$82,0))="","",INDEX([6]BH!$K$2:$K$82,MATCH($D327,[6]BH!$D$2:$D$82,0))),"")</f>
        <v/>
      </c>
      <c r="L327" s="11">
        <f ca="1">IF($O327="","",$O327-TODAY())</f>
        <v>253</v>
      </c>
      <c r="M327" s="11">
        <f ca="1">IF(AND(TRIM($A327)="Finalized",$K327&lt;&gt;""),"",IF($C327="","",$C327+365-TODAY()))</f>
        <v>286</v>
      </c>
      <c r="N327" s="11">
        <f ca="1">IF(AND(TRIM($A327)="Finalized",$K327&lt;&gt;""),"",IF($C327="","",$C327+120-TODAY()))</f>
        <v>41</v>
      </c>
      <c r="O327" s="9">
        <f>IF(AND(TRIM($A327)="Finalized",$K327&lt;&gt;""),"",DATE(2027,6,19))</f>
        <v>46557</v>
      </c>
      <c r="P327" s="8" t="s">
        <v>73</v>
      </c>
      <c r="Q327" s="8" t="s">
        <v>739</v>
      </c>
      <c r="R327" s="8" t="s">
        <v>73</v>
      </c>
      <c r="S327" s="8" t="s">
        <v>74</v>
      </c>
      <c r="T327" s="8" t="s">
        <v>208</v>
      </c>
      <c r="U327" s="8" t="s">
        <v>74</v>
      </c>
      <c r="V327" s="8" t="s">
        <v>455</v>
      </c>
      <c r="W327" s="8" t="s">
        <v>118</v>
      </c>
      <c r="X327" s="8"/>
      <c r="Y327" s="8"/>
      <c r="Z327" s="8"/>
      <c r="AA327" s="8" t="s">
        <v>77</v>
      </c>
      <c r="AB327" s="10">
        <v>1372.91</v>
      </c>
      <c r="AC327" s="10">
        <v>0</v>
      </c>
      <c r="AD327" s="10">
        <v>0</v>
      </c>
      <c r="AE327" s="9">
        <v>46225</v>
      </c>
      <c r="AF327" s="10">
        <v>1372.91</v>
      </c>
      <c r="AG327" s="7">
        <v>50</v>
      </c>
      <c r="AH327" s="8" t="s">
        <v>161</v>
      </c>
      <c r="AI327" s="8"/>
      <c r="AJ327" s="8"/>
      <c r="AK327" s="8"/>
      <c r="AL327" s="7"/>
      <c r="AM327" s="8" t="s">
        <v>165</v>
      </c>
      <c r="AN327" s="8" t="s">
        <v>158</v>
      </c>
      <c r="AO327" s="9">
        <v>46217</v>
      </c>
    </row>
    <row r="328" spans="1:41" x14ac:dyDescent="0.25">
      <c r="A328" s="5" t="str">
        <f>IFERROR(IF(INDEX([6]DME!$A$2:$A$51,MATCH($D328,[6]DME!$D$2:$D$51,0))="","",INDEX([6]DME!$A$2:$A$51,MATCH($D328,[6]DME!$D$2:$D$51,0))),"")</f>
        <v/>
      </c>
      <c r="B328" s="5" t="str">
        <f>IFERROR(IF(INDEX([6]DME!$B$2:$B$51,MATCH($D328,[6]DME!$D$2:$D$51,0))="","",INDEX([6]DME!$B$2:$B$51,MATCH($D328,[6]DME!$D$2:$D$51,0))),"")</f>
        <v/>
      </c>
      <c r="C328" s="6">
        <f>IFERROR(IF(INDEX([6]DME!$C$2:$C$51,MATCH($D328,[6]DME!$D$2:$D$51,0))="","",INDEX([6]DME!$C$2:$C$51,MATCH($D328,[6]DME!$D$2:$D$51,0))),"")</f>
        <v>46211</v>
      </c>
      <c r="D328" s="7">
        <v>563177256</v>
      </c>
      <c r="E328" s="8" t="s">
        <v>885</v>
      </c>
      <c r="F328" s="9">
        <v>46192</v>
      </c>
      <c r="G328" s="8" t="s">
        <v>332</v>
      </c>
      <c r="H328" s="8" t="s">
        <v>437</v>
      </c>
      <c r="I328" s="8" t="s">
        <v>332</v>
      </c>
      <c r="J328" s="8" t="s">
        <v>85</v>
      </c>
      <c r="K328" s="6" t="str">
        <f>IFERROR(IF(INDEX([6]DME!$K$2:$K$51,MATCH($D328,[6]DME!$D$2:$D$51,0))="","",INDEX([6]DME!$K$2:$K$51,MATCH($D328,[6]DME!$D$2:$D$51,0))),"")</f>
        <v/>
      </c>
      <c r="L328" s="11">
        <f ca="1">IF($O328="","",$O328-TODAY())</f>
        <v>253</v>
      </c>
      <c r="M328" s="11">
        <f ca="1">IF(AND(TRIM($A328)="Finalized",$K328&lt;&gt;""),"",IF($C328="","",$C328+365-TODAY()))</f>
        <v>272</v>
      </c>
      <c r="N328" s="11">
        <f ca="1">IF(AND(TRIM($A328)="Finalized",$K328&lt;&gt;""),"",IF($C328="","",$C328+120-TODAY()))</f>
        <v>27</v>
      </c>
      <c r="O328" s="9">
        <f>IF(AND(TRIM($A328)="Finalized",$K328&lt;&gt;""),"",DATE(2027,6,19))</f>
        <v>46557</v>
      </c>
      <c r="P328" s="8" t="s">
        <v>73</v>
      </c>
      <c r="Q328" s="8" t="s">
        <v>739</v>
      </c>
      <c r="R328" s="8" t="s">
        <v>73</v>
      </c>
      <c r="S328" s="8" t="s">
        <v>74</v>
      </c>
      <c r="T328" s="8" t="s">
        <v>208</v>
      </c>
      <c r="U328" s="8" t="s">
        <v>74</v>
      </c>
      <c r="V328" s="8" t="s">
        <v>455</v>
      </c>
      <c r="W328" s="8" t="s">
        <v>89</v>
      </c>
      <c r="X328" s="8" t="s">
        <v>90</v>
      </c>
      <c r="Y328" s="8"/>
      <c r="Z328" s="8"/>
      <c r="AA328" s="8" t="s">
        <v>91</v>
      </c>
      <c r="AB328" s="10">
        <v>36353.800000000003</v>
      </c>
      <c r="AC328" s="10">
        <v>29931.31</v>
      </c>
      <c r="AD328" s="10">
        <v>5337.61</v>
      </c>
      <c r="AE328" s="9">
        <v>46211</v>
      </c>
      <c r="AF328" s="10">
        <v>1084.8800000000001</v>
      </c>
      <c r="AG328" s="7">
        <v>50</v>
      </c>
      <c r="AH328" s="8" t="s">
        <v>92</v>
      </c>
      <c r="AI328" s="8" t="s">
        <v>790</v>
      </c>
      <c r="AJ328" s="8"/>
      <c r="AK328" s="8"/>
      <c r="AL328" s="7" t="s">
        <v>949</v>
      </c>
      <c r="AM328" s="8" t="s">
        <v>806</v>
      </c>
      <c r="AN328" s="8" t="s">
        <v>807</v>
      </c>
      <c r="AO328" s="9">
        <v>46196</v>
      </c>
    </row>
    <row r="329" spans="1:41" x14ac:dyDescent="0.25">
      <c r="A329" s="5" t="str">
        <f>IFERROR(IF(INDEX([6]DME!$A$2:$A$51,MATCH($D329,[6]DME!$D$2:$D$51,0))="","",INDEX([6]DME!$A$2:$A$51,MATCH($D329,[6]DME!$D$2:$D$51,0))),"")</f>
        <v>Finalized</v>
      </c>
      <c r="B329" s="5" t="str">
        <f>IFERROR(IF(INDEX([6]DME!$B$2:$B$51,MATCH($D329,[6]DME!$D$2:$D$51,0))="","",INDEX([6]DME!$B$2:$B$51,MATCH($D329,[6]DME!$D$2:$D$51,0))),"")</f>
        <v/>
      </c>
      <c r="C329" s="6">
        <f>IFERROR(IF(INDEX([6]DME!$C$2:$C$51,MATCH($D329,[6]DME!$D$2:$D$51,0))="","",INDEX([6]DME!$C$2:$C$51,MATCH($D329,[6]DME!$D$2:$D$51,0))),"")</f>
        <v>46211</v>
      </c>
      <c r="D329" s="7">
        <v>563164453</v>
      </c>
      <c r="E329" s="8" t="s">
        <v>950</v>
      </c>
      <c r="F329" s="9">
        <v>46195</v>
      </c>
      <c r="G329" s="8" t="s">
        <v>750</v>
      </c>
      <c r="H329" s="8" t="s">
        <v>437</v>
      </c>
      <c r="I329" s="8" t="s">
        <v>750</v>
      </c>
      <c r="J329" s="8" t="s">
        <v>85</v>
      </c>
      <c r="K329" s="6" t="str">
        <f>IFERROR(IF(INDEX([6]DME!$K$2:$K$51,MATCH($D329,[6]DME!$D$2:$D$51,0))="","",INDEX([6]DME!$K$2:$K$51,MATCH($D329,[6]DME!$D$2:$D$51,0))),"")</f>
        <v/>
      </c>
      <c r="L329" s="11">
        <f ca="1">IF($O329="","",$O329-TODAY())</f>
        <v>256</v>
      </c>
      <c r="M329" s="11">
        <f ca="1">IF(AND(TRIM($A329)="Finalized",$K329&lt;&gt;""),"",IF($C329="","",$C329+365-TODAY()))</f>
        <v>272</v>
      </c>
      <c r="N329" s="11">
        <f ca="1">IF(AND(TRIM($A329)="Finalized",$K329&lt;&gt;""),"",IF($C329="","",$C329+120-TODAY()))</f>
        <v>27</v>
      </c>
      <c r="O329" s="9">
        <f>IF(AND(TRIM($A329)="Finalized",$K329&lt;&gt;""),"",DATE(2027,6,22))</f>
        <v>46560</v>
      </c>
      <c r="P329" s="8" t="s">
        <v>73</v>
      </c>
      <c r="Q329" s="8" t="s">
        <v>739</v>
      </c>
      <c r="R329" s="8" t="s">
        <v>73</v>
      </c>
      <c r="S329" s="8" t="s">
        <v>74</v>
      </c>
      <c r="T329" s="8" t="s">
        <v>208</v>
      </c>
      <c r="U329" s="8" t="s">
        <v>74</v>
      </c>
      <c r="V329" s="8" t="s">
        <v>455</v>
      </c>
      <c r="W329" s="8" t="s">
        <v>89</v>
      </c>
      <c r="X329" s="8" t="s">
        <v>90</v>
      </c>
      <c r="Y329" s="8"/>
      <c r="Z329" s="8"/>
      <c r="AA329" s="8" t="s">
        <v>91</v>
      </c>
      <c r="AB329" s="10">
        <v>36353.800000000003</v>
      </c>
      <c r="AC329" s="10">
        <v>31016.19</v>
      </c>
      <c r="AD329" s="10">
        <v>4252.7299999999996</v>
      </c>
      <c r="AE329" s="9">
        <v>46211</v>
      </c>
      <c r="AF329" s="10">
        <v>1084.8800000000001</v>
      </c>
      <c r="AG329" s="7">
        <v>47</v>
      </c>
      <c r="AH329" s="8" t="s">
        <v>92</v>
      </c>
      <c r="AI329" s="8" t="s">
        <v>149</v>
      </c>
      <c r="AJ329" s="8" t="s">
        <v>324</v>
      </c>
      <c r="AK329" s="8"/>
      <c r="AL329" s="7">
        <v>566076337</v>
      </c>
      <c r="AM329" s="8" t="s">
        <v>806</v>
      </c>
      <c r="AN329" s="8" t="s">
        <v>807</v>
      </c>
      <c r="AO329" s="9">
        <v>46196</v>
      </c>
    </row>
    <row r="330" spans="1:41" x14ac:dyDescent="0.25">
      <c r="A330" s="5" t="str">
        <f>IFERROR(IF(INDEX([6]DME!$A$2:$A$51,MATCH($D330,[6]DME!$D$2:$D$51,0))="","",INDEX([6]DME!$A$2:$A$51,MATCH($D330,[6]DME!$D$2:$D$51,0))),"")</f>
        <v/>
      </c>
      <c r="B330" s="5" t="str">
        <f>IFERROR(IF(INDEX([6]DME!$B$2:$B$51,MATCH($D330,[6]DME!$D$2:$D$51,0))="","",INDEX([6]DME!$B$2:$B$51,MATCH($D330,[6]DME!$D$2:$D$51,0))),"")</f>
        <v/>
      </c>
      <c r="C330" s="6" t="str">
        <f>IFERROR(IF(INDEX([6]DME!$C$2:$C$51,MATCH($D330,[6]DME!$D$2:$D$51,0))="","",INDEX([6]DME!$C$2:$C$51,MATCH($D330,[6]DME!$D$2:$D$51,0))),"")</f>
        <v/>
      </c>
      <c r="D330" s="7">
        <v>563203416</v>
      </c>
      <c r="E330" s="8" t="s">
        <v>774</v>
      </c>
      <c r="F330" s="9">
        <v>46195</v>
      </c>
      <c r="G330" s="8" t="s">
        <v>437</v>
      </c>
      <c r="H330" s="8" t="s">
        <v>437</v>
      </c>
      <c r="I330" s="8" t="s">
        <v>766</v>
      </c>
      <c r="J330" s="8" t="s">
        <v>649</v>
      </c>
      <c r="K330" s="6" t="str">
        <f>IFERROR(IF(INDEX([6]DME!$K$2:$K$51,MATCH($D330,[6]DME!$D$2:$D$51,0))="","",INDEX([6]DME!$K$2:$K$51,MATCH($D330,[6]DME!$D$2:$D$51,0))),"")</f>
        <v/>
      </c>
      <c r="L330" s="11">
        <f ca="1">IF($O330="","",$O330-TODAY())</f>
        <v>256</v>
      </c>
      <c r="M330" s="11" t="str">
        <f ca="1">IF(AND(TRIM($A330)="Finalized",$K330&lt;&gt;""),"",IF($C330="","",$C330+365-TODAY()))</f>
        <v/>
      </c>
      <c r="N330" s="11" t="str">
        <f ca="1">IF(AND(TRIM($A330)="Finalized",$K330&lt;&gt;""),"",IF($C330="","",$C330+120-TODAY()))</f>
        <v/>
      </c>
      <c r="O330" s="9">
        <f>IF(AND(TRIM($A330)="Finalized",$K330&lt;&gt;""),"",DATE(2027,6,22))</f>
        <v>46560</v>
      </c>
      <c r="P330" s="8" t="s">
        <v>73</v>
      </c>
      <c r="Q330" s="8" t="s">
        <v>739</v>
      </c>
      <c r="R330" s="8" t="s">
        <v>73</v>
      </c>
      <c r="S330" s="8" t="s">
        <v>74</v>
      </c>
      <c r="T330" s="8" t="s">
        <v>208</v>
      </c>
      <c r="U330" s="8" t="s">
        <v>74</v>
      </c>
      <c r="V330" s="8" t="s">
        <v>455</v>
      </c>
      <c r="W330" s="8" t="s">
        <v>89</v>
      </c>
      <c r="X330" s="8" t="s">
        <v>232</v>
      </c>
      <c r="Y330" s="8"/>
      <c r="Z330" s="8"/>
      <c r="AA330" s="8" t="s">
        <v>77</v>
      </c>
      <c r="AB330" s="10">
        <v>6392.96</v>
      </c>
      <c r="AC330" s="10">
        <v>0</v>
      </c>
      <c r="AD330" s="10">
        <v>0</v>
      </c>
      <c r="AE330" s="9"/>
      <c r="AF330" s="10">
        <v>6392.96</v>
      </c>
      <c r="AG330" s="7">
        <v>47</v>
      </c>
      <c r="AH330" s="8" t="s">
        <v>145</v>
      </c>
      <c r="AI330" s="8"/>
      <c r="AJ330" s="8"/>
      <c r="AK330" s="8"/>
      <c r="AL330" s="7"/>
      <c r="AM330" s="8" t="s">
        <v>745</v>
      </c>
      <c r="AN330" s="8" t="s">
        <v>746</v>
      </c>
      <c r="AO330" s="9">
        <v>46196</v>
      </c>
    </row>
    <row r="331" spans="1:41" x14ac:dyDescent="0.25">
      <c r="A331" s="5" t="str">
        <f>IFERROR(IF(INDEX([6]DME!$A$2:$A$51,MATCH($D331,[6]DME!$D$2:$D$51,0))="","",INDEX([6]DME!$A$2:$A$51,MATCH($D331,[6]DME!$D$2:$D$51,0))),"")</f>
        <v/>
      </c>
      <c r="B331" s="5" t="str">
        <f>IFERROR(IF(INDEX([6]DME!$B$2:$B$51,MATCH($D331,[6]DME!$D$2:$D$51,0))="","",INDEX([6]DME!$B$2:$B$51,MATCH($D331,[6]DME!$D$2:$D$51,0))),"")</f>
        <v/>
      </c>
      <c r="C331" s="6">
        <f>IFERROR(IF(INDEX([6]DME!$C$2:$C$51,MATCH($D331,[6]DME!$D$2:$D$51,0))="","",INDEX([6]DME!$C$2:$C$51,MATCH($D331,[6]DME!$D$2:$D$51,0))),"")</f>
        <v>46268</v>
      </c>
      <c r="D331" s="7">
        <v>563163093</v>
      </c>
      <c r="E331" s="8" t="s">
        <v>951</v>
      </c>
      <c r="F331" s="9">
        <v>46195</v>
      </c>
      <c r="G331" s="8" t="s">
        <v>83</v>
      </c>
      <c r="H331" s="8" t="s">
        <v>437</v>
      </c>
      <c r="I331" s="8" t="s">
        <v>83</v>
      </c>
      <c r="J331" s="8" t="s">
        <v>382</v>
      </c>
      <c r="K331" s="6" t="str">
        <f>IFERROR(IF(INDEX([6]DME!$K$2:$K$51,MATCH($D331,[6]DME!$D$2:$D$51,0))="","",INDEX([6]DME!$K$2:$K$51,MATCH($D331,[6]DME!$D$2:$D$51,0))),"")</f>
        <v/>
      </c>
      <c r="L331" s="11">
        <f ca="1">IF($O331="","",$O331-TODAY())</f>
        <v>256</v>
      </c>
      <c r="M331" s="11">
        <f ca="1">IF(AND(TRIM($A331)="Finalized",$K331&lt;&gt;""),"",IF($C331="","",$C331+365-TODAY()))</f>
        <v>329</v>
      </c>
      <c r="N331" s="11">
        <f ca="1">IF(AND(TRIM($A331)="Finalized",$K331&lt;&gt;""),"",IF($C331="","",$C331+120-TODAY()))</f>
        <v>84</v>
      </c>
      <c r="O331" s="9">
        <f>IF(AND(TRIM($A331)="Finalized",$K331&lt;&gt;""),"",DATE(2027,6,22))</f>
        <v>46560</v>
      </c>
      <c r="P331" s="8" t="s">
        <v>73</v>
      </c>
      <c r="Q331" s="8" t="s">
        <v>739</v>
      </c>
      <c r="R331" s="8" t="s">
        <v>73</v>
      </c>
      <c r="S331" s="8" t="s">
        <v>74</v>
      </c>
      <c r="T331" s="8" t="s">
        <v>208</v>
      </c>
      <c r="U331" s="8" t="s">
        <v>74</v>
      </c>
      <c r="V331" s="8" t="s">
        <v>455</v>
      </c>
      <c r="W331" s="8" t="s">
        <v>89</v>
      </c>
      <c r="X331" s="8" t="s">
        <v>244</v>
      </c>
      <c r="Y331" s="8"/>
      <c r="Z331" s="8"/>
      <c r="AA331" s="8" t="s">
        <v>91</v>
      </c>
      <c r="AB331" s="10">
        <v>36353.800000000003</v>
      </c>
      <c r="AC331" s="10">
        <v>29931.31</v>
      </c>
      <c r="AD331" s="10">
        <v>5337.61</v>
      </c>
      <c r="AE331" s="9">
        <v>46268</v>
      </c>
      <c r="AF331" s="10">
        <v>1084.8800000000001</v>
      </c>
      <c r="AG331" s="7">
        <v>47</v>
      </c>
      <c r="AH331" s="8" t="s">
        <v>92</v>
      </c>
      <c r="AI331" s="8" t="s">
        <v>894</v>
      </c>
      <c r="AJ331" s="8" t="s">
        <v>646</v>
      </c>
      <c r="AK331" s="8"/>
      <c r="AL331" s="7" t="s">
        <v>952</v>
      </c>
      <c r="AM331" s="8" t="s">
        <v>806</v>
      </c>
      <c r="AN331" s="8" t="s">
        <v>807</v>
      </c>
      <c r="AO331" s="9">
        <v>46196</v>
      </c>
    </row>
    <row r="332" spans="1:41" x14ac:dyDescent="0.25">
      <c r="A332" s="5" t="str">
        <f>IFERROR(IF(INDEX([6]DME!$A$2:$A$51,MATCH($D332,[6]DME!$D$2:$D$51,0))="","",INDEX([6]DME!$A$2:$A$51,MATCH($D332,[6]DME!$D$2:$D$51,0))),"")</f>
        <v/>
      </c>
      <c r="B332" s="5" t="str">
        <f>IFERROR(IF(INDEX([6]DME!$B$2:$B$51,MATCH($D332,[6]DME!$D$2:$D$51,0))="","",INDEX([6]DME!$B$2:$B$51,MATCH($D332,[6]DME!$D$2:$D$51,0))),"")</f>
        <v/>
      </c>
      <c r="C332" s="6">
        <f>IFERROR(IF(INDEX([6]DME!$C$2:$C$51,MATCH($D332,[6]DME!$D$2:$D$51,0))="","",INDEX([6]DME!$C$2:$C$51,MATCH($D332,[6]DME!$D$2:$D$51,0))),"")</f>
        <v>46209</v>
      </c>
      <c r="D332" s="7">
        <v>564042566</v>
      </c>
      <c r="E332" s="8" t="s">
        <v>953</v>
      </c>
      <c r="F332" s="9">
        <v>46197</v>
      </c>
      <c r="G332" s="8" t="s">
        <v>437</v>
      </c>
      <c r="H332" s="8" t="s">
        <v>437</v>
      </c>
      <c r="I332" s="8" t="s">
        <v>69</v>
      </c>
      <c r="J332" s="8" t="s">
        <v>954</v>
      </c>
      <c r="K332" s="6" t="str">
        <f>IFERROR(IF(INDEX([6]DME!$K$2:$K$51,MATCH($D332,[6]DME!$D$2:$D$51,0))="","",INDEX([6]DME!$K$2:$K$51,MATCH($D332,[6]DME!$D$2:$D$51,0))),"")</f>
        <v/>
      </c>
      <c r="L332" s="11">
        <f ca="1">IF($O332="","",$O332-TODAY())</f>
        <v>258</v>
      </c>
      <c r="M332" s="11">
        <f ca="1">IF(AND(TRIM($A332)="Finalized",$K332&lt;&gt;""),"",IF($C332="","",$C332+365-TODAY()))</f>
        <v>270</v>
      </c>
      <c r="N332" s="11">
        <f ca="1">IF(AND(TRIM($A332)="Finalized",$K332&lt;&gt;""),"",IF($C332="","",$C332+120-TODAY()))</f>
        <v>25</v>
      </c>
      <c r="O332" s="9">
        <f>IF(AND(TRIM($A332)="Finalized",$K332&lt;&gt;""),"",DATE(2027,6,24))</f>
        <v>46562</v>
      </c>
      <c r="P332" s="8" t="s">
        <v>73</v>
      </c>
      <c r="Q332" s="8" t="s">
        <v>739</v>
      </c>
      <c r="R332" s="8" t="s">
        <v>73</v>
      </c>
      <c r="S332" s="8" t="s">
        <v>74</v>
      </c>
      <c r="T332" s="8" t="s">
        <v>208</v>
      </c>
      <c r="U332" s="8" t="s">
        <v>74</v>
      </c>
      <c r="V332" s="8" t="s">
        <v>455</v>
      </c>
      <c r="W332" s="8" t="s">
        <v>89</v>
      </c>
      <c r="X332" s="8" t="s">
        <v>232</v>
      </c>
      <c r="Y332" s="8"/>
      <c r="Z332" s="8"/>
      <c r="AA332" s="8" t="s">
        <v>77</v>
      </c>
      <c r="AB332" s="10">
        <v>7792.75</v>
      </c>
      <c r="AC332" s="10">
        <v>0</v>
      </c>
      <c r="AD332" s="10">
        <v>0</v>
      </c>
      <c r="AE332" s="9">
        <v>46209</v>
      </c>
      <c r="AF332" s="10">
        <v>7792.75</v>
      </c>
      <c r="AG332" s="7">
        <v>45</v>
      </c>
      <c r="AH332" s="8" t="s">
        <v>356</v>
      </c>
      <c r="AI332" s="8" t="s">
        <v>167</v>
      </c>
      <c r="AJ332" s="8"/>
      <c r="AK332" s="8"/>
      <c r="AL332" s="7"/>
      <c r="AM332" s="8" t="s">
        <v>916</v>
      </c>
      <c r="AN332" s="8" t="s">
        <v>917</v>
      </c>
      <c r="AO332" s="9">
        <v>46204</v>
      </c>
    </row>
    <row r="333" spans="1:41" x14ac:dyDescent="0.25">
      <c r="A333" s="5" t="str">
        <f>IFERROR(IF(INDEX([6]BH!$A$2:$A$82,MATCH($D333,[6]BH!$D$2:$D$82,0))="","",INDEX([6]BH!$A$2:$A$82,MATCH($D333,[6]BH!$D$2:$D$82,0))),"")</f>
        <v/>
      </c>
      <c r="B333" s="5" t="str">
        <f>IFERROR(IF(INDEX([6]BH!$B$2:$B$82,MATCH($D333,[6]BH!$D$2:$D$82,0))="","",INDEX([6]BH!$B$2:$B$82,MATCH($D333,[6]BH!$D$2:$D$82,0))),"")</f>
        <v/>
      </c>
      <c r="C333" s="6" t="str">
        <f>IFERROR(IF(INDEX([6]BH!$C$2:$C$82,MATCH($D333,[6]BH!$D$2:$D$82,0))="","",INDEX([6]BH!$C$2:$C$82,MATCH($D333,[6]BH!$D$2:$D$82,0))),"")</f>
        <v/>
      </c>
      <c r="D333" s="7">
        <v>563651212</v>
      </c>
      <c r="E333" s="8" t="s">
        <v>870</v>
      </c>
      <c r="F333" s="9">
        <v>46199</v>
      </c>
      <c r="G333" s="8" t="s">
        <v>171</v>
      </c>
      <c r="H333" s="8" t="s">
        <v>171</v>
      </c>
      <c r="I333" s="8" t="s">
        <v>123</v>
      </c>
      <c r="J333" s="8" t="s">
        <v>203</v>
      </c>
      <c r="K333" s="6" t="str">
        <f>IFERROR(IF(INDEX([6]BH!$K$2:$K$82,MATCH($D333,[6]BH!$D$2:$D$82,0))="","",INDEX([6]BH!$K$2:$K$82,MATCH($D333,[6]BH!$D$2:$D$82,0))),"")</f>
        <v/>
      </c>
      <c r="L333" s="11">
        <f ca="1">IF($O333="","",$O333-TODAY())</f>
        <v>260</v>
      </c>
      <c r="M333" s="11" t="str">
        <f ca="1">IF(AND(TRIM($A333)="Finalized",$K333&lt;&gt;""),"",IF($C333="","",$C333+365-TODAY()))</f>
        <v/>
      </c>
      <c r="N333" s="11" t="str">
        <f ca="1">IF(AND(TRIM($A333)="Finalized",$K333&lt;&gt;""),"",IF($C333="","",$C333+120-TODAY()))</f>
        <v/>
      </c>
      <c r="O333" s="9">
        <f>IF(AND(TRIM($A333)="Finalized",$K333&lt;&gt;""),"",DATE(2027,6,26))</f>
        <v>46564</v>
      </c>
      <c r="P333" s="8" t="s">
        <v>73</v>
      </c>
      <c r="Q333" s="8" t="s">
        <v>739</v>
      </c>
      <c r="R333" s="8" t="s">
        <v>73</v>
      </c>
      <c r="S333" s="8" t="s">
        <v>74</v>
      </c>
      <c r="T333" s="8" t="s">
        <v>208</v>
      </c>
      <c r="U333" s="8" t="s">
        <v>74</v>
      </c>
      <c r="V333" s="8" t="s">
        <v>455</v>
      </c>
      <c r="W333" s="8" t="s">
        <v>118</v>
      </c>
      <c r="X333" s="8"/>
      <c r="Y333" s="8"/>
      <c r="Z333" s="8"/>
      <c r="AA333" s="8" t="s">
        <v>77</v>
      </c>
      <c r="AB333" s="10">
        <v>1372.91</v>
      </c>
      <c r="AC333" s="10">
        <v>0</v>
      </c>
      <c r="AD333" s="10">
        <v>0</v>
      </c>
      <c r="AE333" s="9"/>
      <c r="AF333" s="10">
        <v>1372.91</v>
      </c>
      <c r="AG333" s="7">
        <v>43</v>
      </c>
      <c r="AH333" s="8" t="s">
        <v>955</v>
      </c>
      <c r="AI333" s="8"/>
      <c r="AJ333" s="8"/>
      <c r="AK333" s="8"/>
      <c r="AL333" s="7"/>
      <c r="AM333" s="8" t="s">
        <v>126</v>
      </c>
      <c r="AN333" s="8" t="s">
        <v>132</v>
      </c>
      <c r="AO333" s="9">
        <v>46217</v>
      </c>
    </row>
    <row r="334" spans="1:41" x14ac:dyDescent="0.25">
      <c r="A334" s="5" t="str">
        <f>IFERROR(IF(INDEX([6]DME!$A$2:$A$51,MATCH($D334,[6]DME!$D$2:$D$51,0))="","",INDEX([6]DME!$A$2:$A$51,MATCH($D334,[6]DME!$D$2:$D$51,0))),"")</f>
        <v/>
      </c>
      <c r="B334" s="5" t="str">
        <f>IFERROR(IF(INDEX([6]DME!$B$2:$B$51,MATCH($D334,[6]DME!$D$2:$D$51,0))="","",INDEX([6]DME!$B$2:$B$51,MATCH($D334,[6]DME!$D$2:$D$51,0))),"")</f>
        <v/>
      </c>
      <c r="C334" s="6" t="str">
        <f>IFERROR(IF(INDEX([6]DME!$C$2:$C$51,MATCH($D334,[6]DME!$D$2:$D$51,0))="","",INDEX([6]DME!$C$2:$C$51,MATCH($D334,[6]DME!$D$2:$D$51,0))),"")</f>
        <v/>
      </c>
      <c r="D334" s="7">
        <v>564112414</v>
      </c>
      <c r="E334" s="8" t="s">
        <v>956</v>
      </c>
      <c r="F334" s="9">
        <v>46199</v>
      </c>
      <c r="G334" s="8" t="s">
        <v>437</v>
      </c>
      <c r="H334" s="8" t="s">
        <v>437</v>
      </c>
      <c r="I334" s="8" t="s">
        <v>83</v>
      </c>
      <c r="J334" s="8" t="s">
        <v>373</v>
      </c>
      <c r="K334" s="6" t="str">
        <f>IFERROR(IF(INDEX([6]DME!$K$2:$K$51,MATCH($D334,[6]DME!$D$2:$D$51,0))="","",INDEX([6]DME!$K$2:$K$51,MATCH($D334,[6]DME!$D$2:$D$51,0))),"")</f>
        <v/>
      </c>
      <c r="L334" s="11">
        <f ca="1">IF($O334="","",$O334-TODAY())</f>
        <v>260</v>
      </c>
      <c r="M334" s="11" t="str">
        <f ca="1">IF(AND(TRIM($A334)="Finalized",$K334&lt;&gt;""),"",IF($C334="","",$C334+365-TODAY()))</f>
        <v/>
      </c>
      <c r="N334" s="11" t="str">
        <f ca="1">IF(AND(TRIM($A334)="Finalized",$K334&lt;&gt;""),"",IF($C334="","",$C334+120-TODAY()))</f>
        <v/>
      </c>
      <c r="O334" s="9">
        <f>IF(AND(TRIM($A334)="Finalized",$K334&lt;&gt;""),"",DATE(2027,6,26))</f>
        <v>46564</v>
      </c>
      <c r="P334" s="8" t="s">
        <v>73</v>
      </c>
      <c r="Q334" s="8" t="s">
        <v>739</v>
      </c>
      <c r="R334" s="8" t="s">
        <v>73</v>
      </c>
      <c r="S334" s="8" t="s">
        <v>74</v>
      </c>
      <c r="T334" s="8" t="s">
        <v>208</v>
      </c>
      <c r="U334" s="8" t="s">
        <v>74</v>
      </c>
      <c r="V334" s="8" t="s">
        <v>455</v>
      </c>
      <c r="W334" s="8" t="s">
        <v>89</v>
      </c>
      <c r="X334" s="8" t="s">
        <v>244</v>
      </c>
      <c r="Y334" s="8"/>
      <c r="Z334" s="8"/>
      <c r="AA334" s="8" t="s">
        <v>190</v>
      </c>
      <c r="AB334" s="10">
        <v>2958.2</v>
      </c>
      <c r="AC334" s="10">
        <v>0</v>
      </c>
      <c r="AD334" s="10">
        <v>0</v>
      </c>
      <c r="AE334" s="9"/>
      <c r="AF334" s="10">
        <v>2958.2</v>
      </c>
      <c r="AG334" s="7">
        <v>43</v>
      </c>
      <c r="AH334" s="8" t="s">
        <v>92</v>
      </c>
      <c r="AI334" s="8" t="s">
        <v>308</v>
      </c>
      <c r="AJ334" s="8"/>
      <c r="AK334" s="8"/>
      <c r="AL334" s="7"/>
      <c r="AM334" s="8" t="s">
        <v>745</v>
      </c>
      <c r="AN334" s="8" t="s">
        <v>746</v>
      </c>
      <c r="AO334" s="9">
        <v>46205</v>
      </c>
    </row>
    <row r="335" spans="1:41" x14ac:dyDescent="0.25">
      <c r="A335" s="5" t="str">
        <f>IFERROR(IF(INDEX([6]BH!$A$2:$A$82,MATCH($D335,[6]BH!$D$2:$D$82,0))="","",INDEX([6]BH!$A$2:$A$82,MATCH($D335,[6]BH!$D$2:$D$82,0))),"")</f>
        <v/>
      </c>
      <c r="B335" s="5" t="str">
        <f>IFERROR(IF(INDEX([6]BH!$B$2:$B$82,MATCH($D335,[6]BH!$D$2:$D$82,0))="","",INDEX([6]BH!$B$2:$B$82,MATCH($D335,[6]BH!$D$2:$D$82,0))),"")</f>
        <v/>
      </c>
      <c r="C335" s="6">
        <f>IFERROR(IF(INDEX([6]BH!$C$2:$C$82,MATCH($D335,[6]BH!$D$2:$D$82,0))="","",INDEX([6]BH!$C$2:$C$82,MATCH($D335,[6]BH!$D$2:$D$82,0))),"")</f>
        <v>46225</v>
      </c>
      <c r="D335" s="7">
        <v>563782794</v>
      </c>
      <c r="E335" s="8" t="s">
        <v>957</v>
      </c>
      <c r="F335" s="9">
        <v>46202</v>
      </c>
      <c r="G335" s="8" t="s">
        <v>171</v>
      </c>
      <c r="H335" s="8" t="s">
        <v>171</v>
      </c>
      <c r="I335" s="8" t="s">
        <v>958</v>
      </c>
      <c r="J335" s="8" t="s">
        <v>124</v>
      </c>
      <c r="K335" s="6" t="str">
        <f>IFERROR(IF(INDEX([6]BH!$K$2:$K$82,MATCH($D335,[6]BH!$D$2:$D$82,0))="","",INDEX([6]BH!$K$2:$K$82,MATCH($D335,[6]BH!$D$2:$D$82,0))),"")</f>
        <v/>
      </c>
      <c r="L335" s="11">
        <f ca="1">IF($O335="","",$O335-TODAY())</f>
        <v>263</v>
      </c>
      <c r="M335" s="11">
        <f ca="1">IF(AND(TRIM($A335)="Finalized",$K335&lt;&gt;""),"",IF($C335="","",$C335+365-TODAY()))</f>
        <v>286</v>
      </c>
      <c r="N335" s="11">
        <f ca="1">IF(AND(TRIM($A335)="Finalized",$K335&lt;&gt;""),"",IF($C335="","",$C335+120-TODAY()))</f>
        <v>41</v>
      </c>
      <c r="O335" s="9">
        <f>IF(AND(TRIM($A335)="Finalized",$K335&lt;&gt;""),"",DATE(2027,6,29))</f>
        <v>46567</v>
      </c>
      <c r="P335" s="8" t="s">
        <v>73</v>
      </c>
      <c r="Q335" s="8" t="s">
        <v>739</v>
      </c>
      <c r="R335" s="8" t="s">
        <v>73</v>
      </c>
      <c r="S335" s="8" t="s">
        <v>74</v>
      </c>
      <c r="T335" s="8" t="s">
        <v>208</v>
      </c>
      <c r="U335" s="8" t="s">
        <v>74</v>
      </c>
      <c r="V335" s="8" t="s">
        <v>455</v>
      </c>
      <c r="W335" s="8" t="s">
        <v>118</v>
      </c>
      <c r="X335" s="8"/>
      <c r="Y335" s="8"/>
      <c r="Z335" s="8"/>
      <c r="AA335" s="8" t="s">
        <v>77</v>
      </c>
      <c r="AB335" s="10">
        <v>1426.25</v>
      </c>
      <c r="AC335" s="10">
        <v>0</v>
      </c>
      <c r="AD335" s="10">
        <v>0</v>
      </c>
      <c r="AE335" s="9">
        <v>46225</v>
      </c>
      <c r="AF335" s="10">
        <v>1426.25</v>
      </c>
      <c r="AG335" s="7">
        <v>40</v>
      </c>
      <c r="AH335" s="8" t="s">
        <v>530</v>
      </c>
      <c r="AI335" s="8"/>
      <c r="AJ335" s="8"/>
      <c r="AK335" s="8"/>
      <c r="AL335" s="7"/>
      <c r="AM335" s="8" t="s">
        <v>165</v>
      </c>
      <c r="AN335" s="8" t="s">
        <v>121</v>
      </c>
      <c r="AO335" s="9">
        <v>46217</v>
      </c>
    </row>
    <row r="336" spans="1:41" x14ac:dyDescent="0.25">
      <c r="A336" s="5" t="str">
        <f>IFERROR(IF(INDEX([6]DME!$A$2:$A$51,MATCH($D336,[6]DME!$D$2:$D$51,0))="","",INDEX([6]DME!$A$2:$A$51,MATCH($D336,[6]DME!$D$2:$D$51,0))),"")</f>
        <v>Finalized</v>
      </c>
      <c r="B336" s="5" t="str">
        <f>IFERROR(IF(INDEX([6]DME!$B$2:$B$51,MATCH($D336,[6]DME!$D$2:$D$51,0))="","",INDEX([6]DME!$B$2:$B$51,MATCH($D336,[6]DME!$D$2:$D$51,0))),"")</f>
        <v/>
      </c>
      <c r="C336" s="6">
        <f>IFERROR(IF(INDEX([6]DME!$C$2:$C$51,MATCH($D336,[6]DME!$D$2:$D$51,0))="","",INDEX([6]DME!$C$2:$C$51,MATCH($D336,[6]DME!$D$2:$D$51,0))),"")</f>
        <v>46219</v>
      </c>
      <c r="D336" s="7">
        <v>564117213</v>
      </c>
      <c r="E336" s="8" t="s">
        <v>901</v>
      </c>
      <c r="F336" s="9">
        <v>46202</v>
      </c>
      <c r="G336" s="8" t="s">
        <v>280</v>
      </c>
      <c r="H336" s="8" t="s">
        <v>437</v>
      </c>
      <c r="I336" s="8" t="s">
        <v>280</v>
      </c>
      <c r="J336" s="8" t="s">
        <v>478</v>
      </c>
      <c r="K336" s="6" t="str">
        <f>IFERROR(IF(INDEX([6]DME!$K$2:$K$51,MATCH($D336,[6]DME!$D$2:$D$51,0))="","",INDEX([6]DME!$K$2:$K$51,MATCH($D336,[6]DME!$D$2:$D$51,0))),"")</f>
        <v/>
      </c>
      <c r="L336" s="11">
        <f ca="1">IF($O336="","",$O336-TODAY())</f>
        <v>263</v>
      </c>
      <c r="M336" s="11">
        <f ca="1">IF(AND(TRIM($A336)="Finalized",$K336&lt;&gt;""),"",IF($C336="","",$C336+365-TODAY()))</f>
        <v>280</v>
      </c>
      <c r="N336" s="11">
        <f ca="1">IF(AND(TRIM($A336)="Finalized",$K336&lt;&gt;""),"",IF($C336="","",$C336+120-TODAY()))</f>
        <v>35</v>
      </c>
      <c r="O336" s="9">
        <f>IF(AND(TRIM($A336)="Finalized",$K336&lt;&gt;""),"",DATE(2027,6,29))</f>
        <v>46567</v>
      </c>
      <c r="P336" s="8" t="s">
        <v>73</v>
      </c>
      <c r="Q336" s="8" t="s">
        <v>739</v>
      </c>
      <c r="R336" s="8" t="s">
        <v>73</v>
      </c>
      <c r="S336" s="8" t="s">
        <v>74</v>
      </c>
      <c r="T336" s="8" t="s">
        <v>208</v>
      </c>
      <c r="U336" s="8" t="s">
        <v>74</v>
      </c>
      <c r="V336" s="8" t="s">
        <v>455</v>
      </c>
      <c r="W336" s="8" t="s">
        <v>89</v>
      </c>
      <c r="X336" s="8" t="s">
        <v>90</v>
      </c>
      <c r="Y336" s="8"/>
      <c r="Z336" s="8"/>
      <c r="AA336" s="8" t="s">
        <v>479</v>
      </c>
      <c r="AB336" s="10">
        <v>11832.8</v>
      </c>
      <c r="AC336" s="10">
        <v>10095.450000000001</v>
      </c>
      <c r="AD336" s="10">
        <v>1384.23</v>
      </c>
      <c r="AE336" s="9">
        <v>46219</v>
      </c>
      <c r="AF336" s="10">
        <v>353.12</v>
      </c>
      <c r="AG336" s="7">
        <v>40</v>
      </c>
      <c r="AH336" s="8" t="s">
        <v>92</v>
      </c>
      <c r="AI336" s="8"/>
      <c r="AJ336" s="8"/>
      <c r="AK336" s="8"/>
      <c r="AL336" s="7">
        <v>567247169</v>
      </c>
      <c r="AM336" s="8" t="s">
        <v>811</v>
      </c>
      <c r="AN336" s="8" t="s">
        <v>812</v>
      </c>
      <c r="AO336" s="9">
        <v>46205</v>
      </c>
    </row>
    <row r="337" spans="1:41" x14ac:dyDescent="0.25">
      <c r="A337" s="5" t="str">
        <f>IFERROR(IF(INDEX([6]DME!$A$2:$A$51,MATCH($D337,[6]DME!$D$2:$D$51,0))="","",INDEX([6]DME!$A$2:$A$51,MATCH($D337,[6]DME!$D$2:$D$51,0))),"")</f>
        <v/>
      </c>
      <c r="B337" s="5" t="str">
        <f>IFERROR(IF(INDEX([6]DME!$B$2:$B$51,MATCH($D337,[6]DME!$D$2:$D$51,0))="","",INDEX([6]DME!$B$2:$B$51,MATCH($D337,[6]DME!$D$2:$D$51,0))),"")</f>
        <v/>
      </c>
      <c r="C337" s="6">
        <f>IFERROR(IF(INDEX([6]DME!$C$2:$C$51,MATCH($D337,[6]DME!$D$2:$D$51,0))="","",INDEX([6]DME!$C$2:$C$51,MATCH($D337,[6]DME!$D$2:$D$51,0))),"")</f>
        <v>46224</v>
      </c>
      <c r="D337" s="7">
        <v>565309736</v>
      </c>
      <c r="E337" s="8" t="s">
        <v>959</v>
      </c>
      <c r="F337" s="9">
        <v>46202</v>
      </c>
      <c r="G337" s="8" t="s">
        <v>437</v>
      </c>
      <c r="H337" s="8" t="s">
        <v>437</v>
      </c>
      <c r="I337" s="8" t="s">
        <v>754</v>
      </c>
      <c r="J337" s="8" t="s">
        <v>649</v>
      </c>
      <c r="K337" s="6" t="str">
        <f>IFERROR(IF(INDEX([6]DME!$K$2:$K$51,MATCH($D337,[6]DME!$D$2:$D$51,0))="","",INDEX([6]DME!$K$2:$K$51,MATCH($D337,[6]DME!$D$2:$D$51,0))),"")</f>
        <v/>
      </c>
      <c r="L337" s="11">
        <f ca="1">IF($O337="","",$O337-TODAY())</f>
        <v>263</v>
      </c>
      <c r="M337" s="11">
        <f ca="1">IF(AND(TRIM($A337)="Finalized",$K337&lt;&gt;""),"",IF($C337="","",$C337+365-TODAY()))</f>
        <v>285</v>
      </c>
      <c r="N337" s="11">
        <f ca="1">IF(AND(TRIM($A337)="Finalized",$K337&lt;&gt;""),"",IF($C337="","",$C337+120-TODAY()))</f>
        <v>40</v>
      </c>
      <c r="O337" s="9">
        <f>IF(AND(TRIM($A337)="Finalized",$K337&lt;&gt;""),"",DATE(2027,6,29))</f>
        <v>46567</v>
      </c>
      <c r="P337" s="8" t="s">
        <v>73</v>
      </c>
      <c r="Q337" s="8" t="s">
        <v>739</v>
      </c>
      <c r="R337" s="8" t="s">
        <v>73</v>
      </c>
      <c r="S337" s="8" t="s">
        <v>74</v>
      </c>
      <c r="T337" s="8" t="s">
        <v>208</v>
      </c>
      <c r="U337" s="8" t="s">
        <v>74</v>
      </c>
      <c r="V337" s="8" t="s">
        <v>455</v>
      </c>
      <c r="W337" s="8" t="s">
        <v>89</v>
      </c>
      <c r="X337" s="8" t="s">
        <v>232</v>
      </c>
      <c r="Y337" s="8"/>
      <c r="Z337" s="8"/>
      <c r="AA337" s="8" t="s">
        <v>77</v>
      </c>
      <c r="AB337" s="10">
        <v>6392.96</v>
      </c>
      <c r="AC337" s="10">
        <v>0</v>
      </c>
      <c r="AD337" s="10">
        <v>0</v>
      </c>
      <c r="AE337" s="9">
        <v>46224</v>
      </c>
      <c r="AF337" s="10">
        <v>6392.96</v>
      </c>
      <c r="AG337" s="7">
        <v>40</v>
      </c>
      <c r="AH337" s="8" t="s">
        <v>79</v>
      </c>
      <c r="AI337" s="8"/>
      <c r="AJ337" s="8"/>
      <c r="AK337" s="8"/>
      <c r="AL337" s="7"/>
      <c r="AM337" s="8" t="s">
        <v>806</v>
      </c>
      <c r="AN337" s="8" t="s">
        <v>807</v>
      </c>
      <c r="AO337" s="9">
        <v>46204</v>
      </c>
    </row>
    <row r="338" spans="1:41" x14ac:dyDescent="0.25">
      <c r="A338" s="5" t="str">
        <f>IFERROR(IF(INDEX([6]GAE!$A$2:$A$23,MATCH($D338,[6]GAE!$D$2:$D$23,0))="","",INDEX([6]GAE!$A$2:$A$23,MATCH($D338,[6]GAE!$D$2:$D$23,0))),"")</f>
        <v/>
      </c>
      <c r="B338" s="5" t="str">
        <f>IFERROR(IF(INDEX([6]GAE!$B$2:$B$23,MATCH($D338,[6]GAE!$D$2:$D$23,0))="","",INDEX([6]GAE!$B$2:$B$23,MATCH($D338,[6]GAE!$D$2:$D$23,0))),"")</f>
        <v/>
      </c>
      <c r="C338" s="6" t="str">
        <f>IFERROR(IF(INDEX([6]GAE!$C$2:$C$23,MATCH($D338,[6]GAE!$D$2:$D$23,0))="","",INDEX([6]GAE!$C$2:$C$23,MATCH($D338,[6]GAE!$D$2:$D$23,0))),"")</f>
        <v/>
      </c>
      <c r="D338" s="7">
        <v>566102944</v>
      </c>
      <c r="E338" s="8" t="s">
        <v>960</v>
      </c>
      <c r="F338" s="9">
        <v>46202</v>
      </c>
      <c r="G338" s="8" t="s">
        <v>171</v>
      </c>
      <c r="H338" s="8" t="s">
        <v>171</v>
      </c>
      <c r="I338" s="8" t="s">
        <v>961</v>
      </c>
      <c r="J338" s="8" t="s">
        <v>962</v>
      </c>
      <c r="K338" s="6" t="str">
        <f>IFERROR(IF(INDEX([6]GAE!$K$2:$K$23,MATCH($D338,[6]GAE!$D$2:$D$23,0))="","",INDEX([6]GAE!$K$2:$K$23,MATCH($D338,[6]GAE!$D$2:$D$23,0))),"")</f>
        <v/>
      </c>
      <c r="L338" s="11">
        <f ca="1">IF($O338="","",$O338-TODAY())</f>
        <v>263</v>
      </c>
      <c r="M338" s="11" t="str">
        <f ca="1">IF(AND(TRIM($A338)="Finalized",$K338&lt;&gt;""),"",IF($C338="","",$C338+365-TODAY()))</f>
        <v/>
      </c>
      <c r="N338" s="11" t="str">
        <f ca="1">IF(AND(TRIM($A338)="Finalized",$K338&lt;&gt;""),"",IF($C338="","",$C338+120-TODAY()))</f>
        <v/>
      </c>
      <c r="O338" s="9">
        <f>IF(AND(TRIM($A338)="Finalized",$K338&lt;&gt;""),"",DATE(2027,6,29))</f>
        <v>46567</v>
      </c>
      <c r="P338" s="8" t="s">
        <v>73</v>
      </c>
      <c r="Q338" s="8" t="s">
        <v>739</v>
      </c>
      <c r="R338" s="8" t="s">
        <v>73</v>
      </c>
      <c r="S338" s="8" t="s">
        <v>74</v>
      </c>
      <c r="T338" s="8" t="s">
        <v>208</v>
      </c>
      <c r="U338" s="8" t="s">
        <v>74</v>
      </c>
      <c r="V338" s="8" t="s">
        <v>455</v>
      </c>
      <c r="W338" s="8" t="s">
        <v>101</v>
      </c>
      <c r="X338" s="8" t="s">
        <v>359</v>
      </c>
      <c r="Y338" s="8" t="s">
        <v>456</v>
      </c>
      <c r="Z338" s="8" t="s">
        <v>103</v>
      </c>
      <c r="AA338" s="8" t="s">
        <v>963</v>
      </c>
      <c r="AB338" s="10">
        <v>66855.039999999994</v>
      </c>
      <c r="AC338" s="10">
        <v>0</v>
      </c>
      <c r="AD338" s="10">
        <v>0</v>
      </c>
      <c r="AE338" s="9"/>
      <c r="AF338" s="10">
        <v>66855.039999999994</v>
      </c>
      <c r="AG338" s="7">
        <v>40</v>
      </c>
      <c r="AH338" s="8" t="s">
        <v>105</v>
      </c>
      <c r="AI338" s="8" t="s">
        <v>106</v>
      </c>
      <c r="AJ338" s="8" t="s">
        <v>107</v>
      </c>
      <c r="AK338" s="8"/>
      <c r="AL338" s="7"/>
      <c r="AM338" s="8" t="s">
        <v>108</v>
      </c>
      <c r="AN338" s="8" t="s">
        <v>81</v>
      </c>
      <c r="AO338" s="9">
        <v>46216</v>
      </c>
    </row>
    <row r="339" spans="1:41" x14ac:dyDescent="0.25">
      <c r="A339" s="5" t="str">
        <f>IFERROR(IF(INDEX([6]BH!$A$2:$A$82,MATCH($D339,[6]BH!$D$2:$D$82,0))="","",INDEX([6]BH!$A$2:$A$82,MATCH($D339,[6]BH!$D$2:$D$82,0))),"")</f>
        <v/>
      </c>
      <c r="B339" s="5" t="str">
        <f>IFERROR(IF(INDEX([6]BH!$B$2:$B$82,MATCH($D339,[6]BH!$D$2:$D$82,0))="","",INDEX([6]BH!$B$2:$B$82,MATCH($D339,[6]BH!$D$2:$D$82,0))),"")</f>
        <v/>
      </c>
      <c r="C339" s="6" t="str">
        <f>IFERROR(IF(INDEX([6]BH!$C$2:$C$82,MATCH($D339,[6]BH!$D$2:$D$82,0))="","",INDEX([6]BH!$C$2:$C$82,MATCH($D339,[6]BH!$D$2:$D$82,0))),"")</f>
        <v/>
      </c>
      <c r="D339" s="7">
        <v>563850884</v>
      </c>
      <c r="E339" s="8" t="s">
        <v>964</v>
      </c>
      <c r="F339" s="9">
        <v>46203</v>
      </c>
      <c r="G339" s="8" t="s">
        <v>171</v>
      </c>
      <c r="H339" s="8" t="s">
        <v>171</v>
      </c>
      <c r="I339" s="8" t="s">
        <v>69</v>
      </c>
      <c r="J339" s="8" t="s">
        <v>634</v>
      </c>
      <c r="K339" s="6" t="str">
        <f>IFERROR(IF(INDEX([6]BH!$K$2:$K$82,MATCH($D339,[6]BH!$D$2:$D$82,0))="","",INDEX([6]BH!$K$2:$K$82,MATCH($D339,[6]BH!$D$2:$D$82,0))),"")</f>
        <v/>
      </c>
      <c r="L339" s="11">
        <f ca="1">IF($O339="","",$O339-TODAY())</f>
        <v>264</v>
      </c>
      <c r="M339" s="11" t="str">
        <f ca="1">IF(AND(TRIM($A339)="Finalized",$K339&lt;&gt;""),"",IF($C339="","",$C339+365-TODAY()))</f>
        <v/>
      </c>
      <c r="N339" s="11" t="str">
        <f ca="1">IF(AND(TRIM($A339)="Finalized",$K339&lt;&gt;""),"",IF($C339="","",$C339+120-TODAY()))</f>
        <v/>
      </c>
      <c r="O339" s="9">
        <f>IF(AND(TRIM($A339)="Finalized",$K339&lt;&gt;""),"",DATE(2027,6,30))</f>
        <v>46568</v>
      </c>
      <c r="P339" s="8" t="s">
        <v>73</v>
      </c>
      <c r="Q339" s="8" t="s">
        <v>739</v>
      </c>
      <c r="R339" s="8" t="s">
        <v>73</v>
      </c>
      <c r="S339" s="8" t="s">
        <v>74</v>
      </c>
      <c r="T339" s="8" t="s">
        <v>208</v>
      </c>
      <c r="U339" s="8" t="s">
        <v>74</v>
      </c>
      <c r="V339" s="8" t="s">
        <v>455</v>
      </c>
      <c r="W339" s="8" t="s">
        <v>118</v>
      </c>
      <c r="X339" s="8"/>
      <c r="Y339" s="8"/>
      <c r="Z339" s="8"/>
      <c r="AA339" s="8" t="s">
        <v>77</v>
      </c>
      <c r="AB339" s="10">
        <v>294.42</v>
      </c>
      <c r="AC339" s="10">
        <v>0</v>
      </c>
      <c r="AD339" s="10">
        <v>0</v>
      </c>
      <c r="AE339" s="9"/>
      <c r="AF339" s="10">
        <v>294.42</v>
      </c>
      <c r="AG339" s="7">
        <v>39</v>
      </c>
      <c r="AH339" s="8" t="s">
        <v>320</v>
      </c>
      <c r="AI339" s="8" t="s">
        <v>635</v>
      </c>
      <c r="AJ339" s="8"/>
      <c r="AK339" s="8"/>
      <c r="AL339" s="7"/>
      <c r="AM339" s="8" t="s">
        <v>636</v>
      </c>
      <c r="AN339" s="8" t="s">
        <v>637</v>
      </c>
      <c r="AO339" s="9">
        <v>46268</v>
      </c>
    </row>
    <row r="340" spans="1:41" x14ac:dyDescent="0.25">
      <c r="A340" s="5" t="str">
        <f>IFERROR(IF(INDEX([2]DME!$A$2:$A$12,MATCH($D340,[2]DME!$D$2:$D$12,0))="","",INDEX([2]DME!$A$2:$A$12,MATCH($D340,[2]DME!$D$2:$D$12,0))),"")</f>
        <v>Denied</v>
      </c>
      <c r="B340" s="5" t="str">
        <f>IFERROR(IF(INDEX([2]DME!$B$2:$B$12,MATCH($D340,[2]DME!$D$2:$D$12,0))="","",INDEX([2]DME!$B$2:$B$12,MATCH($D340,[2]DME!$D$2:$D$12,0))),"")</f>
        <v>Denied again - Edited charges per unit to 271.22 based on cms fee schedule 2026</v>
      </c>
      <c r="C340" s="6">
        <f>IFERROR(IF(INDEX([2]DME!$C$2:$C$12,MATCH($D340,[2]DME!$D$2:$D$12,0))="","",INDEX([2]DME!$C$2:$C$12,MATCH($D340,[2]DME!$D$2:$D$12,0))),"")</f>
        <v>46149</v>
      </c>
      <c r="D340" s="7">
        <v>556897081</v>
      </c>
      <c r="E340" s="8" t="s">
        <v>965</v>
      </c>
      <c r="F340" s="9">
        <v>46062</v>
      </c>
      <c r="G340" s="8" t="s">
        <v>966</v>
      </c>
      <c r="H340" s="8" t="s">
        <v>966</v>
      </c>
      <c r="I340" s="8" t="s">
        <v>69</v>
      </c>
      <c r="J340" s="8" t="s">
        <v>85</v>
      </c>
      <c r="K340" s="6">
        <f>IFERROR(IF(INDEX([2]DME!$K$2:$K$12,MATCH($D340,[2]DME!$D$2:$D$12,0))="","",INDEX([2]DME!$K$2:$K$12,MATCH($D340,[2]DME!$D$2:$D$12,0))),"")</f>
        <v>46134</v>
      </c>
      <c r="L340" s="11" t="str">
        <f ca="1">IF($O340="","",$O340-TODAY())</f>
        <v/>
      </c>
      <c r="M340" s="11"/>
      <c r="N340" s="11"/>
      <c r="O340" s="9"/>
      <c r="P340" s="8"/>
      <c r="Q340" s="8" t="s">
        <v>967</v>
      </c>
      <c r="R340" s="8"/>
      <c r="S340" s="8"/>
      <c r="T340" s="8"/>
      <c r="U340" s="8"/>
      <c r="V340" s="8" t="s">
        <v>204</v>
      </c>
      <c r="W340" s="8" t="s">
        <v>89</v>
      </c>
      <c r="X340" s="8" t="s">
        <v>90</v>
      </c>
      <c r="Y340" s="8"/>
      <c r="Z340" s="8"/>
      <c r="AA340" s="8" t="s">
        <v>91</v>
      </c>
      <c r="AB340" s="10">
        <v>5424.4</v>
      </c>
      <c r="AC340" s="10">
        <v>0</v>
      </c>
      <c r="AD340" s="10">
        <v>0</v>
      </c>
      <c r="AE340" s="9">
        <v>46149</v>
      </c>
      <c r="AF340" s="10">
        <v>5424.4</v>
      </c>
      <c r="AG340" s="7">
        <v>180</v>
      </c>
      <c r="AH340" s="8" t="s">
        <v>92</v>
      </c>
      <c r="AI340" s="8"/>
      <c r="AJ340" s="8"/>
      <c r="AK340" s="8"/>
      <c r="AL340" s="7"/>
      <c r="AM340" s="8" t="s">
        <v>520</v>
      </c>
      <c r="AN340" s="8" t="s">
        <v>198</v>
      </c>
      <c r="AO340" s="9">
        <v>46063</v>
      </c>
    </row>
    <row r="341" spans="1:41" x14ac:dyDescent="0.25">
      <c r="A341" s="5" t="str">
        <f>IFERROR(IF(INDEX([2]ORTHO!$A$2:$A$11,MATCH($D341,[2]ORTHO!$D$2:$D$11,0))="","",INDEX([2]ORTHO!$A$2:$A$11,MATCH($D341,[2]ORTHO!$D$2:$D$11,0))),"")</f>
        <v>Denied</v>
      </c>
      <c r="B341" s="5" t="str">
        <f>IFERROR(IF(INDEX([2]ORTHO!$B$2:$B$11,MATCH($D341,[2]ORTHO!$D$2:$D$11,0))="","",INDEX([2]ORTHO!$B$2:$B$11,MATCH($D341,[2]ORTHO!$D$2:$D$11,0))),"")</f>
        <v>Sent mailed auth appeal request to PO Box 64 Huntingdon Valley, PA 19006 - Auth # 20260114-002504 Denied</v>
      </c>
      <c r="C341" s="6">
        <f>IFERROR(IF(INDEX([2]ORTHO!$C$2:$C$11,MATCH($D341,[2]ORTHO!$D$2:$D$11,0))="","",INDEX([2]ORTHO!$C$2:$C$11,MATCH($D341,[2]ORTHO!$D$2:$D$11,0))),"")</f>
        <v>46107</v>
      </c>
      <c r="D341" s="7">
        <v>552275426</v>
      </c>
      <c r="E341" s="8" t="s">
        <v>968</v>
      </c>
      <c r="F341" s="9">
        <v>46079</v>
      </c>
      <c r="G341" s="8" t="s">
        <v>969</v>
      </c>
      <c r="H341" s="8" t="s">
        <v>969</v>
      </c>
      <c r="I341" s="8" t="s">
        <v>69</v>
      </c>
      <c r="J341" s="8" t="s">
        <v>699</v>
      </c>
      <c r="K341" s="6">
        <f>IFERROR(IF(INDEX([2]ORTHO!$K$2:$K$11,MATCH($D341,[2]ORTHO!$D$2:$D$11,0))="","",INDEX([2]ORTHO!$K$2:$K$11,MATCH($D341,[2]ORTHO!$D$2:$D$11,0))),"")</f>
        <v>46195</v>
      </c>
      <c r="L341" s="11" t="str">
        <f ca="1">IF($O341="","",$O341-TODAY())</f>
        <v/>
      </c>
      <c r="M341" s="11"/>
      <c r="N341" s="11">
        <f ca="1">IF(AND(TRIM($A341)="Finalized",$K341&lt;&gt;""),"",IF($C341="","",$C341+180-TODAY()))</f>
        <v>-17</v>
      </c>
      <c r="O341" s="9"/>
      <c r="P341" s="8"/>
      <c r="Q341" s="8" t="s">
        <v>970</v>
      </c>
      <c r="R341" s="8"/>
      <c r="S341" s="8"/>
      <c r="T341" s="8" t="s">
        <v>117</v>
      </c>
      <c r="U341" s="8" t="s">
        <v>74</v>
      </c>
      <c r="V341" s="8" t="s">
        <v>204</v>
      </c>
      <c r="W341" s="8" t="s">
        <v>76</v>
      </c>
      <c r="X341" s="8"/>
      <c r="Y341" s="8"/>
      <c r="Z341" s="8"/>
      <c r="AA341" s="8" t="s">
        <v>77</v>
      </c>
      <c r="AB341" s="10">
        <v>1758.12</v>
      </c>
      <c r="AC341" s="10">
        <v>0</v>
      </c>
      <c r="AD341" s="10">
        <v>0</v>
      </c>
      <c r="AE341" s="9">
        <v>46107</v>
      </c>
      <c r="AF341" s="10">
        <v>1758.12</v>
      </c>
      <c r="AG341" s="7">
        <v>163</v>
      </c>
      <c r="AH341" s="8" t="s">
        <v>79</v>
      </c>
      <c r="AI341" s="8" t="s">
        <v>971</v>
      </c>
      <c r="AJ341" s="8"/>
      <c r="AK341" s="8"/>
      <c r="AL341" s="7"/>
      <c r="AM341" s="8" t="s">
        <v>168</v>
      </c>
      <c r="AN341" s="8" t="s">
        <v>250</v>
      </c>
      <c r="AO341" s="9">
        <v>46092</v>
      </c>
    </row>
    <row r="342" spans="1:41" x14ac:dyDescent="0.25">
      <c r="A342" s="5" t="str">
        <f>IFERROR(IF(INDEX([3]GAE!$A$2:$A$4,MATCH($D342,[3]GAE!$D$2:$D$4,0))="","",INDEX([3]GAE!$A$2:$A$4,MATCH($D342,[3]GAE!$D$2:$D$4,0))),"")</f>
        <v>Under Review</v>
      </c>
      <c r="B342" s="5" t="str">
        <f>IFERROR(IF(INDEX([3]GAE!$B$2:$B$4,MATCH($D342,[3]GAE!$D$2:$D$4,0))="","",INDEX([3]GAE!$B$2:$B$4,MATCH($D342,[3]GAE!$D$2:$D$4,0))),"")</f>
        <v>Checking tax code on UMR records - I'm expecting a response by email</v>
      </c>
      <c r="C342" s="6">
        <f>IFERROR(IF(INDEX([3]GAE!$C$2:$C$4,MATCH($D342,[3]GAE!$D$2:$D$4,0))="","",INDEX([3]GAE!$C$2:$C$4,MATCH($D342,[3]GAE!$D$2:$D$4,0))),"")</f>
        <v>46132</v>
      </c>
      <c r="D342" s="7">
        <v>555069563</v>
      </c>
      <c r="E342" s="8" t="s">
        <v>972</v>
      </c>
      <c r="F342" s="9">
        <v>46089</v>
      </c>
      <c r="G342" s="8" t="s">
        <v>969</v>
      </c>
      <c r="H342" s="8" t="s">
        <v>969</v>
      </c>
      <c r="I342" s="8" t="s">
        <v>280</v>
      </c>
      <c r="J342" s="8" t="s">
        <v>973</v>
      </c>
      <c r="K342" s="6">
        <f>IFERROR(IF(INDEX([3]GAE!$K$2:$K$4,MATCH($D342,[3]GAE!$D$2:$D$4,0))="","",INDEX([3]GAE!$K$2:$K$4,MATCH($D342,[3]GAE!$D$2:$D$4,0))),"")</f>
        <v>46197</v>
      </c>
      <c r="L342" s="11" t="str">
        <f ca="1">IF($O342="","",$O342-TODAY())</f>
        <v/>
      </c>
      <c r="M342" s="11"/>
      <c r="N342" s="11">
        <f ca="1">IF(AND(TRIM($A342)="Finalized",$K342&lt;&gt;""),"",IF($C342="","",$C342+180-TODAY()))</f>
        <v>8</v>
      </c>
      <c r="O342" s="9"/>
      <c r="P342" s="8"/>
      <c r="Q342" s="8" t="s">
        <v>970</v>
      </c>
      <c r="R342" s="8"/>
      <c r="S342" s="8"/>
      <c r="T342" s="8" t="s">
        <v>117</v>
      </c>
      <c r="U342" s="8" t="s">
        <v>74</v>
      </c>
      <c r="V342" s="8" t="s">
        <v>256</v>
      </c>
      <c r="W342" s="8" t="s">
        <v>101</v>
      </c>
      <c r="X342" s="8" t="s">
        <v>392</v>
      </c>
      <c r="Y342" s="8" t="s">
        <v>153</v>
      </c>
      <c r="Z342" s="8"/>
      <c r="AA342" s="8" t="s">
        <v>490</v>
      </c>
      <c r="AB342" s="10">
        <v>70557.69</v>
      </c>
      <c r="AC342" s="10">
        <v>0</v>
      </c>
      <c r="AD342" s="10">
        <v>0</v>
      </c>
      <c r="AE342" s="9">
        <v>46132</v>
      </c>
      <c r="AF342" s="10">
        <v>70557.69</v>
      </c>
      <c r="AG342" s="7">
        <v>152</v>
      </c>
      <c r="AH342" s="8" t="s">
        <v>329</v>
      </c>
      <c r="AI342" s="8" t="s">
        <v>106</v>
      </c>
      <c r="AJ342" s="8" t="s">
        <v>361</v>
      </c>
      <c r="AK342" s="8"/>
      <c r="AL342" s="7"/>
      <c r="AM342" s="8" t="s">
        <v>108</v>
      </c>
      <c r="AN342" s="8" t="s">
        <v>158</v>
      </c>
      <c r="AO342" s="9">
        <v>46119</v>
      </c>
    </row>
    <row r="343" spans="1:41" x14ac:dyDescent="0.25">
      <c r="A343" s="5" t="str">
        <f>IFERROR(IF(INDEX([4]GAE!$A$2:$A$8,MATCH($D343,[4]GAE!$D$2:$D$8,0))="","",INDEX([4]GAE!$A$2:$A$8,MATCH($D343,[4]GAE!$D$2:$D$8,0))),"")</f>
        <v>PAID</v>
      </c>
      <c r="B343" s="5" t="str">
        <f>IFERROR(IF(INDEX([4]GAE!$B$2:$B$8,MATCH($D343,[4]GAE!$D$2:$D$8,0))="","",INDEX([4]GAE!$B$2:$B$8,MATCH($D343,[4]GAE!$D$2:$D$8,0))),"")</f>
        <v>PENDING POSTING</v>
      </c>
      <c r="C343" s="6">
        <f>IFERROR(IF(INDEX([4]GAE!$C$2:$C$8,MATCH($D343,[4]GAE!$D$2:$D$8,0))="","",INDEX([4]GAE!$C$2:$C$8,MATCH($D343,[4]GAE!$D$2:$D$8,0))),"")</f>
        <v>46181</v>
      </c>
      <c r="D343" s="7">
        <v>558686759</v>
      </c>
      <c r="E343" s="8" t="s">
        <v>974</v>
      </c>
      <c r="F343" s="9">
        <v>46132</v>
      </c>
      <c r="G343" s="8" t="s">
        <v>966</v>
      </c>
      <c r="H343" s="8" t="s">
        <v>966</v>
      </c>
      <c r="I343" s="8" t="s">
        <v>69</v>
      </c>
      <c r="J343" s="8" t="s">
        <v>975</v>
      </c>
      <c r="K343" s="6">
        <f>IFERROR(IF(INDEX([4]GAE!$K$2:$K$8,MATCH($D343,[4]GAE!$D$2:$D$8,0))="","",INDEX([4]GAE!$K$2:$K$8,MATCH($D343,[4]GAE!$D$2:$D$8,0))),"")</f>
        <v>46199</v>
      </c>
      <c r="L343" s="11" t="str">
        <f ca="1">IF($O343="","",$O343-TODAY())</f>
        <v/>
      </c>
      <c r="M343" s="11"/>
      <c r="N343" s="11"/>
      <c r="O343" s="9"/>
      <c r="P343" s="8"/>
      <c r="Q343" s="8" t="s">
        <v>967</v>
      </c>
      <c r="R343" s="8"/>
      <c r="S343" s="8"/>
      <c r="T343" s="8"/>
      <c r="U343" s="8"/>
      <c r="V343" s="8" t="s">
        <v>339</v>
      </c>
      <c r="W343" s="8" t="s">
        <v>101</v>
      </c>
      <c r="X343" s="8" t="s">
        <v>257</v>
      </c>
      <c r="Y343" s="8" t="s">
        <v>360</v>
      </c>
      <c r="Z343" s="8" t="s">
        <v>153</v>
      </c>
      <c r="AA343" s="8" t="s">
        <v>601</v>
      </c>
      <c r="AB343" s="10">
        <v>68271.210000000006</v>
      </c>
      <c r="AC343" s="10">
        <v>67367.5</v>
      </c>
      <c r="AD343" s="10">
        <v>0</v>
      </c>
      <c r="AE343" s="9">
        <v>46181</v>
      </c>
      <c r="AF343" s="10">
        <v>903.71</v>
      </c>
      <c r="AG343" s="7">
        <v>110</v>
      </c>
      <c r="AH343" s="8" t="s">
        <v>329</v>
      </c>
      <c r="AI343" s="8" t="s">
        <v>106</v>
      </c>
      <c r="AJ343" s="8" t="s">
        <v>361</v>
      </c>
      <c r="AK343" s="8"/>
      <c r="AL343" s="7"/>
      <c r="AM343" s="8" t="s">
        <v>108</v>
      </c>
      <c r="AN343" s="8" t="s">
        <v>81</v>
      </c>
      <c r="AO343" s="9">
        <v>46152</v>
      </c>
    </row>
    <row r="344" spans="1:41" x14ac:dyDescent="0.25">
      <c r="A344" s="5" t="str">
        <f>IFERROR(IF(INDEX([2]DME!$A$2:$A$12,MATCH($D344,[2]DME!$D$2:$D$12,0))="","",INDEX([2]DME!$A$2:$A$12,MATCH($D344,[2]DME!$D$2:$D$12,0))),"")</f>
        <v>Denied</v>
      </c>
      <c r="B344" s="5" t="str">
        <f>IFERROR(IF(INDEX([2]DME!$B$2:$B$12,MATCH($D344,[2]DME!$D$2:$D$12,0))="","",INDEX([2]DME!$B$2:$B$12,MATCH($D344,[2]DME!$D$2:$D$12,0))),"")</f>
        <v>Rep Keran - Escalate claim - Call ref # REQ0679770 - TAT 30 days</v>
      </c>
      <c r="C344" s="6">
        <f>IFERROR(IF(INDEX([2]DME!$C$2:$C$12,MATCH($D344,[2]DME!$D$2:$D$12,0))="","",INDEX([2]DME!$C$2:$C$12,MATCH($D344,[2]DME!$D$2:$D$12,0))),"")</f>
        <v>46112</v>
      </c>
      <c r="D344" s="7">
        <v>553079628</v>
      </c>
      <c r="E344" s="8" t="s">
        <v>976</v>
      </c>
      <c r="F344" s="9">
        <v>46064</v>
      </c>
      <c r="G344" s="8" t="s">
        <v>966</v>
      </c>
      <c r="H344" s="8" t="s">
        <v>966</v>
      </c>
      <c r="I344" s="8" t="s">
        <v>69</v>
      </c>
      <c r="J344" s="8" t="s">
        <v>640</v>
      </c>
      <c r="K344" s="6">
        <f>IFERROR(IF(INDEX([2]DME!$K$2:$K$12,MATCH($D344,[2]DME!$D$2:$D$12,0))="","",INDEX([2]DME!$K$2:$K$12,MATCH($D344,[2]DME!$D$2:$D$12,0))),"")</f>
        <v>46244</v>
      </c>
      <c r="L344" s="11" t="str">
        <f ca="1">IF($O344="","",$O344-TODAY())</f>
        <v/>
      </c>
      <c r="M344" s="11"/>
      <c r="N344" s="11"/>
      <c r="O344" s="9"/>
      <c r="P344" s="8"/>
      <c r="Q344" s="8" t="s">
        <v>967</v>
      </c>
      <c r="R344" s="8"/>
      <c r="S344" s="8"/>
      <c r="T344" s="8"/>
      <c r="U344" s="8"/>
      <c r="V344" s="8" t="s">
        <v>204</v>
      </c>
      <c r="W344" s="8" t="s">
        <v>89</v>
      </c>
      <c r="X344" s="8" t="s">
        <v>244</v>
      </c>
      <c r="Y344" s="8"/>
      <c r="Z344" s="8"/>
      <c r="AA344" s="8" t="s">
        <v>190</v>
      </c>
      <c r="AB344" s="10">
        <v>18176.900000000001</v>
      </c>
      <c r="AC344" s="10">
        <v>0</v>
      </c>
      <c r="AD344" s="10">
        <v>0</v>
      </c>
      <c r="AE344" s="9">
        <v>46112</v>
      </c>
      <c r="AF344" s="10">
        <v>18176.900000000001</v>
      </c>
      <c r="AG344" s="7">
        <v>178</v>
      </c>
      <c r="AH344" s="8" t="s">
        <v>92</v>
      </c>
      <c r="AI344" s="8" t="s">
        <v>977</v>
      </c>
      <c r="AJ344" s="8"/>
      <c r="AK344" s="8"/>
      <c r="AL344" s="7"/>
      <c r="AM344" s="8" t="s">
        <v>94</v>
      </c>
      <c r="AN344" s="8" t="s">
        <v>95</v>
      </c>
      <c r="AO344" s="9">
        <v>46099</v>
      </c>
    </row>
    <row r="345" spans="1:41" x14ac:dyDescent="0.25">
      <c r="A345" s="5" t="str">
        <f>IFERROR(IF(INDEX([5]DME!$A$2:$A$35,MATCH($D345,[5]DME!$D$2:$D$35,0))="","",INDEX([5]DME!$A$2:$A$35,MATCH($D345,[5]DME!$D$2:$D$35,0))),"")</f>
        <v>Denied</v>
      </c>
      <c r="B345" s="5" t="str">
        <f>IFERROR(IF(INDEX([5]DME!$B$2:$B$35,MATCH($D345,[5]DME!$D$2:$D$35,0))="","",INDEX([5]DME!$B$2:$B$35,MATCH($D345,[5]DME!$D$2:$D$35,0))),"")</f>
        <v>Rep Keran - Charges issue under review - Call ref # REQ0679770 - on claim 553079628</v>
      </c>
      <c r="C345" s="6">
        <f>IFERROR(IF(INDEX([5]DME!$C$2:$C$35,MATCH($D345,[5]DME!$D$2:$D$35,0))="","",INDEX([5]DME!$C$2:$C$35,MATCH($D345,[5]DME!$D$2:$D$35,0))),"")</f>
        <v>46168</v>
      </c>
      <c r="D345" s="7">
        <v>559748258</v>
      </c>
      <c r="E345" s="8" t="s">
        <v>978</v>
      </c>
      <c r="F345" s="9">
        <v>46146</v>
      </c>
      <c r="G345" s="8" t="s">
        <v>966</v>
      </c>
      <c r="H345" s="8" t="s">
        <v>966</v>
      </c>
      <c r="I345" s="8" t="s">
        <v>69</v>
      </c>
      <c r="J345" s="8" t="s">
        <v>649</v>
      </c>
      <c r="K345" s="6">
        <f>IFERROR(IF(INDEX([5]DME!$K$2:$K$35,MATCH($D345,[5]DME!$D$2:$D$35,0))="","",INDEX([5]DME!$K$2:$K$35,MATCH($D345,[5]DME!$D$2:$D$35,0))),"")</f>
        <v>46244</v>
      </c>
      <c r="L345" s="11" t="str">
        <f ca="1">IF($O345="","",$O345-TODAY())</f>
        <v/>
      </c>
      <c r="M345" s="11"/>
      <c r="N345" s="11"/>
      <c r="O345" s="9"/>
      <c r="P345" s="8"/>
      <c r="Q345" s="8" t="s">
        <v>967</v>
      </c>
      <c r="R345" s="8"/>
      <c r="S345" s="8"/>
      <c r="T345" s="8"/>
      <c r="U345" s="8"/>
      <c r="V345" s="8" t="s">
        <v>365</v>
      </c>
      <c r="W345" s="8" t="s">
        <v>89</v>
      </c>
      <c r="X345" s="8" t="s">
        <v>232</v>
      </c>
      <c r="Y345" s="8"/>
      <c r="Z345" s="8"/>
      <c r="AA345" s="8" t="s">
        <v>77</v>
      </c>
      <c r="AB345" s="10">
        <v>6392.96</v>
      </c>
      <c r="AC345" s="10">
        <v>0</v>
      </c>
      <c r="AD345" s="10">
        <v>0</v>
      </c>
      <c r="AE345" s="9"/>
      <c r="AF345" s="10">
        <v>6392.96</v>
      </c>
      <c r="AG345" s="7">
        <v>96</v>
      </c>
      <c r="AH345" s="8" t="s">
        <v>79</v>
      </c>
      <c r="AI345" s="8"/>
      <c r="AJ345" s="8"/>
      <c r="AK345" s="8"/>
      <c r="AL345" s="7"/>
      <c r="AM345" s="8" t="s">
        <v>146</v>
      </c>
      <c r="AN345" s="8" t="s">
        <v>198</v>
      </c>
      <c r="AO345" s="9">
        <v>46162</v>
      </c>
    </row>
    <row r="346" spans="1:41" x14ac:dyDescent="0.25">
      <c r="A346" s="5" t="str">
        <f>IFERROR(IF(INDEX([5]DME!$A$2:$A$35,MATCH($D346,[5]DME!$D$2:$D$35,0))="","",INDEX([5]DME!$A$2:$A$35,MATCH($D346,[5]DME!$D$2:$D$35,0))),"")</f>
        <v>Denied</v>
      </c>
      <c r="B346" s="5" t="str">
        <f>IFERROR(IF(INDEX([5]DME!$B$2:$B$35,MATCH($D346,[5]DME!$D$2:$D$35,0))="","",INDEX([5]DME!$B$2:$B$35,MATCH($D346,[5]DME!$D$2:$D$35,0))),"")</f>
        <v>Rep Keran - Charges issue under review - Call ref # REQ0679770 - on claim 553079628</v>
      </c>
      <c r="C346" s="6">
        <f>IFERROR(IF(INDEX([5]DME!$C$2:$C$35,MATCH($D346,[5]DME!$D$2:$D$35,0))="","",INDEX([5]DME!$C$2:$C$35,MATCH($D346,[5]DME!$D$2:$D$35,0))),"")</f>
        <v>46171</v>
      </c>
      <c r="D346" s="7">
        <v>559795824</v>
      </c>
      <c r="E346" s="8" t="s">
        <v>979</v>
      </c>
      <c r="F346" s="9">
        <v>46149</v>
      </c>
      <c r="G346" s="8" t="s">
        <v>966</v>
      </c>
      <c r="H346" s="8" t="s">
        <v>966</v>
      </c>
      <c r="I346" s="8" t="s">
        <v>69</v>
      </c>
      <c r="J346" s="8" t="s">
        <v>243</v>
      </c>
      <c r="K346" s="6">
        <f>IFERROR(IF(INDEX([5]DME!$K$2:$K$35,MATCH($D346,[5]DME!$D$2:$D$35,0))="","",INDEX([5]DME!$K$2:$K$35,MATCH($D346,[5]DME!$D$2:$D$35,0))),"")</f>
        <v>46244</v>
      </c>
      <c r="L346" s="11" t="str">
        <f ca="1">IF($O346="","",$O346-TODAY())</f>
        <v/>
      </c>
      <c r="M346" s="11"/>
      <c r="N346" s="11"/>
      <c r="O346" s="9"/>
      <c r="P346" s="8"/>
      <c r="Q346" s="8" t="s">
        <v>967</v>
      </c>
      <c r="R346" s="8"/>
      <c r="S346" s="8"/>
      <c r="T346" s="8"/>
      <c r="U346" s="8"/>
      <c r="V346" s="8" t="s">
        <v>365</v>
      </c>
      <c r="W346" s="8" t="s">
        <v>89</v>
      </c>
      <c r="X346" s="8" t="s">
        <v>244</v>
      </c>
      <c r="Y346" s="8"/>
      <c r="Z346" s="8"/>
      <c r="AA346" s="8" t="s">
        <v>91</v>
      </c>
      <c r="AB346" s="10">
        <v>5916.4</v>
      </c>
      <c r="AC346" s="10">
        <v>0</v>
      </c>
      <c r="AD346" s="10">
        <v>0</v>
      </c>
      <c r="AE346" s="9">
        <v>46171</v>
      </c>
      <c r="AF346" s="10">
        <v>5916.4</v>
      </c>
      <c r="AG346" s="7">
        <v>93</v>
      </c>
      <c r="AH346" s="8" t="s">
        <v>92</v>
      </c>
      <c r="AI346" s="8" t="s">
        <v>182</v>
      </c>
      <c r="AJ346" s="8"/>
      <c r="AK346" s="8"/>
      <c r="AL346" s="7"/>
      <c r="AM346" s="8" t="s">
        <v>460</v>
      </c>
      <c r="AN346" s="8" t="s">
        <v>158</v>
      </c>
      <c r="AO346" s="9">
        <v>46162</v>
      </c>
    </row>
    <row r="347" spans="1:41" x14ac:dyDescent="0.25">
      <c r="A347" s="5" t="str">
        <f>IFERROR(IF(INDEX([5]BH!$A$2:$A$33,MATCH($D347,[5]BH!$D$2:$D$33,0))="","",INDEX([5]BH!$A$2:$A$33,MATCH($D347,[5]BH!$D$2:$D$33,0))),"")</f>
        <v>Denied</v>
      </c>
      <c r="B347" s="5" t="str">
        <f>IFERROR(IF(INDEX([5]BH!$B$2:$B$33,MATCH($D347,[5]BH!$D$2:$D$33,0))="","",INDEX([5]BH!$B$2:$B$33,MATCH($D347,[5]BH!$D$2:$D$33,0))),"")</f>
        <v>Resubmitted to Optum</v>
      </c>
      <c r="C347" s="6">
        <f>IFERROR(IF(INDEX([5]BH!$C$2:$C$33,MATCH($D347,[5]BH!$D$2:$D$33,0))="","",INDEX([5]BH!$C$2:$C$33,MATCH($D347,[5]BH!$D$2:$D$33,0))),"")</f>
        <v>46191</v>
      </c>
      <c r="D347" s="7">
        <v>558331839</v>
      </c>
      <c r="E347" s="8" t="s">
        <v>980</v>
      </c>
      <c r="F347" s="9">
        <v>46148</v>
      </c>
      <c r="G347" s="8" t="s">
        <v>966</v>
      </c>
      <c r="H347" s="8" t="s">
        <v>966</v>
      </c>
      <c r="I347" s="8" t="s">
        <v>69</v>
      </c>
      <c r="J347" s="8" t="s">
        <v>124</v>
      </c>
      <c r="K347" s="6">
        <f>IFERROR(IF(INDEX([5]BH!$K$2:$K$33,MATCH($D347,[5]BH!$D$2:$D$33,0))="","",INDEX([5]BH!$K$2:$K$33,MATCH($D347,[5]BH!$D$2:$D$33,0))),"")</f>
        <v>46252</v>
      </c>
      <c r="L347" s="11" t="str">
        <f ca="1">IF($O347="","",$O347-TODAY())</f>
        <v/>
      </c>
      <c r="M347" s="11"/>
      <c r="N347" s="11"/>
      <c r="O347" s="9"/>
      <c r="P347" s="8"/>
      <c r="Q347" s="8" t="s">
        <v>967</v>
      </c>
      <c r="R347" s="8"/>
      <c r="S347" s="8"/>
      <c r="T347" s="8"/>
      <c r="U347" s="8"/>
      <c r="V347" s="8" t="s">
        <v>365</v>
      </c>
      <c r="W347" s="8" t="s">
        <v>118</v>
      </c>
      <c r="X347" s="8"/>
      <c r="Y347" s="8"/>
      <c r="Z347" s="8"/>
      <c r="AA347" s="8" t="s">
        <v>77</v>
      </c>
      <c r="AB347" s="10">
        <v>1426.25</v>
      </c>
      <c r="AC347" s="10">
        <v>0</v>
      </c>
      <c r="AD347" s="10">
        <v>0</v>
      </c>
      <c r="AE347" s="9">
        <v>46191</v>
      </c>
      <c r="AF347" s="10">
        <v>1426.25</v>
      </c>
      <c r="AG347" s="7">
        <v>94</v>
      </c>
      <c r="AH347" s="8" t="s">
        <v>161</v>
      </c>
      <c r="AI347" s="8"/>
      <c r="AJ347" s="8"/>
      <c r="AK347" s="8"/>
      <c r="AL347" s="7"/>
      <c r="AM347" s="8" t="s">
        <v>80</v>
      </c>
      <c r="AN347" s="8" t="s">
        <v>158</v>
      </c>
      <c r="AO347" s="9">
        <v>46182</v>
      </c>
    </row>
    <row r="348" spans="1:41" x14ac:dyDescent="0.25">
      <c r="A348" s="5" t="str">
        <f>IFERROR(IF(INDEX([5]BH!$A$2:$A$33,MATCH($D348,[5]BH!$D$2:$D$33,0))="","",INDEX([5]BH!$A$2:$A$33,MATCH($D348,[5]BH!$D$2:$D$33,0))),"")</f>
        <v>Denied</v>
      </c>
      <c r="B348" s="5" t="str">
        <f>IFERROR(IF(INDEX([5]BH!$B$2:$B$33,MATCH($D348,[5]BH!$D$2:$D$33,0))="","",INDEX([5]BH!$B$2:$B$33,MATCH($D348,[5]BH!$D$2:$D$33,0))),"")</f>
        <v>Resubmitted to Optum</v>
      </c>
      <c r="C348" s="6">
        <f>IFERROR(IF(INDEX([5]BH!$C$2:$C$33,MATCH($D348,[5]BH!$D$2:$D$33,0))="","",INDEX([5]BH!$C$2:$C$33,MATCH($D348,[5]BH!$D$2:$D$33,0))),"")</f>
        <v>46191</v>
      </c>
      <c r="D348" s="7">
        <v>559338687</v>
      </c>
      <c r="E348" s="8" t="s">
        <v>981</v>
      </c>
      <c r="F348" s="9">
        <v>46157</v>
      </c>
      <c r="G348" s="8" t="s">
        <v>966</v>
      </c>
      <c r="H348" s="8" t="s">
        <v>966</v>
      </c>
      <c r="I348" s="8" t="s">
        <v>69</v>
      </c>
      <c r="J348" s="8" t="s">
        <v>195</v>
      </c>
      <c r="K348" s="6">
        <f>IFERROR(IF(INDEX([5]BH!$K$2:$K$33,MATCH($D348,[5]BH!$D$2:$D$33,0))="","",INDEX([5]BH!$K$2:$K$33,MATCH($D348,[5]BH!$D$2:$D$33,0))),"")</f>
        <v>46252</v>
      </c>
      <c r="L348" s="11" t="str">
        <f ca="1">IF($O348="","",$O348-TODAY())</f>
        <v/>
      </c>
      <c r="M348" s="11"/>
      <c r="N348" s="11"/>
      <c r="O348" s="9"/>
      <c r="P348" s="8"/>
      <c r="Q348" s="8" t="s">
        <v>967</v>
      </c>
      <c r="R348" s="8"/>
      <c r="S348" s="8"/>
      <c r="T348" s="8"/>
      <c r="U348" s="8"/>
      <c r="V348" s="8" t="s">
        <v>365</v>
      </c>
      <c r="W348" s="8" t="s">
        <v>118</v>
      </c>
      <c r="X348" s="8"/>
      <c r="Y348" s="8"/>
      <c r="Z348" s="8"/>
      <c r="AA348" s="8" t="s">
        <v>77</v>
      </c>
      <c r="AB348" s="10">
        <v>1426.25</v>
      </c>
      <c r="AC348" s="10">
        <v>0</v>
      </c>
      <c r="AD348" s="10">
        <v>0</v>
      </c>
      <c r="AE348" s="9">
        <v>46191</v>
      </c>
      <c r="AF348" s="10">
        <v>1426.25</v>
      </c>
      <c r="AG348" s="7">
        <v>85</v>
      </c>
      <c r="AH348" s="8" t="s">
        <v>119</v>
      </c>
      <c r="AI348" s="8"/>
      <c r="AJ348" s="8"/>
      <c r="AK348" s="8"/>
      <c r="AL348" s="7"/>
      <c r="AM348" s="8" t="s">
        <v>154</v>
      </c>
      <c r="AN348" s="8" t="s">
        <v>132</v>
      </c>
      <c r="AO348" s="9">
        <v>46181</v>
      </c>
    </row>
    <row r="349" spans="1:41" x14ac:dyDescent="0.25">
      <c r="A349" s="5" t="str">
        <f>IFERROR(IF(INDEX([5]BH!$A$2:$A$33,MATCH($D349,[5]BH!$D$2:$D$33,0))="","",INDEX([5]BH!$A$2:$A$33,MATCH($D349,[5]BH!$D$2:$D$33,0))),"")</f>
        <v>Denied</v>
      </c>
      <c r="B349" s="5" t="str">
        <f>IFERROR(IF(INDEX([5]BH!$B$2:$B$33,MATCH($D349,[5]BH!$D$2:$D$33,0))="","",INDEX([5]BH!$B$2:$B$33,MATCH($D349,[5]BH!$D$2:$D$33,0))),"")</f>
        <v>Resubmitted to Optum</v>
      </c>
      <c r="C349" s="6">
        <f>IFERROR(IF(INDEX([5]BH!$C$2:$C$33,MATCH($D349,[5]BH!$D$2:$D$33,0))="","",INDEX([5]BH!$C$2:$C$33,MATCH($D349,[5]BH!$D$2:$D$33,0))),"")</f>
        <v>46191</v>
      </c>
      <c r="D349" s="7">
        <v>560178907</v>
      </c>
      <c r="E349" s="8" t="s">
        <v>982</v>
      </c>
      <c r="F349" s="9">
        <v>46164</v>
      </c>
      <c r="G349" s="8" t="s">
        <v>966</v>
      </c>
      <c r="H349" s="8" t="s">
        <v>966</v>
      </c>
      <c r="I349" s="8" t="s">
        <v>69</v>
      </c>
      <c r="J349" s="8" t="s">
        <v>124</v>
      </c>
      <c r="K349" s="6">
        <f>IFERROR(IF(INDEX([5]BH!$K$2:$K$33,MATCH($D349,[5]BH!$D$2:$D$33,0))="","",INDEX([5]BH!$K$2:$K$33,MATCH($D349,[5]BH!$D$2:$D$33,0))),"")</f>
        <v>46252</v>
      </c>
      <c r="L349" s="11" t="str">
        <f ca="1">IF($O349="","",$O349-TODAY())</f>
        <v/>
      </c>
      <c r="M349" s="11"/>
      <c r="N349" s="11"/>
      <c r="O349" s="9"/>
      <c r="P349" s="8"/>
      <c r="Q349" s="8" t="s">
        <v>967</v>
      </c>
      <c r="R349" s="8"/>
      <c r="S349" s="8"/>
      <c r="T349" s="8"/>
      <c r="U349" s="8"/>
      <c r="V349" s="8" t="s">
        <v>365</v>
      </c>
      <c r="W349" s="8" t="s">
        <v>118</v>
      </c>
      <c r="X349" s="8"/>
      <c r="Y349" s="8"/>
      <c r="Z349" s="8"/>
      <c r="AA349" s="8" t="s">
        <v>77</v>
      </c>
      <c r="AB349" s="10">
        <v>1426.25</v>
      </c>
      <c r="AC349" s="10">
        <v>0</v>
      </c>
      <c r="AD349" s="10">
        <v>0</v>
      </c>
      <c r="AE349" s="9">
        <v>46191</v>
      </c>
      <c r="AF349" s="10">
        <v>1426.25</v>
      </c>
      <c r="AG349" s="7">
        <v>78</v>
      </c>
      <c r="AH349" s="8" t="s">
        <v>530</v>
      </c>
      <c r="AI349" s="8" t="s">
        <v>179</v>
      </c>
      <c r="AJ349" s="8"/>
      <c r="AK349" s="8"/>
      <c r="AL349" s="7"/>
      <c r="AM349" s="8" t="s">
        <v>278</v>
      </c>
      <c r="AN349" s="8" t="s">
        <v>132</v>
      </c>
      <c r="AO349" s="9">
        <v>46182</v>
      </c>
    </row>
    <row r="350" spans="1:41" x14ac:dyDescent="0.25">
      <c r="A350" s="5" t="str">
        <f>IFERROR(IF(INDEX([5]BH!$A$2:$A$33,MATCH($D350,[5]BH!$D$2:$D$33,0))="","",INDEX([5]BH!$A$2:$A$33,MATCH($D350,[5]BH!$D$2:$D$33,0))),"")</f>
        <v>Denied</v>
      </c>
      <c r="B350" s="5" t="str">
        <f>IFERROR(IF(INDEX([5]BH!$B$2:$B$33,MATCH($D350,[5]BH!$D$2:$D$33,0))="","",INDEX([5]BH!$B$2:$B$33,MATCH($D350,[5]BH!$D$2:$D$33,0))),"")</f>
        <v>Resubmitted to Optum</v>
      </c>
      <c r="C350" s="6">
        <f>IFERROR(IF(INDEX([5]BH!$C$2:$C$33,MATCH($D350,[5]BH!$D$2:$D$33,0))="","",INDEX([5]BH!$C$2:$C$33,MATCH($D350,[5]BH!$D$2:$D$33,0))),"")</f>
        <v>46191</v>
      </c>
      <c r="D350" s="7">
        <v>560590155</v>
      </c>
      <c r="E350" s="8" t="s">
        <v>983</v>
      </c>
      <c r="F350" s="9">
        <v>46170</v>
      </c>
      <c r="G350" s="8" t="s">
        <v>966</v>
      </c>
      <c r="H350" s="8" t="s">
        <v>966</v>
      </c>
      <c r="I350" s="8" t="s">
        <v>69</v>
      </c>
      <c r="J350" s="8" t="s">
        <v>195</v>
      </c>
      <c r="K350" s="6">
        <f>IFERROR(IF(INDEX([5]BH!$K$2:$K$33,MATCH($D350,[5]BH!$D$2:$D$33,0))="","",INDEX([5]BH!$K$2:$K$33,MATCH($D350,[5]BH!$D$2:$D$33,0))),"")</f>
        <v>46252</v>
      </c>
      <c r="L350" s="11" t="str">
        <f ca="1">IF($O350="","",$O350-TODAY())</f>
        <v/>
      </c>
      <c r="M350" s="11"/>
      <c r="N350" s="11"/>
      <c r="O350" s="9"/>
      <c r="P350" s="8"/>
      <c r="Q350" s="8" t="s">
        <v>967</v>
      </c>
      <c r="R350" s="8"/>
      <c r="S350" s="8"/>
      <c r="T350" s="8"/>
      <c r="U350" s="8"/>
      <c r="V350" s="8" t="s">
        <v>365</v>
      </c>
      <c r="W350" s="8" t="s">
        <v>118</v>
      </c>
      <c r="X350" s="8"/>
      <c r="Y350" s="8"/>
      <c r="Z350" s="8"/>
      <c r="AA350" s="8" t="s">
        <v>77</v>
      </c>
      <c r="AB350" s="10">
        <v>1426.25</v>
      </c>
      <c r="AC350" s="10">
        <v>0</v>
      </c>
      <c r="AD350" s="10">
        <v>0</v>
      </c>
      <c r="AE350" s="9">
        <v>46191</v>
      </c>
      <c r="AF350" s="10">
        <v>1426.25</v>
      </c>
      <c r="AG350" s="7">
        <v>72</v>
      </c>
      <c r="AH350" s="8" t="s">
        <v>119</v>
      </c>
      <c r="AI350" s="8"/>
      <c r="AJ350" s="8"/>
      <c r="AK350" s="8"/>
      <c r="AL350" s="7"/>
      <c r="AM350" s="8" t="s">
        <v>154</v>
      </c>
      <c r="AN350" s="8" t="s">
        <v>132</v>
      </c>
      <c r="AO350" s="9">
        <v>46182</v>
      </c>
    </row>
    <row r="351" spans="1:41" x14ac:dyDescent="0.25">
      <c r="A351" s="5" t="str">
        <f>IFERROR(IF(INDEX([3]BH!$A$2:$A$32,MATCH($D351,[3]BH!$D$2:$D$32,0))="","",INDEX([3]BH!$A$2:$A$32,MATCH($D351,[3]BH!$D$2:$D$32,0))),"")</f>
        <v>Denied</v>
      </c>
      <c r="B351" s="5" t="str">
        <f>IFERROR(IF(INDEX([3]BH!$B$2:$B$32,MATCH($D351,[3]BH!$D$2:$D$32,0))="","",INDEX([3]BH!$B$2:$B$32,MATCH($D351,[3]BH!$D$2:$D$32,0))),"")</f>
        <v>Resubmitted to Optum - DND R10: Optum Behavioral Health Responsibility</v>
      </c>
      <c r="C351" s="6">
        <f>IFERROR(IF(INDEX([3]BH!$C$2:$C$32,MATCH($D351,[3]BH!$D$2:$D$32,0))="","",INDEX([3]BH!$C$2:$C$32,MATCH($D351,[3]BH!$D$2:$D$32,0))),"")</f>
        <v>46128</v>
      </c>
      <c r="D351" s="7">
        <v>553124954</v>
      </c>
      <c r="E351" s="8" t="s">
        <v>965</v>
      </c>
      <c r="F351" s="9">
        <v>46099</v>
      </c>
      <c r="G351" s="8" t="s">
        <v>966</v>
      </c>
      <c r="H351" s="8" t="s">
        <v>966</v>
      </c>
      <c r="I351" s="8" t="s">
        <v>69</v>
      </c>
      <c r="J351" s="8" t="s">
        <v>220</v>
      </c>
      <c r="K351" s="6">
        <f>IFERROR(IF(INDEX([3]BH!$K$2:$K$32,MATCH($D351,[3]BH!$D$2:$D$32,0))="","",INDEX([3]BH!$K$2:$K$32,MATCH($D351,[3]BH!$D$2:$D$32,0))),"")</f>
        <v>46269</v>
      </c>
      <c r="L351" s="11" t="str">
        <f ca="1">IF($O351="","",$O351-TODAY())</f>
        <v/>
      </c>
      <c r="M351" s="11"/>
      <c r="N351" s="11"/>
      <c r="O351" s="9"/>
      <c r="P351" s="8"/>
      <c r="Q351" s="8" t="s">
        <v>967</v>
      </c>
      <c r="R351" s="8"/>
      <c r="S351" s="8"/>
      <c r="T351" s="8"/>
      <c r="U351" s="8"/>
      <c r="V351" s="8" t="s">
        <v>256</v>
      </c>
      <c r="W351" s="8" t="s">
        <v>118</v>
      </c>
      <c r="X351" s="8"/>
      <c r="Y351" s="8"/>
      <c r="Z351" s="8"/>
      <c r="AA351" s="8" t="s">
        <v>77</v>
      </c>
      <c r="AB351" s="10">
        <v>1372.91</v>
      </c>
      <c r="AC351" s="10">
        <v>0</v>
      </c>
      <c r="AD351" s="10">
        <v>0</v>
      </c>
      <c r="AE351" s="9">
        <v>46128</v>
      </c>
      <c r="AF351" s="10">
        <v>1372.91</v>
      </c>
      <c r="AG351" s="7">
        <v>143</v>
      </c>
      <c r="AH351" s="8" t="s">
        <v>119</v>
      </c>
      <c r="AI351" s="8"/>
      <c r="AJ351" s="8"/>
      <c r="AK351" s="8"/>
      <c r="AL351" s="7"/>
      <c r="AM351" s="8" t="s">
        <v>278</v>
      </c>
      <c r="AN351" s="8" t="s">
        <v>132</v>
      </c>
      <c r="AO351" s="9">
        <v>46119</v>
      </c>
    </row>
    <row r="352" spans="1:41" x14ac:dyDescent="0.25">
      <c r="A352" s="5" t="str">
        <f>IFERROR(IF(INDEX([3]BH!$A$2:$A$32,MATCH($D352,[3]BH!$D$2:$D$32,0))="","",INDEX([3]BH!$A$2:$A$32,MATCH($D352,[3]BH!$D$2:$D$32,0))),"")</f>
        <v>PAID</v>
      </c>
      <c r="B352" s="5" t="str">
        <f>IFERROR(IF(INDEX([3]BH!$B$2:$B$32,MATCH($D352,[3]BH!$D$2:$D$32,0))="","",INDEX([3]BH!$B$2:$B$32,MATCH($D352,[3]BH!$D$2:$D$32,0))),"")</f>
        <v xml:space="preserve">secondary - PENDING POSTING - Adjusted allowed amount as per secondary EOB </v>
      </c>
      <c r="C352" s="6">
        <f>IFERROR(IF(INDEX([3]BH!$C$2:$C$32,MATCH($D352,[3]BH!$D$2:$D$32,0))="","",INDEX([3]BH!$C$2:$C$32,MATCH($D352,[3]BH!$D$2:$D$32,0))),"")</f>
        <v>46164</v>
      </c>
      <c r="D352" s="7">
        <v>553577987</v>
      </c>
      <c r="E352" s="8" t="s">
        <v>986</v>
      </c>
      <c r="F352" s="9">
        <v>46104</v>
      </c>
      <c r="G352" s="8" t="s">
        <v>476</v>
      </c>
      <c r="H352" s="8" t="s">
        <v>987</v>
      </c>
      <c r="I352" s="8" t="s">
        <v>476</v>
      </c>
      <c r="J352" s="8" t="s">
        <v>235</v>
      </c>
      <c r="K352" s="6">
        <f>IFERROR(IF(INDEX([3]BH!$K$2:$K$32,MATCH($D352,[3]BH!$D$2:$D$32,0))="","",INDEX([3]BH!$K$2:$K$32,MATCH($D352,[3]BH!$D$2:$D$32,0))),"")</f>
        <v>46269</v>
      </c>
      <c r="L352" s="11" t="str">
        <f ca="1">IF($O352="","",$O352-TODAY())</f>
        <v/>
      </c>
      <c r="M352" s="11"/>
      <c r="N352" s="11"/>
      <c r="O352" s="9"/>
      <c r="P352" s="8"/>
      <c r="Q352" s="8" t="s">
        <v>967</v>
      </c>
      <c r="R352" s="8"/>
      <c r="S352" s="8"/>
      <c r="T352" s="8"/>
      <c r="U352" s="8"/>
      <c r="V352" s="8" t="s">
        <v>256</v>
      </c>
      <c r="W352" s="8" t="s">
        <v>118</v>
      </c>
      <c r="X352" s="8"/>
      <c r="Y352" s="8"/>
      <c r="Z352" s="8"/>
      <c r="AA352" s="8" t="s">
        <v>112</v>
      </c>
      <c r="AB352" s="10">
        <v>1822.52</v>
      </c>
      <c r="AC352" s="10">
        <v>1549.83</v>
      </c>
      <c r="AD352" s="10">
        <v>217.27</v>
      </c>
      <c r="AE352" s="9">
        <v>46164</v>
      </c>
      <c r="AF352" s="10">
        <v>55.42</v>
      </c>
      <c r="AG352" s="7">
        <v>138</v>
      </c>
      <c r="AH352" s="8" t="s">
        <v>119</v>
      </c>
      <c r="AI352" s="8"/>
      <c r="AJ352" s="8"/>
      <c r="AK352" s="8"/>
      <c r="AL352" s="7">
        <v>557766116</v>
      </c>
      <c r="AM352" s="8" t="s">
        <v>146</v>
      </c>
      <c r="AN352" s="8" t="s">
        <v>121</v>
      </c>
      <c r="AO352" s="9">
        <v>46119</v>
      </c>
    </row>
    <row r="353" spans="1:41" x14ac:dyDescent="0.25">
      <c r="A353" s="5" t="str">
        <f>IFERROR(IF(INDEX([1]GAE!$A$2:$A$12,MATCH($D353,[1]GAE!$D$2:$D$12,0))="","",INDEX([1]GAE!$A$2:$A$12,MATCH($D353,[1]GAE!$D$2:$D$12,0))),"")</f>
        <v/>
      </c>
      <c r="B353" s="5" t="str">
        <f>IFERROR(IF(INDEX([1]GAE!$B$2:$B$12,MATCH($D353,[1]GAE!$D$2:$D$12,0))="","",INDEX([1]GAE!$B$2:$B$12,MATCH($D353,[1]GAE!$D$2:$D$12,0))),"")</f>
        <v/>
      </c>
      <c r="C353" s="6">
        <f>IFERROR(IF(INDEX([1]GAE!$C$2:$C$12,MATCH($D353,[1]GAE!$D$2:$D$12,0))="","",INDEX([1]GAE!$C$2:$C$12,MATCH($D353,[1]GAE!$D$2:$D$12,0))),"")</f>
        <v>46141</v>
      </c>
      <c r="D353" s="7">
        <v>548926996</v>
      </c>
      <c r="E353" s="8" t="s">
        <v>972</v>
      </c>
      <c r="F353" s="9">
        <v>46034</v>
      </c>
      <c r="G353" s="8" t="s">
        <v>969</v>
      </c>
      <c r="H353" s="8" t="s">
        <v>969</v>
      </c>
      <c r="I353" s="8" t="s">
        <v>280</v>
      </c>
      <c r="J353" s="8" t="s">
        <v>988</v>
      </c>
      <c r="K353" s="6" t="str">
        <f>IFERROR(IF(INDEX([1]GAE!$K$2:$K$12,MATCH($D353,[1]GAE!$D$2:$D$12,0))="","",INDEX([1]GAE!$K$2:$K$12,MATCH($D353,[1]GAE!$D$2:$D$12,0))),"")</f>
        <v/>
      </c>
      <c r="L353" s="11" t="str">
        <f ca="1">IF($O353="","",$O353-TODAY())</f>
        <v/>
      </c>
      <c r="M353" s="11"/>
      <c r="N353" s="11">
        <f ca="1">IF(AND(TRIM($A353)="Finalized",$K353&lt;&gt;""),"",IF($C353="","",$C353+180-TODAY()))</f>
        <v>17</v>
      </c>
      <c r="O353" s="9"/>
      <c r="P353" s="8"/>
      <c r="Q353" s="8" t="s">
        <v>970</v>
      </c>
      <c r="R353" s="8"/>
      <c r="S353" s="8"/>
      <c r="T353" s="8" t="s">
        <v>117</v>
      </c>
      <c r="U353" s="8" t="s">
        <v>74</v>
      </c>
      <c r="V353" s="8" t="s">
        <v>75</v>
      </c>
      <c r="W353" s="8" t="s">
        <v>101</v>
      </c>
      <c r="X353" s="8" t="s">
        <v>392</v>
      </c>
      <c r="Y353" s="8" t="s">
        <v>103</v>
      </c>
      <c r="Z353" s="8"/>
      <c r="AA353" s="8" t="s">
        <v>914</v>
      </c>
      <c r="AB353" s="10">
        <v>70557.69</v>
      </c>
      <c r="AC353" s="10">
        <v>0</v>
      </c>
      <c r="AD353" s="10">
        <v>0</v>
      </c>
      <c r="AE353" s="9">
        <v>46141</v>
      </c>
      <c r="AF353" s="10">
        <v>70557.69</v>
      </c>
      <c r="AG353" s="7">
        <v>208</v>
      </c>
      <c r="AH353" s="8" t="s">
        <v>105</v>
      </c>
      <c r="AI353" s="8" t="s">
        <v>106</v>
      </c>
      <c r="AJ353" s="8" t="s">
        <v>107</v>
      </c>
      <c r="AK353" s="8"/>
      <c r="AL353" s="7"/>
      <c r="AM353" s="8" t="s">
        <v>108</v>
      </c>
      <c r="AN353" s="8" t="s">
        <v>158</v>
      </c>
      <c r="AO353" s="9">
        <v>46062</v>
      </c>
    </row>
    <row r="354" spans="1:41" x14ac:dyDescent="0.25">
      <c r="A354" s="5" t="str">
        <f>IFERROR(IF(INDEX([1]ORTHO!$A$2:$A$10,MATCH($D354,[1]ORTHO!$D$2:$D$10,0))="","",INDEX([1]ORTHO!$A$2:$A$10,MATCH($D354,[1]ORTHO!$D$2:$D$10,0))),"")</f>
        <v>Under Review</v>
      </c>
      <c r="B354" s="5" t="str">
        <f>IFERROR(IF(INDEX([1]ORTHO!$B$2:$B$10,MATCH($D354,[1]ORTHO!$D$2:$D$10,0))="","",INDEX([1]ORTHO!$B$2:$B$10,MATCH($D354,[1]ORTHO!$D$2:$D$10,0))),"")</f>
        <v>Waiting for account to get activated again</v>
      </c>
      <c r="C354" s="6">
        <f>IFERROR(IF(INDEX([1]ORTHO!$C$2:$C$10,MATCH($D354,[1]ORTHO!$D$2:$D$10,0))="","",INDEX([1]ORTHO!$C$2:$C$10,MATCH($D354,[1]ORTHO!$D$2:$D$10,0))),"")</f>
        <v>46111</v>
      </c>
      <c r="D354" s="7">
        <v>549178846</v>
      </c>
      <c r="E354" s="8" t="s">
        <v>989</v>
      </c>
      <c r="F354" s="9">
        <v>46045</v>
      </c>
      <c r="G354" s="8" t="s">
        <v>990</v>
      </c>
      <c r="H354" s="8" t="s">
        <v>990</v>
      </c>
      <c r="I354" s="8" t="s">
        <v>69</v>
      </c>
      <c r="J354" s="8" t="s">
        <v>991</v>
      </c>
      <c r="K354" s="6" t="str">
        <f>IFERROR(IF(INDEX([1]ORTHO!$K$2:$K$10,MATCH($D354,[1]ORTHO!$D$2:$D$10,0))="","",INDEX([1]ORTHO!$K$2:$K$10,MATCH($D354,[1]ORTHO!$D$2:$D$10,0))),"")</f>
        <v/>
      </c>
      <c r="L354" s="11" t="str">
        <f ca="1">IF($O354="","",$O354-TODAY())</f>
        <v/>
      </c>
      <c r="M354" s="11"/>
      <c r="N354" s="11"/>
      <c r="O354" s="9"/>
      <c r="P354" s="8"/>
      <c r="Q354" s="8" t="s">
        <v>967</v>
      </c>
      <c r="R354" s="8"/>
      <c r="S354" s="8"/>
      <c r="T354" s="8"/>
      <c r="U354" s="8"/>
      <c r="V354" s="8" t="s">
        <v>75</v>
      </c>
      <c r="W354" s="8" t="s">
        <v>76</v>
      </c>
      <c r="X354" s="8" t="s">
        <v>253</v>
      </c>
      <c r="Y354" s="8" t="s">
        <v>102</v>
      </c>
      <c r="Z354" s="8"/>
      <c r="AA354" s="8" t="s">
        <v>77</v>
      </c>
      <c r="AB354" s="10">
        <v>3516.24</v>
      </c>
      <c r="AC354" s="10">
        <v>0</v>
      </c>
      <c r="AD354" s="10">
        <v>0</v>
      </c>
      <c r="AE354" s="9">
        <v>46111</v>
      </c>
      <c r="AF354" s="10">
        <v>3516.24</v>
      </c>
      <c r="AG354" s="7">
        <v>197</v>
      </c>
      <c r="AH354" s="8" t="s">
        <v>233</v>
      </c>
      <c r="AI354" s="8" t="s">
        <v>79</v>
      </c>
      <c r="AJ354" s="8"/>
      <c r="AK354" s="8"/>
      <c r="AL354" s="7"/>
      <c r="AM354" s="8" t="s">
        <v>168</v>
      </c>
      <c r="AN354" s="8" t="s">
        <v>250</v>
      </c>
      <c r="AO354" s="9">
        <v>46058</v>
      </c>
    </row>
    <row r="355" spans="1:41" x14ac:dyDescent="0.25">
      <c r="A355" s="5" t="str">
        <f>IFERROR(IF(INDEX([1]ORTHO!$A$2:$A$10,MATCH($D355,[1]ORTHO!$D$2:$D$10,0))="","",INDEX([1]ORTHO!$A$2:$A$10,MATCH($D355,[1]ORTHO!$D$2:$D$10,0))),"")</f>
        <v/>
      </c>
      <c r="B355" s="5" t="str">
        <f>IFERROR(IF(INDEX([1]ORTHO!$B$2:$B$10,MATCH($D355,[1]ORTHO!$D$2:$D$10,0))="","",INDEX([1]ORTHO!$B$2:$B$10,MATCH($D355,[1]ORTHO!$D$2:$D$10,0))),"")</f>
        <v/>
      </c>
      <c r="C355" s="6">
        <f>IFERROR(IF(INDEX([1]ORTHO!$C$2:$C$10,MATCH($D355,[1]ORTHO!$D$2:$D$10,0))="","",INDEX([1]ORTHO!$C$2:$C$10,MATCH($D355,[1]ORTHO!$D$2:$D$10,0))),"")</f>
        <v>46177</v>
      </c>
      <c r="D355" s="7">
        <v>557657640</v>
      </c>
      <c r="E355" s="8" t="s">
        <v>992</v>
      </c>
      <c r="F355" s="9">
        <v>46048</v>
      </c>
      <c r="G355" s="8" t="s">
        <v>315</v>
      </c>
      <c r="H355" s="8" t="s">
        <v>315</v>
      </c>
      <c r="I355" s="8" t="s">
        <v>69</v>
      </c>
      <c r="J355" s="8" t="s">
        <v>993</v>
      </c>
      <c r="K355" s="6" t="str">
        <f>IFERROR(IF(INDEX([1]ORTHO!$K$2:$K$10,MATCH($D355,[1]ORTHO!$D$2:$D$10,0))="","",INDEX([1]ORTHO!$K$2:$K$10,MATCH($D355,[1]ORTHO!$D$2:$D$10,0))),"")</f>
        <v/>
      </c>
      <c r="L355" s="11" t="str">
        <f ca="1">IF($O355="","",$O355-TODAY())</f>
        <v/>
      </c>
      <c r="M355" s="11"/>
      <c r="N355" s="11"/>
      <c r="O355" s="9"/>
      <c r="P355" s="8"/>
      <c r="Q355" s="8" t="s">
        <v>967</v>
      </c>
      <c r="R355" s="8"/>
      <c r="S355" s="8"/>
      <c r="T355" s="8"/>
      <c r="U355" s="8"/>
      <c r="V355" s="8" t="s">
        <v>75</v>
      </c>
      <c r="W355" s="8" t="s">
        <v>76</v>
      </c>
      <c r="X355" s="8" t="s">
        <v>994</v>
      </c>
      <c r="Y355" s="8"/>
      <c r="Z355" s="8"/>
      <c r="AA355" s="8" t="s">
        <v>77</v>
      </c>
      <c r="AB355" s="10">
        <v>5784.24</v>
      </c>
      <c r="AC355" s="10">
        <v>0</v>
      </c>
      <c r="AD355" s="10">
        <v>0</v>
      </c>
      <c r="AE355" s="9">
        <v>46177</v>
      </c>
      <c r="AF355" s="10">
        <v>5784.24</v>
      </c>
      <c r="AG355" s="7">
        <v>194</v>
      </c>
      <c r="AH355" s="8" t="s">
        <v>149</v>
      </c>
      <c r="AI355" s="8"/>
      <c r="AJ355" s="8"/>
      <c r="AK355" s="8"/>
      <c r="AL355" s="7"/>
      <c r="AM355" s="8" t="s">
        <v>217</v>
      </c>
      <c r="AN355" s="8" t="s">
        <v>109</v>
      </c>
      <c r="AO355" s="9">
        <v>46079</v>
      </c>
    </row>
    <row r="356" spans="1:41" x14ac:dyDescent="0.25">
      <c r="A356" s="5" t="str">
        <f>IFERROR(IF(INDEX([4]ORTHO!$A$2:$A$21,MATCH($D356,[4]ORTHO!$D$2:$D$21,0))="","",INDEX([4]ORTHO!$A$2:$A$21,MATCH($D356,[4]ORTHO!$D$2:$D$21,0))),"")</f>
        <v>Under Review</v>
      </c>
      <c r="B356" s="5" t="str">
        <f>IFERROR(IF(INDEX([4]ORTHO!$B$2:$B$21,MATCH($D356,[4]ORTHO!$D$2:$D$21,0))="","",INDEX([4]ORTHO!$B$2:$B$21,MATCH($D356,[4]ORTHO!$D$2:$D$21,0))),"")</f>
        <v xml:space="preserve">trying to get access to EOB with imperial </v>
      </c>
      <c r="C356" s="6" t="str">
        <f>IFERROR(IF(INDEX([4]ORTHO!$C$2:$C$21,MATCH($D356,[4]ORTHO!$D$2:$D$21,0))="","",INDEX([4]ORTHO!$C$2:$C$21,MATCH($D356,[4]ORTHO!$D$2:$D$21,0))),"")</f>
        <v/>
      </c>
      <c r="D356" s="7">
        <v>556696226</v>
      </c>
      <c r="E356" s="8" t="s">
        <v>995</v>
      </c>
      <c r="F356" s="9">
        <v>46125</v>
      </c>
      <c r="G356" s="8" t="s">
        <v>996</v>
      </c>
      <c r="H356" s="8" t="s">
        <v>996</v>
      </c>
      <c r="I356" s="8" t="s">
        <v>69</v>
      </c>
      <c r="J356" s="8" t="s">
        <v>997</v>
      </c>
      <c r="K356" s="6" t="str">
        <f>IFERROR(IF(INDEX([4]ORTHO!$K$2:$K$21,MATCH($D356,[4]ORTHO!$D$2:$D$21,0))="","",INDEX([4]ORTHO!$K$2:$K$21,MATCH($D356,[4]ORTHO!$D$2:$D$21,0))),"")</f>
        <v/>
      </c>
      <c r="L356" s="11" t="str">
        <f ca="1">IF($O356="","",$O356-TODAY())</f>
        <v/>
      </c>
      <c r="M356" s="11"/>
      <c r="N356" s="11"/>
      <c r="O356" s="9"/>
      <c r="P356" s="8"/>
      <c r="Q356" s="8" t="s">
        <v>967</v>
      </c>
      <c r="R356" s="8"/>
      <c r="S356" s="8"/>
      <c r="T356" s="8"/>
      <c r="U356" s="8"/>
      <c r="V356" s="8" t="s">
        <v>339</v>
      </c>
      <c r="W356" s="8" t="s">
        <v>76</v>
      </c>
      <c r="X356" s="8" t="s">
        <v>240</v>
      </c>
      <c r="Y356" s="8"/>
      <c r="Z356" s="8"/>
      <c r="AA356" s="8" t="s">
        <v>77</v>
      </c>
      <c r="AB356" s="10">
        <v>9768.43</v>
      </c>
      <c r="AC356" s="10">
        <v>0</v>
      </c>
      <c r="AD356" s="10">
        <v>0</v>
      </c>
      <c r="AE356" s="9"/>
      <c r="AF356" s="10">
        <v>9768.43</v>
      </c>
      <c r="AG356" s="7">
        <v>117</v>
      </c>
      <c r="AH356" s="8" t="s">
        <v>145</v>
      </c>
      <c r="AI356" s="8" t="s">
        <v>79</v>
      </c>
      <c r="AJ356" s="8" t="s">
        <v>241</v>
      </c>
      <c r="AK356" s="8" t="s">
        <v>620</v>
      </c>
      <c r="AL356" s="7"/>
      <c r="AM356" s="8" t="s">
        <v>217</v>
      </c>
      <c r="AN356" s="8" t="s">
        <v>109</v>
      </c>
      <c r="AO356" s="9">
        <v>46133</v>
      </c>
    </row>
    <row r="357" spans="1:41" x14ac:dyDescent="0.25">
      <c r="A357" s="5" t="str">
        <f>IFERROR(IF(INDEX([4]BH!$A$2:$A$12,MATCH($D357,[4]BH!$D$2:$D$12,0))="","",INDEX([4]BH!$A$2:$A$12,MATCH($D357,[4]BH!$D$2:$D$12,0))),"")</f>
        <v>Under Review</v>
      </c>
      <c r="B357" s="5" t="str">
        <f>IFERROR(IF(INDEX([4]BH!$B$2:$B$12,MATCH($D357,[4]BH!$D$2:$D$12,0))="","",INDEX([4]BH!$B$2:$B$12,MATCH($D357,[4]BH!$D$2:$D$12,0))),"")</f>
        <v>Waiting for account to get activated again</v>
      </c>
      <c r="C357" s="6" t="str">
        <f>IFERROR(IF(INDEX([4]BH!$C$2:$C$12,MATCH($D357,[4]BH!$D$2:$D$12,0))="","",INDEX([4]BH!$C$2:$C$12,MATCH($D357,[4]BH!$D$2:$D$12,0))),"")</f>
        <v/>
      </c>
      <c r="D357" s="7">
        <v>556047036</v>
      </c>
      <c r="E357" s="8" t="s">
        <v>998</v>
      </c>
      <c r="F357" s="9">
        <v>46127</v>
      </c>
      <c r="G357" s="8" t="s">
        <v>990</v>
      </c>
      <c r="H357" s="8" t="s">
        <v>990</v>
      </c>
      <c r="I357" s="8" t="s">
        <v>69</v>
      </c>
      <c r="J357" s="8" t="s">
        <v>160</v>
      </c>
      <c r="K357" s="6" t="str">
        <f>IFERROR(IF(INDEX([4]BH!$K$2:$K$12,MATCH($D357,[4]BH!$D$2:$D$12,0))="","",INDEX([4]BH!$K$2:$K$12,MATCH($D357,[4]BH!$D$2:$D$12,0))),"")</f>
        <v/>
      </c>
      <c r="L357" s="11" t="str">
        <f ca="1">IF($O357="","",$O357-TODAY())</f>
        <v/>
      </c>
      <c r="M357" s="11"/>
      <c r="N357" s="11"/>
      <c r="O357" s="9"/>
      <c r="P357" s="8"/>
      <c r="Q357" s="8" t="s">
        <v>967</v>
      </c>
      <c r="R357" s="8"/>
      <c r="S357" s="8"/>
      <c r="T357" s="8"/>
      <c r="U357" s="8"/>
      <c r="V357" s="8" t="s">
        <v>339</v>
      </c>
      <c r="W357" s="8" t="s">
        <v>118</v>
      </c>
      <c r="X357" s="8"/>
      <c r="Y357" s="8"/>
      <c r="Z357" s="8"/>
      <c r="AA357" s="8" t="s">
        <v>77</v>
      </c>
      <c r="AB357" s="10">
        <v>976.64</v>
      </c>
      <c r="AC357" s="10">
        <v>0</v>
      </c>
      <c r="AD357" s="10">
        <v>0</v>
      </c>
      <c r="AE357" s="9"/>
      <c r="AF357" s="10">
        <v>976.64</v>
      </c>
      <c r="AG357" s="7">
        <v>115</v>
      </c>
      <c r="AH357" s="8" t="s">
        <v>161</v>
      </c>
      <c r="AI357" s="8"/>
      <c r="AJ357" s="8"/>
      <c r="AK357" s="8"/>
      <c r="AL357" s="7"/>
      <c r="AM357" s="8" t="s">
        <v>146</v>
      </c>
      <c r="AN357" s="8" t="s">
        <v>158</v>
      </c>
      <c r="AO357" s="9">
        <v>46153</v>
      </c>
    </row>
    <row r="358" spans="1:41" x14ac:dyDescent="0.25">
      <c r="A358" s="5" t="str">
        <f>IFERROR(IF(INDEX([4]ORTHO!$A$2:$A$21,MATCH($D358,[4]ORTHO!$D$2:$D$21,0))="","",INDEX([4]ORTHO!$A$2:$A$21,MATCH($D358,[4]ORTHO!$D$2:$D$21,0))),"")</f>
        <v>Under Review</v>
      </c>
      <c r="B358" s="5" t="str">
        <f>IFERROR(IF(INDEX([4]ORTHO!$B$2:$B$21,MATCH($D358,[4]ORTHO!$D$2:$D$21,0))="","",INDEX([4]ORTHO!$B$2:$B$21,MATCH($D358,[4]ORTHO!$D$2:$D$21,0))),"")</f>
        <v>no access</v>
      </c>
      <c r="C358" s="6" t="str">
        <f>IFERROR(IF(INDEX([4]ORTHO!$C$2:$C$21,MATCH($D358,[4]ORTHO!$D$2:$D$21,0))="","",INDEX([4]ORTHO!$C$2:$C$21,MATCH($D358,[4]ORTHO!$D$2:$D$21,0))),"")</f>
        <v/>
      </c>
      <c r="D358" s="7">
        <v>556723206</v>
      </c>
      <c r="E358" s="8" t="s">
        <v>999</v>
      </c>
      <c r="F358" s="9">
        <v>46127</v>
      </c>
      <c r="G358" s="8" t="s">
        <v>1000</v>
      </c>
      <c r="H358" s="8" t="s">
        <v>1000</v>
      </c>
      <c r="I358" s="8" t="s">
        <v>69</v>
      </c>
      <c r="J358" s="8" t="s">
        <v>219</v>
      </c>
      <c r="K358" s="6" t="str">
        <f>IFERROR(IF(INDEX([4]ORTHO!$K$2:$K$21,MATCH($D358,[4]ORTHO!$D$2:$D$21,0))="","",INDEX([4]ORTHO!$K$2:$K$21,MATCH($D358,[4]ORTHO!$D$2:$D$21,0))),"")</f>
        <v/>
      </c>
      <c r="L358" s="11" t="str">
        <f ca="1">IF($O358="","",$O358-TODAY())</f>
        <v/>
      </c>
      <c r="M358" s="11"/>
      <c r="N358" s="11"/>
      <c r="O358" s="9"/>
      <c r="P358" s="8"/>
      <c r="Q358" s="8" t="s">
        <v>967</v>
      </c>
      <c r="R358" s="8"/>
      <c r="S358" s="8"/>
      <c r="T358" s="8"/>
      <c r="U358" s="8"/>
      <c r="V358" s="8" t="s">
        <v>339</v>
      </c>
      <c r="W358" s="8" t="s">
        <v>76</v>
      </c>
      <c r="X358" s="8"/>
      <c r="Y358" s="8"/>
      <c r="Z358" s="8"/>
      <c r="AA358" s="8" t="s">
        <v>77</v>
      </c>
      <c r="AB358" s="10">
        <v>9056.39</v>
      </c>
      <c r="AC358" s="10">
        <v>0</v>
      </c>
      <c r="AD358" s="10">
        <v>0</v>
      </c>
      <c r="AE358" s="9"/>
      <c r="AF358" s="10">
        <v>9056.39</v>
      </c>
      <c r="AG358" s="7">
        <v>115</v>
      </c>
      <c r="AH358" s="8" t="s">
        <v>249</v>
      </c>
      <c r="AI358" s="8" t="s">
        <v>324</v>
      </c>
      <c r="AJ358" s="8" t="s">
        <v>451</v>
      </c>
      <c r="AK358" s="8" t="s">
        <v>241</v>
      </c>
      <c r="AL358" s="7"/>
      <c r="AM358" s="8" t="s">
        <v>272</v>
      </c>
      <c r="AN358" s="8" t="s">
        <v>109</v>
      </c>
      <c r="AO358" s="9">
        <v>46164</v>
      </c>
    </row>
    <row r="359" spans="1:41" x14ac:dyDescent="0.25">
      <c r="A359" s="5" t="str">
        <f>IFERROR(IF(INDEX([4]DME!$A$2:$A$34,MATCH($D359,[4]DME!$D$2:$D$34,0))="","",INDEX([4]DME!$A$2:$A$34,MATCH($D359,[4]DME!$D$2:$D$34,0))),"")</f>
        <v>Under Review</v>
      </c>
      <c r="B359" s="5" t="str">
        <f>IFERROR(IF(INDEX([4]DME!$B$2:$B$34,MATCH($D359,[4]DME!$D$2:$D$34,0))="","",INDEX([4]DME!$B$2:$B$34,MATCH($D359,[4]DME!$D$2:$D$34,0))),"")</f>
        <v>Waiting for account to get activated again</v>
      </c>
      <c r="C359" s="6" t="str">
        <f>IFERROR(IF(INDEX([4]DME!$C$2:$C$34,MATCH($D359,[4]DME!$D$2:$D$34,0))="","",INDEX([4]DME!$C$2:$C$34,MATCH($D359,[4]DME!$D$2:$D$34,0))),"")</f>
        <v/>
      </c>
      <c r="D359" s="7">
        <v>557846752</v>
      </c>
      <c r="E359" s="8" t="s">
        <v>1001</v>
      </c>
      <c r="F359" s="9">
        <v>46133</v>
      </c>
      <c r="G359" s="8" t="s">
        <v>990</v>
      </c>
      <c r="H359" s="8" t="s">
        <v>990</v>
      </c>
      <c r="I359" s="8" t="s">
        <v>69</v>
      </c>
      <c r="J359" s="8" t="s">
        <v>730</v>
      </c>
      <c r="K359" s="6" t="str">
        <f>IFERROR(IF(INDEX([4]DME!$K$2:$K$34,MATCH($D359,[4]DME!$D$2:$D$34,0))="","",INDEX([4]DME!$K$2:$K$34,MATCH($D359,[4]DME!$D$2:$D$34,0))),"")</f>
        <v/>
      </c>
      <c r="L359" s="11" t="str">
        <f ca="1">IF($O359="","",$O359-TODAY())</f>
        <v/>
      </c>
      <c r="M359" s="11"/>
      <c r="N359" s="11"/>
      <c r="O359" s="9"/>
      <c r="P359" s="8"/>
      <c r="Q359" s="8" t="s">
        <v>967</v>
      </c>
      <c r="R359" s="8"/>
      <c r="S359" s="8"/>
      <c r="T359" s="8"/>
      <c r="U359" s="8"/>
      <c r="V359" s="8" t="s">
        <v>339</v>
      </c>
      <c r="W359" s="8" t="s">
        <v>89</v>
      </c>
      <c r="X359" s="8" t="s">
        <v>232</v>
      </c>
      <c r="Y359" s="8"/>
      <c r="Z359" s="8"/>
      <c r="AA359" s="8" t="s">
        <v>77</v>
      </c>
      <c r="AB359" s="10">
        <v>5320.49</v>
      </c>
      <c r="AC359" s="10">
        <v>0</v>
      </c>
      <c r="AD359" s="10">
        <v>0</v>
      </c>
      <c r="AE359" s="9"/>
      <c r="AF359" s="10">
        <v>5320.49</v>
      </c>
      <c r="AG359" s="7">
        <v>109</v>
      </c>
      <c r="AH359" s="8" t="s">
        <v>149</v>
      </c>
      <c r="AI359" s="8" t="s">
        <v>498</v>
      </c>
      <c r="AJ359" s="8" t="s">
        <v>92</v>
      </c>
      <c r="AK359" s="8"/>
      <c r="AL359" s="7"/>
      <c r="AM359" s="8" t="s">
        <v>543</v>
      </c>
      <c r="AN359" s="8" t="s">
        <v>158</v>
      </c>
      <c r="AO359" s="9">
        <v>46153</v>
      </c>
    </row>
    <row r="360" spans="1:41" x14ac:dyDescent="0.25">
      <c r="A360" s="5" t="str">
        <f>IFERROR(IF(INDEX([4]DME!$A$2:$A$34,MATCH($D360,[4]DME!$D$2:$D$34,0))="","",INDEX([4]DME!$A$2:$A$34,MATCH($D360,[4]DME!$D$2:$D$34,0))),"")</f>
        <v>Under Review</v>
      </c>
      <c r="B360" s="5" t="str">
        <f>IFERROR(IF(INDEX([4]DME!$B$2:$B$34,MATCH($D360,[4]DME!$D$2:$D$34,0))="","",INDEX([4]DME!$B$2:$B$34,MATCH($D360,[4]DME!$D$2:$D$34,0))),"")</f>
        <v>Waiting for account to get activated again</v>
      </c>
      <c r="C360" s="6" t="str">
        <f>IFERROR(IF(INDEX([4]DME!$C$2:$C$34,MATCH($D360,[4]DME!$D$2:$D$34,0))="","",INDEX([4]DME!$C$2:$C$34,MATCH($D360,[4]DME!$D$2:$D$34,0))),"")</f>
        <v/>
      </c>
      <c r="D360" s="7">
        <v>562031529</v>
      </c>
      <c r="E360" s="8" t="s">
        <v>1002</v>
      </c>
      <c r="F360" s="9">
        <v>46133</v>
      </c>
      <c r="G360" s="8" t="s">
        <v>990</v>
      </c>
      <c r="H360" s="8" t="s">
        <v>990</v>
      </c>
      <c r="I360" s="8" t="s">
        <v>69</v>
      </c>
      <c r="J360" s="8" t="s">
        <v>649</v>
      </c>
      <c r="K360" s="6" t="str">
        <f>IFERROR(IF(INDEX([4]DME!$K$2:$K$34,MATCH($D360,[4]DME!$D$2:$D$34,0))="","",INDEX([4]DME!$K$2:$K$34,MATCH($D360,[4]DME!$D$2:$D$34,0))),"")</f>
        <v/>
      </c>
      <c r="L360" s="11" t="str">
        <f ca="1">IF($O360="","",$O360-TODAY())</f>
        <v/>
      </c>
      <c r="M360" s="11"/>
      <c r="N360" s="11"/>
      <c r="O360" s="9"/>
      <c r="P360" s="8"/>
      <c r="Q360" s="8" t="s">
        <v>967</v>
      </c>
      <c r="R360" s="8"/>
      <c r="S360" s="8"/>
      <c r="T360" s="8"/>
      <c r="U360" s="8"/>
      <c r="V360" s="8" t="s">
        <v>339</v>
      </c>
      <c r="W360" s="8" t="s">
        <v>89</v>
      </c>
      <c r="X360" s="8" t="s">
        <v>232</v>
      </c>
      <c r="Y360" s="8"/>
      <c r="Z360" s="8"/>
      <c r="AA360" s="8" t="s">
        <v>77</v>
      </c>
      <c r="AB360" s="10">
        <v>6392.96</v>
      </c>
      <c r="AC360" s="10">
        <v>0</v>
      </c>
      <c r="AD360" s="10">
        <v>0</v>
      </c>
      <c r="AE360" s="9"/>
      <c r="AF360" s="10">
        <v>6392.96</v>
      </c>
      <c r="AG360" s="7">
        <v>109</v>
      </c>
      <c r="AH360" s="8" t="s">
        <v>324</v>
      </c>
      <c r="AI360" s="8"/>
      <c r="AJ360" s="8"/>
      <c r="AK360" s="8"/>
      <c r="AL360" s="7"/>
      <c r="AM360" s="8" t="s">
        <v>520</v>
      </c>
      <c r="AN360" s="8" t="s">
        <v>198</v>
      </c>
      <c r="AO360" s="9">
        <v>46140</v>
      </c>
    </row>
    <row r="361" spans="1:41" x14ac:dyDescent="0.25">
      <c r="A361" s="5" t="str">
        <f>IFERROR(IF(INDEX([4]US!$A$2:$A$23,MATCH($D361,[4]US!$D$2:$D$23,0))="","",INDEX([4]US!$A$2:$A$23,MATCH($D361,[4]US!$D$2:$D$23,0))),"")</f>
        <v>Under Review</v>
      </c>
      <c r="B361" s="5" t="str">
        <f>IFERROR(IF(INDEX([4]US!$B$2:$B$23,MATCH($D361,[4]US!$D$2:$D$23,0))="","",INDEX([4]US!$B$2:$B$23,MATCH($D361,[4]US!$D$2:$D$23,0))),"")</f>
        <v xml:space="preserve">Waiting for Bri's reply - Juan sent MR to me </v>
      </c>
      <c r="C361" s="6">
        <f>IFERROR(IF(INDEX([4]US!$C$2:$C$23,MATCH($D361,[4]US!$D$2:$D$23,0))="","",INDEX([4]US!$C$2:$C$23,MATCH($D361,[4]US!$D$2:$D$23,0))),"")</f>
        <v>46157</v>
      </c>
      <c r="D361" s="7">
        <v>557575573</v>
      </c>
      <c r="E361" s="8" t="s">
        <v>1003</v>
      </c>
      <c r="F361" s="9">
        <v>46134</v>
      </c>
      <c r="G361" s="8" t="s">
        <v>969</v>
      </c>
      <c r="H361" s="8" t="s">
        <v>969</v>
      </c>
      <c r="I361" s="8" t="s">
        <v>69</v>
      </c>
      <c r="J361" s="8" t="s">
        <v>128</v>
      </c>
      <c r="K361" s="6" t="str">
        <f>IFERROR(IF(INDEX([4]US!$K$2:$K$23,MATCH($D361,[4]US!$D$2:$D$23,0))="","",INDEX([4]US!$K$2:$K$23,MATCH($D361,[4]US!$D$2:$D$23,0))),"")</f>
        <v/>
      </c>
      <c r="L361" s="11" t="str">
        <f ca="1">IF($O361="","",$O361-TODAY())</f>
        <v/>
      </c>
      <c r="M361" s="11"/>
      <c r="N361" s="11">
        <f ca="1">IF(AND(TRIM($A361)="Finalized",$K361&lt;&gt;""),"",IF($C361="","",$C361+180-TODAY()))</f>
        <v>33</v>
      </c>
      <c r="O361" s="9"/>
      <c r="P361" s="8"/>
      <c r="Q361" s="8" t="s">
        <v>970</v>
      </c>
      <c r="R361" s="8"/>
      <c r="S361" s="8"/>
      <c r="T361" s="8" t="s">
        <v>117</v>
      </c>
      <c r="U361" s="8" t="s">
        <v>74</v>
      </c>
      <c r="V361" s="8" t="s">
        <v>339</v>
      </c>
      <c r="W361" s="8" t="s">
        <v>129</v>
      </c>
      <c r="X361" s="8"/>
      <c r="Y361" s="8"/>
      <c r="Z361" s="8"/>
      <c r="AA361" s="8" t="s">
        <v>77</v>
      </c>
      <c r="AB361" s="10">
        <v>1649.2</v>
      </c>
      <c r="AC361" s="10">
        <v>0</v>
      </c>
      <c r="AD361" s="10">
        <v>0</v>
      </c>
      <c r="AE361" s="9">
        <v>46157</v>
      </c>
      <c r="AF361" s="10">
        <v>1649.2</v>
      </c>
      <c r="AG361" s="7">
        <v>108</v>
      </c>
      <c r="AH361" s="8" t="s">
        <v>139</v>
      </c>
      <c r="AI361" s="8" t="s">
        <v>138</v>
      </c>
      <c r="AJ361" s="8" t="s">
        <v>309</v>
      </c>
      <c r="AK361" s="8"/>
      <c r="AL361" s="7"/>
      <c r="AM361" s="8" t="s">
        <v>165</v>
      </c>
      <c r="AN361" s="8" t="s">
        <v>95</v>
      </c>
      <c r="AO361" s="9">
        <v>46141</v>
      </c>
    </row>
    <row r="362" spans="1:41" x14ac:dyDescent="0.25">
      <c r="A362" s="5" t="str">
        <f>IFERROR(IF(INDEX([4]BH!$A$2:$A$12,MATCH($D362,[4]BH!$D$2:$D$12,0))="","",INDEX([4]BH!$A$2:$A$12,MATCH($D362,[4]BH!$D$2:$D$12,0))),"")</f>
        <v>Under Review</v>
      </c>
      <c r="B362" s="5" t="str">
        <f>IFERROR(IF(INDEX([4]BH!$B$2:$B$12,MATCH($D362,[4]BH!$D$2:$D$12,0))="","",INDEX([4]BH!$B$2:$B$12,MATCH($D362,[4]BH!$D$2:$D$12,0))),"")</f>
        <v>Waiting for account to get activated again</v>
      </c>
      <c r="C362" s="6" t="str">
        <f>IFERROR(IF(INDEX([4]BH!$C$2:$C$12,MATCH($D362,[4]BH!$D$2:$D$12,0))="","",INDEX([4]BH!$C$2:$C$12,MATCH($D362,[4]BH!$D$2:$D$12,0))),"")</f>
        <v/>
      </c>
      <c r="D362" s="7">
        <v>557578390</v>
      </c>
      <c r="E362" s="8" t="s">
        <v>1004</v>
      </c>
      <c r="F362" s="9">
        <v>46141</v>
      </c>
      <c r="G362" s="8" t="s">
        <v>990</v>
      </c>
      <c r="H362" s="8" t="s">
        <v>990</v>
      </c>
      <c r="I362" s="8" t="s">
        <v>69</v>
      </c>
      <c r="J362" s="8" t="s">
        <v>124</v>
      </c>
      <c r="K362" s="6" t="str">
        <f>IFERROR(IF(INDEX([4]BH!$K$2:$K$12,MATCH($D362,[4]BH!$D$2:$D$12,0))="","",INDEX([4]BH!$K$2:$K$12,MATCH($D362,[4]BH!$D$2:$D$12,0))),"")</f>
        <v/>
      </c>
      <c r="L362" s="11" t="str">
        <f ca="1">IF($O362="","",$O362-TODAY())</f>
        <v/>
      </c>
      <c r="M362" s="11"/>
      <c r="N362" s="11"/>
      <c r="O362" s="9"/>
      <c r="P362" s="8"/>
      <c r="Q362" s="8" t="s">
        <v>967</v>
      </c>
      <c r="R362" s="8"/>
      <c r="S362" s="8"/>
      <c r="T362" s="8"/>
      <c r="U362" s="8"/>
      <c r="V362" s="8" t="s">
        <v>339</v>
      </c>
      <c r="W362" s="8" t="s">
        <v>118</v>
      </c>
      <c r="X362" s="8"/>
      <c r="Y362" s="8"/>
      <c r="Z362" s="8"/>
      <c r="AA362" s="8" t="s">
        <v>77</v>
      </c>
      <c r="AB362" s="10">
        <v>1426.25</v>
      </c>
      <c r="AC362" s="10">
        <v>0</v>
      </c>
      <c r="AD362" s="10">
        <v>0</v>
      </c>
      <c r="AE362" s="9"/>
      <c r="AF362" s="10">
        <v>1426.25</v>
      </c>
      <c r="AG362" s="7">
        <v>101</v>
      </c>
      <c r="AH362" s="8" t="s">
        <v>276</v>
      </c>
      <c r="AI362" s="8"/>
      <c r="AJ362" s="8"/>
      <c r="AK362" s="8"/>
      <c r="AL362" s="7"/>
      <c r="AM362" s="8" t="s">
        <v>157</v>
      </c>
      <c r="AN362" s="8" t="s">
        <v>158</v>
      </c>
      <c r="AO362" s="9">
        <v>46153</v>
      </c>
    </row>
    <row r="363" spans="1:41" x14ac:dyDescent="0.25">
      <c r="A363" s="5" t="str">
        <f>IFERROR(IF(INDEX([5]ORTHO!$A$2:$A$24,MATCH($D363,[5]ORTHO!$D$2:$D$24,0))="","",INDEX([5]ORTHO!$A$2:$A$24,MATCH($D363,[5]ORTHO!$D$2:$D$24,0))),"")</f>
        <v>PAID</v>
      </c>
      <c r="B363" s="5" t="str">
        <f>IFERROR(IF(INDEX([5]ORTHO!$B$2:$B$24,MATCH($D363,[5]ORTHO!$D$2:$D$24,0))="","",INDEX([5]ORTHO!$B$2:$B$24,MATCH($D363,[5]ORTHO!$D$2:$D$24,0))),"")</f>
        <v>PENDING POSTING</v>
      </c>
      <c r="C363" s="6">
        <f>IFERROR(IF(INDEX([5]ORTHO!$C$2:$C$24,MATCH($D363,[5]ORTHO!$D$2:$D$24,0))="","",INDEX([5]ORTHO!$C$2:$C$24,MATCH($D363,[5]ORTHO!$D$2:$D$24,0))),"")</f>
        <v>46168</v>
      </c>
      <c r="D363" s="7">
        <v>558845008</v>
      </c>
      <c r="E363" s="8" t="s">
        <v>979</v>
      </c>
      <c r="F363" s="9">
        <v>46146</v>
      </c>
      <c r="G363" s="8" t="s">
        <v>966</v>
      </c>
      <c r="H363" s="8" t="s">
        <v>966</v>
      </c>
      <c r="I363" s="8" t="s">
        <v>69</v>
      </c>
      <c r="J363" s="8" t="s">
        <v>905</v>
      </c>
      <c r="K363" s="6" t="str">
        <f>IFERROR(IF(INDEX([5]ORTHO!$K$2:$K$24,MATCH($D363,[5]ORTHO!$D$2:$D$24,0))="","",INDEX([5]ORTHO!$K$2:$K$24,MATCH($D363,[5]ORTHO!$D$2:$D$24,0))),"")</f>
        <v/>
      </c>
      <c r="L363" s="11" t="str">
        <f ca="1">IF($O363="","",$O363-TODAY())</f>
        <v/>
      </c>
      <c r="M363" s="11"/>
      <c r="N363" s="11"/>
      <c r="O363" s="9"/>
      <c r="P363" s="8"/>
      <c r="Q363" s="8" t="s">
        <v>967</v>
      </c>
      <c r="R363" s="8"/>
      <c r="S363" s="8"/>
      <c r="T363" s="8"/>
      <c r="U363" s="8"/>
      <c r="V363" s="8" t="s">
        <v>365</v>
      </c>
      <c r="W363" s="8" t="s">
        <v>76</v>
      </c>
      <c r="X363" s="8" t="s">
        <v>103</v>
      </c>
      <c r="Y363" s="8"/>
      <c r="Z363" s="8"/>
      <c r="AA363" s="8" t="s">
        <v>77</v>
      </c>
      <c r="AB363" s="10">
        <v>5614.63</v>
      </c>
      <c r="AC363" s="10">
        <v>0</v>
      </c>
      <c r="AD363" s="10">
        <v>0</v>
      </c>
      <c r="AE363" s="9"/>
      <c r="AF363" s="10">
        <v>5614.63</v>
      </c>
      <c r="AG363" s="7">
        <v>96</v>
      </c>
      <c r="AH363" s="8" t="s">
        <v>182</v>
      </c>
      <c r="AI363" s="8"/>
      <c r="AJ363" s="8"/>
      <c r="AK363" s="8"/>
      <c r="AL363" s="7"/>
      <c r="AM363" s="8" t="s">
        <v>543</v>
      </c>
      <c r="AN363" s="8" t="s">
        <v>81</v>
      </c>
      <c r="AO363" s="9">
        <v>46155</v>
      </c>
    </row>
    <row r="364" spans="1:41" x14ac:dyDescent="0.25">
      <c r="A364" s="5" t="str">
        <f>IFERROR(IF(INDEX([5]BH!$A$2:$A$33,MATCH($D364,[5]BH!$D$2:$D$33,0))="","",INDEX([5]BH!$A$2:$A$33,MATCH($D364,[5]BH!$D$2:$D$33,0))),"")</f>
        <v>Under Review</v>
      </c>
      <c r="B364" s="5" t="str">
        <f>IFERROR(IF(INDEX([5]BH!$B$2:$B$33,MATCH($D364,[5]BH!$D$2:$D$33,0))="","",INDEX([5]BH!$B$2:$B$33,MATCH($D364,[5]BH!$D$2:$D$33,0))),"")</f>
        <v>Waiting for account to get activated again</v>
      </c>
      <c r="C364" s="6" t="str">
        <f>IFERROR(IF(INDEX([5]BH!$C$2:$C$33,MATCH($D364,[5]BH!$D$2:$D$33,0))="","",INDEX([5]BH!$C$2:$C$33,MATCH($D364,[5]BH!$D$2:$D$33,0))),"")</f>
        <v/>
      </c>
      <c r="D364" s="7">
        <v>558642005</v>
      </c>
      <c r="E364" s="8" t="s">
        <v>1005</v>
      </c>
      <c r="F364" s="9">
        <v>46150</v>
      </c>
      <c r="G364" s="8" t="s">
        <v>990</v>
      </c>
      <c r="H364" s="8" t="s">
        <v>990</v>
      </c>
      <c r="I364" s="8" t="s">
        <v>69</v>
      </c>
      <c r="J364" s="8" t="s">
        <v>333</v>
      </c>
      <c r="K364" s="6" t="str">
        <f>IFERROR(IF(INDEX([5]BH!$K$2:$K$33,MATCH($D364,[5]BH!$D$2:$D$33,0))="","",INDEX([5]BH!$K$2:$K$33,MATCH($D364,[5]BH!$D$2:$D$33,0))),"")</f>
        <v/>
      </c>
      <c r="L364" s="11" t="str">
        <f ca="1">IF($O364="","",$O364-TODAY())</f>
        <v/>
      </c>
      <c r="M364" s="11"/>
      <c r="N364" s="11"/>
      <c r="O364" s="9"/>
      <c r="P364" s="8"/>
      <c r="Q364" s="8" t="s">
        <v>967</v>
      </c>
      <c r="R364" s="8"/>
      <c r="S364" s="8"/>
      <c r="T364" s="8"/>
      <c r="U364" s="8"/>
      <c r="V364" s="8" t="s">
        <v>365</v>
      </c>
      <c r="W364" s="8" t="s">
        <v>118</v>
      </c>
      <c r="X364" s="8"/>
      <c r="Y364" s="8"/>
      <c r="Z364" s="8"/>
      <c r="AA364" s="8" t="s">
        <v>77</v>
      </c>
      <c r="AB364" s="10">
        <v>1029.98</v>
      </c>
      <c r="AC364" s="10">
        <v>0</v>
      </c>
      <c r="AD364" s="10">
        <v>0</v>
      </c>
      <c r="AE364" s="9"/>
      <c r="AF364" s="10">
        <v>1029.98</v>
      </c>
      <c r="AG364" s="7">
        <v>92</v>
      </c>
      <c r="AH364" s="8" t="s">
        <v>161</v>
      </c>
      <c r="AI364" s="8"/>
      <c r="AJ364" s="8"/>
      <c r="AK364" s="8"/>
      <c r="AL364" s="7"/>
      <c r="AM364" s="8" t="s">
        <v>80</v>
      </c>
      <c r="AN364" s="8" t="s">
        <v>158</v>
      </c>
      <c r="AO364" s="9">
        <v>46188</v>
      </c>
    </row>
    <row r="365" spans="1:41" x14ac:dyDescent="0.25">
      <c r="A365" s="5" t="str">
        <f>IFERROR(IF(INDEX([5]GAE!$A$2:$A$7,MATCH($D365,[5]GAE!$D$2:$D$7,0))="","",INDEX([5]GAE!$A$2:$A$7,MATCH($D365,[5]GAE!$D$2:$D$7,0))),"")</f>
        <v>Under Review</v>
      </c>
      <c r="B365" s="5" t="str">
        <f>IFERROR(IF(INDEX([5]GAE!$B$2:$B$7,MATCH($D365,[5]GAE!$D$2:$D$7,0))="","",INDEX([5]GAE!$B$2:$B$7,MATCH($D365,[5]GAE!$D$2:$D$7,0))),"")</f>
        <v>Waiting for account to get activated again</v>
      </c>
      <c r="C365" s="6" t="str">
        <f>IFERROR(IF(INDEX([5]GAE!$C$2:$C$7,MATCH($D365,[5]GAE!$D$2:$D$7,0))="","",INDEX([5]GAE!$C$2:$C$7,MATCH($D365,[5]GAE!$D$2:$D$7,0))),"")</f>
        <v/>
      </c>
      <c r="D365" s="7">
        <v>561650514</v>
      </c>
      <c r="E365" s="8" t="s">
        <v>1006</v>
      </c>
      <c r="F365" s="9">
        <v>46153</v>
      </c>
      <c r="G365" s="8" t="s">
        <v>990</v>
      </c>
      <c r="H365" s="8" t="s">
        <v>990</v>
      </c>
      <c r="I365" s="8" t="s">
        <v>69</v>
      </c>
      <c r="J365" s="8" t="s">
        <v>1007</v>
      </c>
      <c r="K365" s="6" t="str">
        <f>IFERROR(IF(INDEX([5]GAE!$K$2:$K$7,MATCH($D365,[5]GAE!$D$2:$D$7,0))="","",INDEX([5]GAE!$K$2:$K$7,MATCH($D365,[5]GAE!$D$2:$D$7,0))),"")</f>
        <v/>
      </c>
      <c r="L365" s="11" t="str">
        <f ca="1">IF($O365="","",$O365-TODAY())</f>
        <v/>
      </c>
      <c r="M365" s="11"/>
      <c r="N365" s="11"/>
      <c r="O365" s="9"/>
      <c r="P365" s="8"/>
      <c r="Q365" s="8" t="s">
        <v>967</v>
      </c>
      <c r="R365" s="8"/>
      <c r="S365" s="8"/>
      <c r="T365" s="8"/>
      <c r="U365" s="8"/>
      <c r="V365" s="8" t="s">
        <v>365</v>
      </c>
      <c r="W365" s="8" t="s">
        <v>101</v>
      </c>
      <c r="X365" s="8" t="s">
        <v>257</v>
      </c>
      <c r="Y365" s="8" t="s">
        <v>258</v>
      </c>
      <c r="Z365" s="8" t="s">
        <v>103</v>
      </c>
      <c r="AA365" s="8" t="s">
        <v>1008</v>
      </c>
      <c r="AB365" s="10">
        <v>69078.8</v>
      </c>
      <c r="AC365" s="10">
        <v>0</v>
      </c>
      <c r="AD365" s="10">
        <v>0</v>
      </c>
      <c r="AE365" s="9"/>
      <c r="AF365" s="10">
        <v>69078.8</v>
      </c>
      <c r="AG365" s="7">
        <v>89</v>
      </c>
      <c r="AH365" s="8" t="s">
        <v>105</v>
      </c>
      <c r="AI365" s="8" t="s">
        <v>106</v>
      </c>
      <c r="AJ365" s="8" t="s">
        <v>107</v>
      </c>
      <c r="AK365" s="8"/>
      <c r="AL365" s="7"/>
      <c r="AM365" s="8" t="s">
        <v>108</v>
      </c>
      <c r="AN365" s="8" t="s">
        <v>109</v>
      </c>
      <c r="AO365" s="9">
        <v>46182</v>
      </c>
    </row>
    <row r="366" spans="1:41" x14ac:dyDescent="0.25">
      <c r="A366" s="5" t="str">
        <f>IFERROR(IF(INDEX([5]BH!$A$2:$A$33,MATCH($D366,[5]BH!$D$2:$D$33,0))="","",INDEX([5]BH!$A$2:$A$33,MATCH($D366,[5]BH!$D$2:$D$33,0))),"")</f>
        <v>Under Review</v>
      </c>
      <c r="B366" s="5" t="str">
        <f>IFERROR(IF(INDEX([5]BH!$B$2:$B$33,MATCH($D366,[5]BH!$D$2:$D$33,0))="","",INDEX([5]BH!$B$2:$B$33,MATCH($D366,[5]BH!$D$2:$D$33,0))),"")</f>
        <v>Waiting for account to get activated again</v>
      </c>
      <c r="C366" s="6" t="str">
        <f>IFERROR(IF(INDEX([5]BH!$C$2:$C$33,MATCH($D366,[5]BH!$D$2:$D$33,0))="","",INDEX([5]BH!$C$2:$C$33,MATCH($D366,[5]BH!$D$2:$D$33,0))),"")</f>
        <v/>
      </c>
      <c r="D366" s="7">
        <v>560692149</v>
      </c>
      <c r="E366" s="8" t="s">
        <v>1001</v>
      </c>
      <c r="F366" s="9">
        <v>46171</v>
      </c>
      <c r="G366" s="8" t="s">
        <v>990</v>
      </c>
      <c r="H366" s="8" t="s">
        <v>990</v>
      </c>
      <c r="I366" s="8" t="s">
        <v>69</v>
      </c>
      <c r="J366" s="8" t="s">
        <v>333</v>
      </c>
      <c r="K366" s="6" t="str">
        <f>IFERROR(IF(INDEX([5]BH!$K$2:$K$33,MATCH($D366,[5]BH!$D$2:$D$33,0))="","",INDEX([5]BH!$K$2:$K$33,MATCH($D366,[5]BH!$D$2:$D$33,0))),"")</f>
        <v/>
      </c>
      <c r="L366" s="11" t="str">
        <f ca="1">IF($O366="","",$O366-TODAY())</f>
        <v/>
      </c>
      <c r="M366" s="11"/>
      <c r="N366" s="11"/>
      <c r="O366" s="9"/>
      <c r="P366" s="8"/>
      <c r="Q366" s="8" t="s">
        <v>967</v>
      </c>
      <c r="R366" s="8"/>
      <c r="S366" s="8"/>
      <c r="T366" s="8"/>
      <c r="U366" s="8"/>
      <c r="V366" s="8" t="s">
        <v>365</v>
      </c>
      <c r="W366" s="8" t="s">
        <v>118</v>
      </c>
      <c r="X366" s="8"/>
      <c r="Y366" s="8"/>
      <c r="Z366" s="8"/>
      <c r="AA366" s="8" t="s">
        <v>77</v>
      </c>
      <c r="AB366" s="10">
        <v>1029.98</v>
      </c>
      <c r="AC366" s="10">
        <v>0</v>
      </c>
      <c r="AD366" s="10">
        <v>0</v>
      </c>
      <c r="AE366" s="9"/>
      <c r="AF366" s="10">
        <v>1029.98</v>
      </c>
      <c r="AG366" s="7">
        <v>71</v>
      </c>
      <c r="AH366" s="8" t="s">
        <v>161</v>
      </c>
      <c r="AI366" s="8"/>
      <c r="AJ366" s="8"/>
      <c r="AK366" s="8"/>
      <c r="AL366" s="7"/>
      <c r="AM366" s="8" t="s">
        <v>157</v>
      </c>
      <c r="AN366" s="8" t="s">
        <v>158</v>
      </c>
      <c r="AO366" s="9">
        <v>46182</v>
      </c>
    </row>
    <row r="367" spans="1:41" x14ac:dyDescent="0.25">
      <c r="A367" s="5" t="str">
        <f>IFERROR(IF(INDEX([6]BH!$A$2:$A$82,MATCH($D367,[6]BH!$D$2:$D$82,0))="","",INDEX([6]BH!$A$2:$A$82,MATCH($D367,[6]BH!$D$2:$D$82,0))),"")</f>
        <v/>
      </c>
      <c r="B367" s="5" t="str">
        <f>IFERROR(IF(INDEX([6]BH!$B$2:$B$82,MATCH($D367,[6]BH!$D$2:$D$82,0))="","",INDEX([6]BH!$B$2:$B$82,MATCH($D367,[6]BH!$D$2:$D$82,0))),"")</f>
        <v/>
      </c>
      <c r="C367" s="6" t="str">
        <f>IFERROR(IF(INDEX([6]BH!$C$2:$C$82,MATCH($D367,[6]BH!$D$2:$D$82,0))="","",INDEX([6]BH!$C$2:$C$82,MATCH($D367,[6]BH!$D$2:$D$82,0))),"")</f>
        <v/>
      </c>
      <c r="D367" s="7">
        <v>561024208</v>
      </c>
      <c r="E367" s="8" t="s">
        <v>1009</v>
      </c>
      <c r="F367" s="9">
        <v>46175</v>
      </c>
      <c r="G367" s="8" t="s">
        <v>315</v>
      </c>
      <c r="H367" s="8" t="s">
        <v>315</v>
      </c>
      <c r="I367" s="8" t="s">
        <v>69</v>
      </c>
      <c r="J367" s="8" t="s">
        <v>1010</v>
      </c>
      <c r="K367" s="6" t="str">
        <f>IFERROR(IF(INDEX([6]BH!$K$2:$K$82,MATCH($D367,[6]BH!$D$2:$D$82,0))="","",INDEX([6]BH!$K$2:$K$82,MATCH($D367,[6]BH!$D$2:$D$82,0))),"")</f>
        <v/>
      </c>
      <c r="L367" s="11" t="str">
        <f ca="1">IF($O367="","",$O367-TODAY())</f>
        <v/>
      </c>
      <c r="M367" s="11"/>
      <c r="N367" s="11"/>
      <c r="O367" s="9"/>
      <c r="P367" s="8"/>
      <c r="Q367" s="8" t="s">
        <v>967</v>
      </c>
      <c r="R367" s="8"/>
      <c r="S367" s="8"/>
      <c r="T367" s="8"/>
      <c r="U367" s="8"/>
      <c r="V367" s="8" t="s">
        <v>455</v>
      </c>
      <c r="W367" s="8" t="s">
        <v>118</v>
      </c>
      <c r="X367" s="8" t="s">
        <v>1011</v>
      </c>
      <c r="Y367" s="8"/>
      <c r="Z367" s="8"/>
      <c r="AA367" s="8" t="s">
        <v>77</v>
      </c>
      <c r="AB367" s="10">
        <v>294.42</v>
      </c>
      <c r="AC367" s="10">
        <v>0</v>
      </c>
      <c r="AD367" s="10">
        <v>0</v>
      </c>
      <c r="AE367" s="9"/>
      <c r="AF367" s="10">
        <v>294.42</v>
      </c>
      <c r="AG367" s="7">
        <v>67</v>
      </c>
      <c r="AH367" s="8" t="s">
        <v>1012</v>
      </c>
      <c r="AI367" s="8" t="s">
        <v>163</v>
      </c>
      <c r="AJ367" s="8" t="s">
        <v>164</v>
      </c>
      <c r="AK367" s="8" t="s">
        <v>1013</v>
      </c>
      <c r="AL367" s="7"/>
      <c r="AM367" s="8" t="s">
        <v>157</v>
      </c>
      <c r="AN367" s="8" t="s">
        <v>158</v>
      </c>
      <c r="AO367" s="9">
        <v>46191</v>
      </c>
    </row>
    <row r="368" spans="1:41" x14ac:dyDescent="0.25">
      <c r="A368" s="5" t="str">
        <f>IFERROR(IF(INDEX([6]BH!$A$2:$A$82,MATCH($D368,[6]BH!$D$2:$D$82,0))="","",INDEX([6]BH!$A$2:$A$82,MATCH($D368,[6]BH!$D$2:$D$82,0))),"")</f>
        <v/>
      </c>
      <c r="B368" s="5" t="str">
        <f>IFERROR(IF(INDEX([6]BH!$B$2:$B$82,MATCH($D368,[6]BH!$D$2:$D$82,0))="","",INDEX([6]BH!$B$2:$B$82,MATCH($D368,[6]BH!$D$2:$D$82,0))),"")</f>
        <v/>
      </c>
      <c r="C368" s="6">
        <f>IFERROR(IF(INDEX([6]BH!$C$2:$C$82,MATCH($D368,[6]BH!$D$2:$D$82,0))="","",INDEX([6]BH!$C$2:$C$82,MATCH($D368,[6]BH!$D$2:$D$82,0))),"")</f>
        <v>46218</v>
      </c>
      <c r="D368" s="7">
        <v>561219063</v>
      </c>
      <c r="E368" s="8" t="s">
        <v>1014</v>
      </c>
      <c r="F368" s="9">
        <v>46175</v>
      </c>
      <c r="G368" s="8" t="s">
        <v>83</v>
      </c>
      <c r="H368" s="8" t="s">
        <v>83</v>
      </c>
      <c r="I368" s="8" t="s">
        <v>69</v>
      </c>
      <c r="J368" s="8" t="s">
        <v>124</v>
      </c>
      <c r="K368" s="6" t="str">
        <f>IFERROR(IF(INDEX([6]BH!$K$2:$K$82,MATCH($D368,[6]BH!$D$2:$D$82,0))="","",INDEX([6]BH!$K$2:$K$82,MATCH($D368,[6]BH!$D$2:$D$82,0))),"")</f>
        <v/>
      </c>
      <c r="L368" s="11" t="str">
        <f ca="1">IF($O368="","",$O368-TODAY())</f>
        <v/>
      </c>
      <c r="M368" s="11"/>
      <c r="N368" s="11"/>
      <c r="O368" s="9"/>
      <c r="P368" s="8"/>
      <c r="Q368" s="8" t="s">
        <v>967</v>
      </c>
      <c r="R368" s="8"/>
      <c r="S368" s="8"/>
      <c r="T368" s="8"/>
      <c r="U368" s="8"/>
      <c r="V368" s="8" t="s">
        <v>455</v>
      </c>
      <c r="W368" s="8" t="s">
        <v>118</v>
      </c>
      <c r="X368" s="8"/>
      <c r="Y368" s="8"/>
      <c r="Z368" s="8"/>
      <c r="AA368" s="8" t="s">
        <v>77</v>
      </c>
      <c r="AB368" s="10">
        <v>1426.25</v>
      </c>
      <c r="AC368" s="10">
        <v>0</v>
      </c>
      <c r="AD368" s="10">
        <v>0</v>
      </c>
      <c r="AE368" s="9">
        <v>46218</v>
      </c>
      <c r="AF368" s="10">
        <v>1426.25</v>
      </c>
      <c r="AG368" s="7">
        <v>67</v>
      </c>
      <c r="AH368" s="8" t="s">
        <v>119</v>
      </c>
      <c r="AI368" s="8"/>
      <c r="AJ368" s="8"/>
      <c r="AK368" s="8"/>
      <c r="AL368" s="7"/>
      <c r="AM368" s="8" t="s">
        <v>157</v>
      </c>
      <c r="AN368" s="8" t="s">
        <v>121</v>
      </c>
      <c r="AO368" s="9">
        <v>46217</v>
      </c>
    </row>
    <row r="369" spans="1:41" x14ac:dyDescent="0.25">
      <c r="A369" s="5" t="str">
        <f>IFERROR(IF(INDEX([6]US!$A$2:$A$22,MATCH($D369,[6]US!$D$2:$D$22,0))="","",INDEX([6]US!$A$2:$A$22,MATCH($D369,[6]US!$D$2:$D$22,0))),"")</f>
        <v/>
      </c>
      <c r="B369" s="5" t="str">
        <f>IFERROR(IF(INDEX([6]US!$B$2:$B$22,MATCH($D369,[6]US!$D$2:$D$22,0))="","",INDEX([6]US!$B$2:$B$22,MATCH($D369,[6]US!$D$2:$D$22,0))),"")</f>
        <v/>
      </c>
      <c r="C369" s="6">
        <f>IFERROR(IF(INDEX([6]US!$C$2:$C$22,MATCH($D369,[6]US!$D$2:$D$22,0))="","",INDEX([6]US!$C$2:$C$22,MATCH($D369,[6]US!$D$2:$D$22,0))),"")</f>
        <v>46220</v>
      </c>
      <c r="D369" s="7">
        <v>563009396</v>
      </c>
      <c r="E369" s="8" t="s">
        <v>1003</v>
      </c>
      <c r="F369" s="9">
        <v>46176</v>
      </c>
      <c r="G369" s="8" t="s">
        <v>969</v>
      </c>
      <c r="H369" s="8" t="s">
        <v>969</v>
      </c>
      <c r="I369" s="8" t="s">
        <v>69</v>
      </c>
      <c r="J369" s="8" t="s">
        <v>128</v>
      </c>
      <c r="K369" s="6" t="str">
        <f>IFERROR(IF(INDEX([6]US!$K$2:$K$22,MATCH($D369,[6]US!$D$2:$D$22,0))="","",INDEX([6]US!$K$2:$K$22,MATCH($D369,[6]US!$D$2:$D$22,0))),"")</f>
        <v/>
      </c>
      <c r="L369" s="11" t="str">
        <f ca="1">IF($O369="","",$O369-TODAY())</f>
        <v/>
      </c>
      <c r="M369" s="11"/>
      <c r="N369" s="11">
        <f ca="1">IF(AND(TRIM($A369)="Finalized",$K369&lt;&gt;""),"",IF($C369="","",$C369+180-TODAY()))</f>
        <v>96</v>
      </c>
      <c r="O369" s="9"/>
      <c r="P369" s="8"/>
      <c r="Q369" s="8" t="s">
        <v>970</v>
      </c>
      <c r="R369" s="8"/>
      <c r="S369" s="8"/>
      <c r="T369" s="8" t="s">
        <v>117</v>
      </c>
      <c r="U369" s="8" t="s">
        <v>74</v>
      </c>
      <c r="V369" s="8" t="s">
        <v>455</v>
      </c>
      <c r="W369" s="8" t="s">
        <v>129</v>
      </c>
      <c r="X369" s="8"/>
      <c r="Y369" s="8"/>
      <c r="Z369" s="8"/>
      <c r="AA369" s="8" t="s">
        <v>77</v>
      </c>
      <c r="AB369" s="10">
        <v>1649.2</v>
      </c>
      <c r="AC369" s="10">
        <v>0</v>
      </c>
      <c r="AD369" s="10">
        <v>0</v>
      </c>
      <c r="AE369" s="9">
        <v>46220</v>
      </c>
      <c r="AF369" s="10">
        <v>1649.2</v>
      </c>
      <c r="AG369" s="7">
        <v>66</v>
      </c>
      <c r="AH369" s="8" t="s">
        <v>309</v>
      </c>
      <c r="AI369" s="8" t="s">
        <v>139</v>
      </c>
      <c r="AJ369" s="8" t="s">
        <v>138</v>
      </c>
      <c r="AK369" s="8"/>
      <c r="AL369" s="7"/>
      <c r="AM369" s="8" t="s">
        <v>165</v>
      </c>
      <c r="AN369" s="8" t="s">
        <v>95</v>
      </c>
      <c r="AO369" s="9">
        <v>46195</v>
      </c>
    </row>
    <row r="370" spans="1:41" x14ac:dyDescent="0.25">
      <c r="A370" s="5" t="str">
        <f>IFERROR(IF(INDEX([6]DME!$A$2:$A$51,MATCH($D370,[6]DME!$D$2:$D$51,0))="","",INDEX([6]DME!$A$2:$A$51,MATCH($D370,[6]DME!$D$2:$D$51,0))),"")</f>
        <v>Under Review</v>
      </c>
      <c r="B370" s="5" t="str">
        <f>IFERROR(IF(INDEX([6]DME!$B$2:$B$51,MATCH($D370,[6]DME!$D$2:$D$51,0))="","",INDEX([6]DME!$B$2:$B$51,MATCH($D370,[6]DME!$D$2:$D$51,0))),"")</f>
        <v>Waiting for account to get activated again</v>
      </c>
      <c r="C370" s="6" t="str">
        <f>IFERROR(IF(INDEX([6]DME!$C$2:$C$51,MATCH($D370,[6]DME!$D$2:$D$51,0))="","",INDEX([6]DME!$C$2:$C$51,MATCH($D370,[6]DME!$D$2:$D$51,0))),"")</f>
        <v/>
      </c>
      <c r="D370" s="7">
        <v>562142694</v>
      </c>
      <c r="E370" s="8" t="s">
        <v>1015</v>
      </c>
      <c r="F370" s="9">
        <v>46177</v>
      </c>
      <c r="G370" s="8" t="s">
        <v>990</v>
      </c>
      <c r="H370" s="8" t="s">
        <v>990</v>
      </c>
      <c r="I370" s="8" t="s">
        <v>69</v>
      </c>
      <c r="J370" s="8" t="s">
        <v>1016</v>
      </c>
      <c r="K370" s="6" t="str">
        <f>IFERROR(IF(INDEX([6]DME!$K$2:$K$51,MATCH($D370,[6]DME!$D$2:$D$51,0))="","",INDEX([6]DME!$K$2:$K$51,MATCH($D370,[6]DME!$D$2:$D$51,0))),"")</f>
        <v/>
      </c>
      <c r="L370" s="11" t="str">
        <f ca="1">IF($O370="","",$O370-TODAY())</f>
        <v/>
      </c>
      <c r="M370" s="11"/>
      <c r="N370" s="11"/>
      <c r="O370" s="9"/>
      <c r="P370" s="8"/>
      <c r="Q370" s="8" t="s">
        <v>967</v>
      </c>
      <c r="R370" s="8"/>
      <c r="S370" s="8"/>
      <c r="T370" s="8"/>
      <c r="U370" s="8"/>
      <c r="V370" s="8" t="s">
        <v>455</v>
      </c>
      <c r="W370" s="8" t="s">
        <v>89</v>
      </c>
      <c r="X370" s="8" t="s">
        <v>232</v>
      </c>
      <c r="Y370" s="8"/>
      <c r="Z370" s="8"/>
      <c r="AA370" s="8" t="s">
        <v>77</v>
      </c>
      <c r="AB370" s="10">
        <v>9479.4</v>
      </c>
      <c r="AC370" s="10">
        <v>0</v>
      </c>
      <c r="AD370" s="10">
        <v>0</v>
      </c>
      <c r="AE370" s="9"/>
      <c r="AF370" s="10">
        <v>9479.4</v>
      </c>
      <c r="AG370" s="7">
        <v>65</v>
      </c>
      <c r="AH370" s="8" t="s">
        <v>145</v>
      </c>
      <c r="AI370" s="8" t="s">
        <v>1017</v>
      </c>
      <c r="AJ370" s="8" t="s">
        <v>1018</v>
      </c>
      <c r="AK370" s="8"/>
      <c r="AL370" s="7"/>
      <c r="AM370" s="8" t="s">
        <v>465</v>
      </c>
      <c r="AN370" s="8" t="s">
        <v>95</v>
      </c>
      <c r="AO370" s="9">
        <v>46185</v>
      </c>
    </row>
    <row r="371" spans="1:41" x14ac:dyDescent="0.25">
      <c r="A371" s="5" t="str">
        <f>IFERROR(IF(INDEX([6]BH!$A$2:$A$82,MATCH($D371,[6]BH!$D$2:$D$82,0))="","",INDEX([6]BH!$A$2:$A$82,MATCH($D371,[6]BH!$D$2:$D$82,0))),"")</f>
        <v/>
      </c>
      <c r="B371" s="5" t="str">
        <f>IFERROR(IF(INDEX([6]BH!$B$2:$B$82,MATCH($D371,[6]BH!$D$2:$D$82,0))="","",INDEX([6]BH!$B$2:$B$82,MATCH($D371,[6]BH!$D$2:$D$82,0))),"")</f>
        <v/>
      </c>
      <c r="C371" s="6" t="str">
        <f>IFERROR(IF(INDEX([6]BH!$C$2:$C$82,MATCH($D371,[6]BH!$D$2:$D$82,0))="","",INDEX([6]BH!$C$2:$C$82,MATCH($D371,[6]BH!$D$2:$D$82,0))),"")</f>
        <v/>
      </c>
      <c r="D371" s="7">
        <v>562198116</v>
      </c>
      <c r="E371" s="8" t="s">
        <v>1019</v>
      </c>
      <c r="F371" s="9">
        <v>46185</v>
      </c>
      <c r="G371" s="8" t="s">
        <v>1020</v>
      </c>
      <c r="H371" s="8" t="s">
        <v>1020</v>
      </c>
      <c r="I371" s="8" t="s">
        <v>69</v>
      </c>
      <c r="J371" s="8" t="s">
        <v>195</v>
      </c>
      <c r="K371" s="6" t="str">
        <f>IFERROR(IF(INDEX([6]BH!$K$2:$K$82,MATCH($D371,[6]BH!$D$2:$D$82,0))="","",INDEX([6]BH!$K$2:$K$82,MATCH($D371,[6]BH!$D$2:$D$82,0))),"")</f>
        <v/>
      </c>
      <c r="L371" s="11" t="str">
        <f ca="1">IF($O371="","",$O371-TODAY())</f>
        <v/>
      </c>
      <c r="M371" s="11"/>
      <c r="N371" s="11"/>
      <c r="O371" s="9"/>
      <c r="P371" s="8"/>
      <c r="Q371" s="8" t="s">
        <v>967</v>
      </c>
      <c r="R371" s="8"/>
      <c r="S371" s="8"/>
      <c r="T371" s="8"/>
      <c r="U371" s="8"/>
      <c r="V371" s="8" t="s">
        <v>455</v>
      </c>
      <c r="W371" s="8" t="s">
        <v>118</v>
      </c>
      <c r="X371" s="8"/>
      <c r="Y371" s="8"/>
      <c r="Z371" s="8"/>
      <c r="AA371" s="8" t="s">
        <v>77</v>
      </c>
      <c r="AB371" s="10">
        <v>1426.25</v>
      </c>
      <c r="AC371" s="10">
        <v>0</v>
      </c>
      <c r="AD371" s="10">
        <v>0</v>
      </c>
      <c r="AE371" s="9"/>
      <c r="AF371" s="10">
        <v>1426.25</v>
      </c>
      <c r="AG371" s="7">
        <v>57</v>
      </c>
      <c r="AH371" s="8" t="s">
        <v>119</v>
      </c>
      <c r="AI371" s="8"/>
      <c r="AJ371" s="8"/>
      <c r="AK371" s="8"/>
      <c r="AL371" s="7"/>
      <c r="AM371" s="8" t="s">
        <v>131</v>
      </c>
      <c r="AN371" s="8" t="s">
        <v>132</v>
      </c>
      <c r="AO371" s="9">
        <v>46217</v>
      </c>
    </row>
    <row r="372" spans="1:41" x14ac:dyDescent="0.25">
      <c r="A372" s="5" t="str">
        <f>IFERROR(IF(INDEX([6]BH!$A$2:$A$82,MATCH($D372,[6]BH!$D$2:$D$82,0))="","",INDEX([6]BH!$A$2:$A$82,MATCH($D372,[6]BH!$D$2:$D$82,0))),"")</f>
        <v>Under Review</v>
      </c>
      <c r="B372" s="5" t="str">
        <f>IFERROR(IF(INDEX([6]BH!$B$2:$B$82,MATCH($D372,[6]BH!$D$2:$D$82,0))="","",INDEX([6]BH!$B$2:$B$82,MATCH($D372,[6]BH!$D$2:$D$82,0))),"")</f>
        <v>Waiting for account to get activated again</v>
      </c>
      <c r="C372" s="6" t="str">
        <f>IFERROR(IF(INDEX([6]BH!$C$2:$C$82,MATCH($D372,[6]BH!$D$2:$D$82,0))="","",INDEX([6]BH!$C$2:$C$82,MATCH($D372,[6]BH!$D$2:$D$82,0))),"")</f>
        <v/>
      </c>
      <c r="D372" s="7">
        <v>562518339</v>
      </c>
      <c r="E372" s="8" t="s">
        <v>1021</v>
      </c>
      <c r="F372" s="9">
        <v>46189</v>
      </c>
      <c r="G372" s="8" t="s">
        <v>990</v>
      </c>
      <c r="H372" s="8" t="s">
        <v>990</v>
      </c>
      <c r="I372" s="8" t="s">
        <v>69</v>
      </c>
      <c r="J372" s="8" t="s">
        <v>195</v>
      </c>
      <c r="K372" s="6" t="str">
        <f>IFERROR(IF(INDEX([6]BH!$K$2:$K$82,MATCH($D372,[6]BH!$D$2:$D$82,0))="","",INDEX([6]BH!$K$2:$K$82,MATCH($D372,[6]BH!$D$2:$D$82,0))),"")</f>
        <v/>
      </c>
      <c r="L372" s="11" t="str">
        <f ca="1">IF($O372="","",$O372-TODAY())</f>
        <v/>
      </c>
      <c r="M372" s="11"/>
      <c r="N372" s="11"/>
      <c r="O372" s="9"/>
      <c r="P372" s="8"/>
      <c r="Q372" s="8" t="s">
        <v>967</v>
      </c>
      <c r="R372" s="8"/>
      <c r="S372" s="8"/>
      <c r="T372" s="8"/>
      <c r="U372" s="8"/>
      <c r="V372" s="8" t="s">
        <v>455</v>
      </c>
      <c r="W372" s="8" t="s">
        <v>118</v>
      </c>
      <c r="X372" s="8"/>
      <c r="Y372" s="8"/>
      <c r="Z372" s="8"/>
      <c r="AA372" s="8" t="s">
        <v>77</v>
      </c>
      <c r="AB372" s="10">
        <v>1426.25</v>
      </c>
      <c r="AC372" s="10">
        <v>0</v>
      </c>
      <c r="AD372" s="10">
        <v>0</v>
      </c>
      <c r="AE372" s="9"/>
      <c r="AF372" s="10">
        <v>1426.25</v>
      </c>
      <c r="AG372" s="7">
        <v>53</v>
      </c>
      <c r="AH372" s="8" t="s">
        <v>119</v>
      </c>
      <c r="AI372" s="8"/>
      <c r="AJ372" s="8"/>
      <c r="AK372" s="8"/>
      <c r="AL372" s="7"/>
      <c r="AM372" s="8" t="s">
        <v>543</v>
      </c>
      <c r="AN372" s="8" t="s">
        <v>632</v>
      </c>
      <c r="AO372" s="9">
        <v>46217</v>
      </c>
    </row>
    <row r="373" spans="1:41" x14ac:dyDescent="0.25">
      <c r="A373" s="5" t="str">
        <f>IFERROR(IF(INDEX([6]BH!$A$2:$A$82,MATCH($D373,[6]BH!$D$2:$D$82,0))="","",INDEX([6]BH!$A$2:$A$82,MATCH($D373,[6]BH!$D$2:$D$82,0))),"")</f>
        <v/>
      </c>
      <c r="B373" s="5" t="str">
        <f>IFERROR(IF(INDEX([6]BH!$B$2:$B$82,MATCH($D373,[6]BH!$D$2:$D$82,0))="","",INDEX([6]BH!$B$2:$B$82,MATCH($D373,[6]BH!$D$2:$D$82,0))),"")</f>
        <v/>
      </c>
      <c r="C373" s="6" t="str">
        <f>IFERROR(IF(INDEX([6]BH!$C$2:$C$82,MATCH($D373,[6]BH!$D$2:$D$82,0))="","",INDEX([6]BH!$C$2:$C$82,MATCH($D373,[6]BH!$D$2:$D$82,0))),"")</f>
        <v/>
      </c>
      <c r="D373" s="7">
        <v>562594958</v>
      </c>
      <c r="E373" s="8" t="s">
        <v>1022</v>
      </c>
      <c r="F373" s="9">
        <v>46190</v>
      </c>
      <c r="G373" s="8" t="s">
        <v>996</v>
      </c>
      <c r="H373" s="8" t="s">
        <v>996</v>
      </c>
      <c r="I373" s="8" t="s">
        <v>69</v>
      </c>
      <c r="J373" s="8" t="s">
        <v>195</v>
      </c>
      <c r="K373" s="6" t="str">
        <f>IFERROR(IF(INDEX([6]BH!$K$2:$K$82,MATCH($D373,[6]BH!$D$2:$D$82,0))="","",INDEX([6]BH!$K$2:$K$82,MATCH($D373,[6]BH!$D$2:$D$82,0))),"")</f>
        <v/>
      </c>
      <c r="L373" s="11" t="str">
        <f ca="1">IF($O373="","",$O373-TODAY())</f>
        <v/>
      </c>
      <c r="M373" s="11"/>
      <c r="N373" s="11"/>
      <c r="O373" s="9"/>
      <c r="P373" s="8"/>
      <c r="Q373" s="8" t="s">
        <v>967</v>
      </c>
      <c r="R373" s="8"/>
      <c r="S373" s="8"/>
      <c r="T373" s="8"/>
      <c r="U373" s="8"/>
      <c r="V373" s="8" t="s">
        <v>455</v>
      </c>
      <c r="W373" s="8" t="s">
        <v>118</v>
      </c>
      <c r="X373" s="8"/>
      <c r="Y373" s="8"/>
      <c r="Z373" s="8"/>
      <c r="AA373" s="8" t="s">
        <v>77</v>
      </c>
      <c r="AB373" s="10">
        <v>1426.25</v>
      </c>
      <c r="AC373" s="10">
        <v>0</v>
      </c>
      <c r="AD373" s="10">
        <v>0</v>
      </c>
      <c r="AE373" s="9"/>
      <c r="AF373" s="10">
        <v>1426.25</v>
      </c>
      <c r="AG373" s="7">
        <v>52</v>
      </c>
      <c r="AH373" s="8" t="s">
        <v>161</v>
      </c>
      <c r="AI373" s="8"/>
      <c r="AJ373" s="8"/>
      <c r="AK373" s="8"/>
      <c r="AL373" s="7"/>
      <c r="AM373" s="8" t="s">
        <v>157</v>
      </c>
      <c r="AN373" s="8" t="s">
        <v>158</v>
      </c>
      <c r="AO373" s="9">
        <v>46217</v>
      </c>
    </row>
    <row r="374" spans="1:41" x14ac:dyDescent="0.25">
      <c r="A374" s="5" t="str">
        <f>IFERROR(IF(INDEX([6]US!$A$2:$A$22,MATCH($D374,[6]US!$D$2:$D$22,0))="","",INDEX([6]US!$A$2:$A$22,MATCH($D374,[6]US!$D$2:$D$22,0))),"")</f>
        <v/>
      </c>
      <c r="B374" s="5" t="str">
        <f>IFERROR(IF(INDEX([6]US!$B$2:$B$22,MATCH($D374,[6]US!$D$2:$D$22,0))="","",INDEX([6]US!$B$2:$B$22,MATCH($D374,[6]US!$D$2:$D$22,0))),"")</f>
        <v/>
      </c>
      <c r="C374" s="6">
        <f>IFERROR(IF(INDEX([6]US!$C$2:$C$22,MATCH($D374,[6]US!$D$2:$D$22,0))="","",INDEX([6]US!$C$2:$C$22,MATCH($D374,[6]US!$D$2:$D$22,0))),"")</f>
        <v>46220</v>
      </c>
      <c r="D374" s="7">
        <v>563069183</v>
      </c>
      <c r="E374" s="8" t="s">
        <v>1003</v>
      </c>
      <c r="F374" s="9">
        <v>46190</v>
      </c>
      <c r="G374" s="8" t="s">
        <v>969</v>
      </c>
      <c r="H374" s="8" t="s">
        <v>969</v>
      </c>
      <c r="I374" s="8" t="s">
        <v>69</v>
      </c>
      <c r="J374" s="8" t="s">
        <v>135</v>
      </c>
      <c r="K374" s="6" t="str">
        <f>IFERROR(IF(INDEX([6]US!$K$2:$K$22,MATCH($D374,[6]US!$D$2:$D$22,0))="","",INDEX([6]US!$K$2:$K$22,MATCH($D374,[6]US!$D$2:$D$22,0))),"")</f>
        <v/>
      </c>
      <c r="L374" s="11" t="str">
        <f ca="1">IF($O374="","",$O374-TODAY())</f>
        <v/>
      </c>
      <c r="M374" s="11"/>
      <c r="N374" s="11">
        <f ca="1">IF(AND(TRIM($A374)="Finalized",$K374&lt;&gt;""),"",IF($C374="","",$C374+180-TODAY()))</f>
        <v>96</v>
      </c>
      <c r="O374" s="9"/>
      <c r="P374" s="8"/>
      <c r="Q374" s="8" t="s">
        <v>970</v>
      </c>
      <c r="R374" s="8"/>
      <c r="S374" s="8"/>
      <c r="T374" s="8" t="s">
        <v>117</v>
      </c>
      <c r="U374" s="8" t="s">
        <v>74</v>
      </c>
      <c r="V374" s="8" t="s">
        <v>455</v>
      </c>
      <c r="W374" s="8" t="s">
        <v>129</v>
      </c>
      <c r="X374" s="8"/>
      <c r="Y374" s="8"/>
      <c r="Z374" s="8"/>
      <c r="AA374" s="8" t="s">
        <v>77</v>
      </c>
      <c r="AB374" s="10">
        <v>1294.23</v>
      </c>
      <c r="AC374" s="10">
        <v>0</v>
      </c>
      <c r="AD374" s="10">
        <v>0</v>
      </c>
      <c r="AE374" s="9">
        <v>46220</v>
      </c>
      <c r="AF374" s="10">
        <v>1294.23</v>
      </c>
      <c r="AG374" s="7">
        <v>52</v>
      </c>
      <c r="AH374" s="8" t="s">
        <v>309</v>
      </c>
      <c r="AI374" s="8"/>
      <c r="AJ374" s="8"/>
      <c r="AK374" s="8"/>
      <c r="AL374" s="7"/>
      <c r="AM374" s="8" t="s">
        <v>165</v>
      </c>
      <c r="AN374" s="8" t="s">
        <v>95</v>
      </c>
      <c r="AO374" s="9">
        <v>46195</v>
      </c>
    </row>
    <row r="375" spans="1:41" x14ac:dyDescent="0.25">
      <c r="A375" s="5" t="str">
        <f>IFERROR(IF(INDEX([6]BH!$A$2:$A$82,MATCH($D375,[6]BH!$D$2:$D$82,0))="","",INDEX([6]BH!$A$2:$A$82,MATCH($D375,[6]BH!$D$2:$D$82,0))),"")</f>
        <v/>
      </c>
      <c r="B375" s="5" t="str">
        <f>IFERROR(IF(INDEX([6]BH!$B$2:$B$82,MATCH($D375,[6]BH!$D$2:$D$82,0))="","",INDEX([6]BH!$B$2:$B$82,MATCH($D375,[6]BH!$D$2:$D$82,0))),"")</f>
        <v/>
      </c>
      <c r="C375" s="6" t="str">
        <f>IFERROR(IF(INDEX([6]BH!$C$2:$C$82,MATCH($D375,[6]BH!$D$2:$D$82,0))="","",INDEX([6]BH!$C$2:$C$82,MATCH($D375,[6]BH!$D$2:$D$82,0))),"")</f>
        <v/>
      </c>
      <c r="D375" s="7">
        <v>562862986</v>
      </c>
      <c r="E375" s="8" t="s">
        <v>1023</v>
      </c>
      <c r="F375" s="9">
        <v>46192</v>
      </c>
      <c r="G375" s="8" t="s">
        <v>969</v>
      </c>
      <c r="H375" s="8" t="s">
        <v>969</v>
      </c>
      <c r="I375" s="8" t="s">
        <v>69</v>
      </c>
      <c r="J375" s="8" t="s">
        <v>634</v>
      </c>
      <c r="K375" s="6" t="str">
        <f>IFERROR(IF(INDEX([6]BH!$K$2:$K$82,MATCH($D375,[6]BH!$D$2:$D$82,0))="","",INDEX([6]BH!$K$2:$K$82,MATCH($D375,[6]BH!$D$2:$D$82,0))),"")</f>
        <v/>
      </c>
      <c r="L375" s="11" t="str">
        <f ca="1">IF($O375="","",$O375-TODAY())</f>
        <v/>
      </c>
      <c r="M375" s="11"/>
      <c r="N375" s="11" t="str">
        <f ca="1">IF(AND(TRIM($A375)="Finalized",$K375&lt;&gt;""),"",IF($C375="","",$C375+180-TODAY()))</f>
        <v/>
      </c>
      <c r="O375" s="9"/>
      <c r="P375" s="8"/>
      <c r="Q375" s="8" t="s">
        <v>970</v>
      </c>
      <c r="R375" s="8"/>
      <c r="S375" s="8"/>
      <c r="T375" s="8" t="s">
        <v>117</v>
      </c>
      <c r="U375" s="8" t="s">
        <v>74</v>
      </c>
      <c r="V375" s="8" t="s">
        <v>455</v>
      </c>
      <c r="W375" s="8" t="s">
        <v>118</v>
      </c>
      <c r="X375" s="8"/>
      <c r="Y375" s="8"/>
      <c r="Z375" s="8"/>
      <c r="AA375" s="8" t="s">
        <v>77</v>
      </c>
      <c r="AB375" s="10">
        <v>294.42</v>
      </c>
      <c r="AC375" s="10">
        <v>0</v>
      </c>
      <c r="AD375" s="10">
        <v>0</v>
      </c>
      <c r="AE375" s="9"/>
      <c r="AF375" s="10">
        <v>294.42</v>
      </c>
      <c r="AG375" s="7">
        <v>50</v>
      </c>
      <c r="AH375" s="8" t="s">
        <v>320</v>
      </c>
      <c r="AI375" s="8" t="s">
        <v>635</v>
      </c>
      <c r="AJ375" s="8"/>
      <c r="AK375" s="8"/>
      <c r="AL375" s="7"/>
      <c r="AM375" s="8" t="s">
        <v>636</v>
      </c>
      <c r="AN375" s="8" t="s">
        <v>637</v>
      </c>
      <c r="AO375" s="9">
        <v>46234</v>
      </c>
    </row>
    <row r="376" spans="1:41" x14ac:dyDescent="0.25">
      <c r="A376" s="5" t="str">
        <f>IFERROR(IF(INDEX([6]BH!$A$2:$A$82,MATCH($D376,[6]BH!$D$2:$D$82,0))="","",INDEX([6]BH!$A$2:$A$82,MATCH($D376,[6]BH!$D$2:$D$82,0))),"")</f>
        <v/>
      </c>
      <c r="B376" s="5" t="str">
        <f>IFERROR(IF(INDEX([6]BH!$B$2:$B$82,MATCH($D376,[6]BH!$D$2:$D$82,0))="","",INDEX([6]BH!$B$2:$B$82,MATCH($D376,[6]BH!$D$2:$D$82,0))),"")</f>
        <v/>
      </c>
      <c r="C376" s="6" t="str">
        <f>IFERROR(IF(INDEX([6]BH!$C$2:$C$82,MATCH($D376,[6]BH!$D$2:$D$82,0))="","",INDEX([6]BH!$C$2:$C$82,MATCH($D376,[6]BH!$D$2:$D$82,0))),"")</f>
        <v/>
      </c>
      <c r="D376" s="7">
        <v>562903580</v>
      </c>
      <c r="E376" s="8" t="s">
        <v>1024</v>
      </c>
      <c r="F376" s="9">
        <v>46192</v>
      </c>
      <c r="G376" s="8" t="s">
        <v>966</v>
      </c>
      <c r="H376" s="8" t="s">
        <v>966</v>
      </c>
      <c r="I376" s="8" t="s">
        <v>69</v>
      </c>
      <c r="J376" s="8" t="s">
        <v>195</v>
      </c>
      <c r="K376" s="6" t="str">
        <f>IFERROR(IF(INDEX([6]BH!$K$2:$K$82,MATCH($D376,[6]BH!$D$2:$D$82,0))="","",INDEX([6]BH!$K$2:$K$82,MATCH($D376,[6]BH!$D$2:$D$82,0))),"")</f>
        <v/>
      </c>
      <c r="L376" s="11" t="str">
        <f ca="1">IF($O376="","",$O376-TODAY())</f>
        <v/>
      </c>
      <c r="M376" s="11"/>
      <c r="N376" s="11"/>
      <c r="O376" s="9"/>
      <c r="P376" s="8"/>
      <c r="Q376" s="8" t="s">
        <v>967</v>
      </c>
      <c r="R376" s="8"/>
      <c r="S376" s="8"/>
      <c r="T376" s="8"/>
      <c r="U376" s="8"/>
      <c r="V376" s="8" t="s">
        <v>455</v>
      </c>
      <c r="W376" s="8" t="s">
        <v>118</v>
      </c>
      <c r="X376" s="8"/>
      <c r="Y376" s="8"/>
      <c r="Z376" s="8"/>
      <c r="AA376" s="8" t="s">
        <v>77</v>
      </c>
      <c r="AB376" s="10">
        <v>1426.25</v>
      </c>
      <c r="AC376" s="10">
        <v>0</v>
      </c>
      <c r="AD376" s="10">
        <v>0</v>
      </c>
      <c r="AE376" s="9"/>
      <c r="AF376" s="10">
        <v>1426.25</v>
      </c>
      <c r="AG376" s="7">
        <v>50</v>
      </c>
      <c r="AH376" s="8" t="s">
        <v>119</v>
      </c>
      <c r="AI376" s="8"/>
      <c r="AJ376" s="8"/>
      <c r="AK376" s="8"/>
      <c r="AL376" s="7"/>
      <c r="AM376" s="8" t="s">
        <v>131</v>
      </c>
      <c r="AN376" s="8" t="s">
        <v>95</v>
      </c>
      <c r="AO376" s="9">
        <v>46217</v>
      </c>
    </row>
    <row r="377" spans="1:41" x14ac:dyDescent="0.25">
      <c r="A377" s="5" t="str">
        <f>IFERROR(IF(INDEX([6]ORTHO!$A$2:$A$39,MATCH($D377,[6]ORTHO!$D$2:$D$39,0))="","",INDEX([6]ORTHO!$A$2:$A$39,MATCH($D377,[6]ORTHO!$D$2:$D$39,0))),"")</f>
        <v>Under Review</v>
      </c>
      <c r="B377" s="5" t="str">
        <f>IFERROR(IF(INDEX([6]ORTHO!$B$2:$B$39,MATCH($D377,[6]ORTHO!$D$2:$D$39,0))="","",INDEX([6]ORTHO!$B$2:$B$39,MATCH($D377,[6]ORTHO!$D$2:$D$39,0))),"")</f>
        <v>Waiting for account to get activated again</v>
      </c>
      <c r="C377" s="6" t="str">
        <f>IFERROR(IF(INDEX([6]ORTHO!$C$2:$C$39,MATCH($D377,[6]ORTHO!$D$2:$D$39,0))="","",INDEX([6]ORTHO!$C$2:$C$39,MATCH($D377,[6]ORTHO!$D$2:$D$39,0))),"")</f>
        <v/>
      </c>
      <c r="D377" s="7">
        <v>563830748</v>
      </c>
      <c r="E377" s="8" t="s">
        <v>1015</v>
      </c>
      <c r="F377" s="9">
        <v>46193</v>
      </c>
      <c r="G377" s="8" t="s">
        <v>990</v>
      </c>
      <c r="H377" s="8" t="s">
        <v>990</v>
      </c>
      <c r="I377" s="8" t="s">
        <v>69</v>
      </c>
      <c r="J377" s="8" t="s">
        <v>1025</v>
      </c>
      <c r="K377" s="6" t="str">
        <f>IFERROR(IF(INDEX([6]ORTHO!$K$2:$K$39,MATCH($D377,[6]ORTHO!$D$2:$D$39,0))="","",INDEX([6]ORTHO!$K$2:$K$39,MATCH($D377,[6]ORTHO!$D$2:$D$39,0))),"")</f>
        <v/>
      </c>
      <c r="L377" s="11" t="str">
        <f ca="1">IF($O377="","",$O377-TODAY())</f>
        <v/>
      </c>
      <c r="M377" s="11"/>
      <c r="N377" s="11"/>
      <c r="O377" s="9"/>
      <c r="P377" s="8"/>
      <c r="Q377" s="8" t="s">
        <v>967</v>
      </c>
      <c r="R377" s="8"/>
      <c r="S377" s="8"/>
      <c r="T377" s="8"/>
      <c r="U377" s="8"/>
      <c r="V377" s="8" t="s">
        <v>455</v>
      </c>
      <c r="W377" s="8" t="s">
        <v>76</v>
      </c>
      <c r="X377" s="8"/>
      <c r="Y377" s="8"/>
      <c r="Z377" s="8"/>
      <c r="AA377" s="8" t="s">
        <v>77</v>
      </c>
      <c r="AB377" s="10">
        <v>11094.23</v>
      </c>
      <c r="AC377" s="10">
        <v>0</v>
      </c>
      <c r="AD377" s="10">
        <v>0</v>
      </c>
      <c r="AE377" s="9"/>
      <c r="AF377" s="10">
        <v>11094.23</v>
      </c>
      <c r="AG377" s="7">
        <v>49</v>
      </c>
      <c r="AH377" s="8" t="s">
        <v>1026</v>
      </c>
      <c r="AI377" s="8" t="s">
        <v>308</v>
      </c>
      <c r="AJ377" s="8" t="s">
        <v>215</v>
      </c>
      <c r="AK377" s="8" t="s">
        <v>1027</v>
      </c>
      <c r="AL377" s="7"/>
      <c r="AM377" s="8" t="s">
        <v>217</v>
      </c>
      <c r="AN377" s="8" t="s">
        <v>109</v>
      </c>
      <c r="AO377" s="9">
        <v>46203</v>
      </c>
    </row>
    <row r="378" spans="1:41" x14ac:dyDescent="0.25">
      <c r="A378" s="5" t="str">
        <f>IFERROR(IF(INDEX([6]DME!$A$2:$A$51,MATCH($D378,[6]DME!$D$2:$D$51,0))="","",INDEX([6]DME!$A$2:$A$51,MATCH($D378,[6]DME!$D$2:$D$51,0))),"")</f>
        <v>Under Review</v>
      </c>
      <c r="B378" s="5" t="str">
        <f>IFERROR(IF(INDEX([6]DME!$B$2:$B$51,MATCH($D378,[6]DME!$D$2:$D$51,0))="","",INDEX([6]DME!$B$2:$B$51,MATCH($D378,[6]DME!$D$2:$D$51,0))),"")</f>
        <v>Waiting for account to get activated again</v>
      </c>
      <c r="C378" s="6" t="str">
        <f>IFERROR(IF(INDEX([6]DME!$C$2:$C$51,MATCH($D378,[6]DME!$D$2:$D$51,0))="","",INDEX([6]DME!$C$2:$C$51,MATCH($D378,[6]DME!$D$2:$D$51,0))),"")</f>
        <v/>
      </c>
      <c r="D378" s="7">
        <v>564106191</v>
      </c>
      <c r="E378" s="8" t="s">
        <v>1015</v>
      </c>
      <c r="F378" s="9">
        <v>46197</v>
      </c>
      <c r="G378" s="8" t="s">
        <v>990</v>
      </c>
      <c r="H378" s="8" t="s">
        <v>990</v>
      </c>
      <c r="I378" s="8" t="s">
        <v>69</v>
      </c>
      <c r="J378" s="8" t="s">
        <v>373</v>
      </c>
      <c r="K378" s="6" t="str">
        <f>IFERROR(IF(INDEX([6]DME!$K$2:$K$51,MATCH($D378,[6]DME!$D$2:$D$51,0))="","",INDEX([6]DME!$K$2:$K$51,MATCH($D378,[6]DME!$D$2:$D$51,0))),"")</f>
        <v/>
      </c>
      <c r="L378" s="11" t="str">
        <f ca="1">IF($O378="","",$O378-TODAY())</f>
        <v/>
      </c>
      <c r="M378" s="11"/>
      <c r="N378" s="11"/>
      <c r="O378" s="9"/>
      <c r="P378" s="8"/>
      <c r="Q378" s="8" t="s">
        <v>967</v>
      </c>
      <c r="R378" s="8"/>
      <c r="S378" s="8"/>
      <c r="T378" s="8"/>
      <c r="U378" s="8"/>
      <c r="V378" s="8" t="s">
        <v>455</v>
      </c>
      <c r="W378" s="8" t="s">
        <v>89</v>
      </c>
      <c r="X378" s="8" t="s">
        <v>244</v>
      </c>
      <c r="Y378" s="8"/>
      <c r="Z378" s="8"/>
      <c r="AA378" s="8" t="s">
        <v>190</v>
      </c>
      <c r="AB378" s="10">
        <v>2958.2</v>
      </c>
      <c r="AC378" s="10">
        <v>0</v>
      </c>
      <c r="AD378" s="10">
        <v>0</v>
      </c>
      <c r="AE378" s="9"/>
      <c r="AF378" s="10">
        <v>2958.2</v>
      </c>
      <c r="AG378" s="7">
        <v>45</v>
      </c>
      <c r="AH378" s="8" t="s">
        <v>92</v>
      </c>
      <c r="AI378" s="8" t="s">
        <v>145</v>
      </c>
      <c r="AJ378" s="8"/>
      <c r="AK378" s="8"/>
      <c r="AL378" s="7"/>
      <c r="AM378" s="8" t="s">
        <v>94</v>
      </c>
      <c r="AN378" s="8" t="s">
        <v>95</v>
      </c>
      <c r="AO378" s="9">
        <v>46205</v>
      </c>
    </row>
    <row r="379" spans="1:41" x14ac:dyDescent="0.25">
      <c r="A379" s="5" t="str">
        <f>IFERROR(IF(INDEX([6]BH!$A$2:$A$82,MATCH($D379,[6]BH!$D$2:$D$82,0))="","",INDEX([6]BH!$A$2:$A$82,MATCH($D379,[6]BH!$D$2:$D$82,0))),"")</f>
        <v/>
      </c>
      <c r="B379" s="5" t="str">
        <f>IFERROR(IF(INDEX([6]BH!$B$2:$B$82,MATCH($D379,[6]BH!$D$2:$D$82,0))="","",INDEX([6]BH!$B$2:$B$82,MATCH($D379,[6]BH!$D$2:$D$82,0))),"")</f>
        <v/>
      </c>
      <c r="C379" s="6" t="str">
        <f>IFERROR(IF(INDEX([6]BH!$C$2:$C$82,MATCH($D379,[6]BH!$D$2:$D$82,0))="","",INDEX([6]BH!$C$2:$C$82,MATCH($D379,[6]BH!$D$2:$D$82,0))),"")</f>
        <v/>
      </c>
      <c r="D379" s="7">
        <v>563421228</v>
      </c>
      <c r="E379" s="8" t="s">
        <v>1028</v>
      </c>
      <c r="F379" s="9">
        <v>46198</v>
      </c>
      <c r="G379" s="8" t="s">
        <v>966</v>
      </c>
      <c r="H379" s="8" t="s">
        <v>966</v>
      </c>
      <c r="I379" s="8" t="s">
        <v>69</v>
      </c>
      <c r="J379" s="8" t="s">
        <v>124</v>
      </c>
      <c r="K379" s="6" t="str">
        <f>IFERROR(IF(INDEX([6]BH!$K$2:$K$82,MATCH($D379,[6]BH!$D$2:$D$82,0))="","",INDEX([6]BH!$K$2:$K$82,MATCH($D379,[6]BH!$D$2:$D$82,0))),"")</f>
        <v/>
      </c>
      <c r="L379" s="11" t="str">
        <f ca="1">IF($O379="","",$O379-TODAY())</f>
        <v/>
      </c>
      <c r="M379" s="11"/>
      <c r="N379" s="11"/>
      <c r="O379" s="9"/>
      <c r="P379" s="8"/>
      <c r="Q379" s="8" t="s">
        <v>967</v>
      </c>
      <c r="R379" s="8"/>
      <c r="S379" s="8"/>
      <c r="T379" s="8"/>
      <c r="U379" s="8"/>
      <c r="V379" s="8" t="s">
        <v>455</v>
      </c>
      <c r="W379" s="8" t="s">
        <v>118</v>
      </c>
      <c r="X379" s="8"/>
      <c r="Y379" s="8"/>
      <c r="Z379" s="8"/>
      <c r="AA379" s="8" t="s">
        <v>77</v>
      </c>
      <c r="AB379" s="10">
        <v>1426.25</v>
      </c>
      <c r="AC379" s="10">
        <v>0</v>
      </c>
      <c r="AD379" s="10">
        <v>0</v>
      </c>
      <c r="AE379" s="9"/>
      <c r="AF379" s="10">
        <v>1426.25</v>
      </c>
      <c r="AG379" s="7">
        <v>44</v>
      </c>
      <c r="AH379" s="8" t="s">
        <v>119</v>
      </c>
      <c r="AI379" s="8"/>
      <c r="AJ379" s="8"/>
      <c r="AK379" s="8"/>
      <c r="AL379" s="7"/>
      <c r="AM379" s="8" t="s">
        <v>146</v>
      </c>
      <c r="AN379" s="8" t="s">
        <v>632</v>
      </c>
      <c r="AO379" s="9">
        <v>46217</v>
      </c>
    </row>
    <row r="380" spans="1:41" x14ac:dyDescent="0.25">
      <c r="A380" s="5" t="str">
        <f>IFERROR(IF(INDEX([6]BH!$A$2:$A$82,MATCH($D380,[6]BH!$D$2:$D$82,0))="","",INDEX([6]BH!$A$2:$A$82,MATCH($D380,[6]BH!$D$2:$D$82,0))),"")</f>
        <v/>
      </c>
      <c r="B380" s="5" t="str">
        <f>IFERROR(IF(INDEX([6]BH!$B$2:$B$82,MATCH($D380,[6]BH!$D$2:$D$82,0))="","",INDEX([6]BH!$B$2:$B$82,MATCH($D380,[6]BH!$D$2:$D$82,0))),"")</f>
        <v/>
      </c>
      <c r="C380" s="6" t="str">
        <f>IFERROR(IF(INDEX([6]BH!$C$2:$C$82,MATCH($D380,[6]BH!$D$2:$D$82,0))="","",INDEX([6]BH!$C$2:$C$82,MATCH($D380,[6]BH!$D$2:$D$82,0))),"")</f>
        <v/>
      </c>
      <c r="D380" s="7">
        <v>563470580</v>
      </c>
      <c r="E380" s="8" t="s">
        <v>1029</v>
      </c>
      <c r="F380" s="9">
        <v>46198</v>
      </c>
      <c r="G380" s="8" t="s">
        <v>987</v>
      </c>
      <c r="H380" s="8" t="s">
        <v>987</v>
      </c>
      <c r="I380" s="8" t="s">
        <v>69</v>
      </c>
      <c r="J380" s="8" t="s">
        <v>634</v>
      </c>
      <c r="K380" s="6" t="str">
        <f>IFERROR(IF(INDEX([6]BH!$K$2:$K$82,MATCH($D380,[6]BH!$D$2:$D$82,0))="","",INDEX([6]BH!$K$2:$K$82,MATCH($D380,[6]BH!$D$2:$D$82,0))),"")</f>
        <v/>
      </c>
      <c r="L380" s="11" t="str">
        <f ca="1">IF($O380="","",$O380-TODAY())</f>
        <v/>
      </c>
      <c r="M380" s="11"/>
      <c r="N380" s="11"/>
      <c r="O380" s="9"/>
      <c r="P380" s="8"/>
      <c r="Q380" s="8" t="s">
        <v>967</v>
      </c>
      <c r="R380" s="8"/>
      <c r="S380" s="8"/>
      <c r="T380" s="8"/>
      <c r="U380" s="8"/>
      <c r="V380" s="8" t="s">
        <v>455</v>
      </c>
      <c r="W380" s="8" t="s">
        <v>118</v>
      </c>
      <c r="X380" s="8"/>
      <c r="Y380" s="8"/>
      <c r="Z380" s="8"/>
      <c r="AA380" s="8" t="s">
        <v>77</v>
      </c>
      <c r="AB380" s="10">
        <v>294.42</v>
      </c>
      <c r="AC380" s="10">
        <v>0</v>
      </c>
      <c r="AD380" s="10">
        <v>0</v>
      </c>
      <c r="AE380" s="9"/>
      <c r="AF380" s="10">
        <v>294.42</v>
      </c>
      <c r="AG380" s="7">
        <v>44</v>
      </c>
      <c r="AH380" s="8" t="s">
        <v>320</v>
      </c>
      <c r="AI380" s="8" t="s">
        <v>635</v>
      </c>
      <c r="AJ380" s="8"/>
      <c r="AK380" s="8"/>
      <c r="AL380" s="7"/>
      <c r="AM380" s="8" t="s">
        <v>636</v>
      </c>
      <c r="AN380" s="8" t="s">
        <v>637</v>
      </c>
      <c r="AO380" s="9">
        <v>46234</v>
      </c>
    </row>
    <row r="381" spans="1:41" x14ac:dyDescent="0.25">
      <c r="A381" s="5" t="str">
        <f>IFERROR(IF(INDEX([6]ORTHO!$A$2:$A$39,MATCH($D381,[6]ORTHO!$D$2:$D$39,0))="","",INDEX([6]ORTHO!$A$2:$A$39,MATCH($D381,[6]ORTHO!$D$2:$D$39,0))),"")</f>
        <v/>
      </c>
      <c r="B381" s="5" t="str">
        <f>IFERROR(IF(INDEX([6]ORTHO!$B$2:$B$39,MATCH($D381,[6]ORTHO!$D$2:$D$39,0))="","",INDEX([6]ORTHO!$B$2:$B$39,MATCH($D381,[6]ORTHO!$D$2:$D$39,0))),"")</f>
        <v/>
      </c>
      <c r="C381" s="6" t="str">
        <f>IFERROR(IF(INDEX([6]ORTHO!$C$2:$C$39,MATCH($D381,[6]ORTHO!$D$2:$D$39,0))="","",INDEX([6]ORTHO!$C$2:$C$39,MATCH($D381,[6]ORTHO!$D$2:$D$39,0))),"")</f>
        <v/>
      </c>
      <c r="D381" s="7">
        <v>564560469</v>
      </c>
      <c r="E381" s="8" t="s">
        <v>1030</v>
      </c>
      <c r="F381" s="9">
        <v>46202</v>
      </c>
      <c r="G381" s="8" t="s">
        <v>1031</v>
      </c>
      <c r="H381" s="8" t="s">
        <v>1031</v>
      </c>
      <c r="I381" s="8" t="s">
        <v>405</v>
      </c>
      <c r="J381" s="8" t="s">
        <v>1032</v>
      </c>
      <c r="K381" s="6" t="str">
        <f>IFERROR(IF(INDEX([6]ORTHO!$K$2:$K$39,MATCH($D381,[6]ORTHO!$D$2:$D$39,0))="","",INDEX([6]ORTHO!$K$2:$K$39,MATCH($D381,[6]ORTHO!$D$2:$D$39,0))),"")</f>
        <v/>
      </c>
      <c r="L381" s="11" t="str">
        <f ca="1">IF($O381="","",$O381-TODAY())</f>
        <v/>
      </c>
      <c r="M381" s="11"/>
      <c r="N381" s="11"/>
      <c r="O381" s="9"/>
      <c r="P381" s="8"/>
      <c r="Q381" s="8" t="s">
        <v>967</v>
      </c>
      <c r="R381" s="8"/>
      <c r="S381" s="8"/>
      <c r="T381" s="8"/>
      <c r="U381" s="8"/>
      <c r="V381" s="8" t="s">
        <v>455</v>
      </c>
      <c r="W381" s="8" t="s">
        <v>76</v>
      </c>
      <c r="X381" s="8"/>
      <c r="Y381" s="8"/>
      <c r="Z381" s="8"/>
      <c r="AA381" s="8" t="s">
        <v>266</v>
      </c>
      <c r="AB381" s="10">
        <v>15998.71</v>
      </c>
      <c r="AC381" s="10">
        <v>0</v>
      </c>
      <c r="AD381" s="10">
        <v>0</v>
      </c>
      <c r="AE381" s="9"/>
      <c r="AF381" s="10">
        <v>15998.71</v>
      </c>
      <c r="AG381" s="7">
        <v>40</v>
      </c>
      <c r="AH381" s="8" t="s">
        <v>145</v>
      </c>
      <c r="AI381" s="8" t="s">
        <v>79</v>
      </c>
      <c r="AJ381" s="8" t="s">
        <v>1033</v>
      </c>
      <c r="AK381" s="8"/>
      <c r="AL381" s="7"/>
      <c r="AM381" s="8" t="s">
        <v>217</v>
      </c>
      <c r="AN381" s="8" t="s">
        <v>109</v>
      </c>
      <c r="AO381" s="9">
        <v>46210</v>
      </c>
    </row>
    <row r="382" spans="1:41" x14ac:dyDescent="0.25">
      <c r="A382" s="5" t="str">
        <f>IFERROR(IF(INDEX([2]ORTHO!$A$2:$A$11,MATCH($D382,[2]ORTHO!$D$2:$D$11,0))="","",INDEX([2]ORTHO!$A$2:$A$11,MATCH($D382,[2]ORTHO!$D$2:$D$11,0))),"")</f>
        <v>Finalized</v>
      </c>
      <c r="B382" s="5" t="str">
        <f>IFERROR(IF(INDEX([2]ORTHO!$B$2:$B$11,MATCH($D382,[2]ORTHO!$D$2:$D$11,0))="","",INDEX([2]ORTHO!$B$2:$B$11,MATCH($D382,[2]ORTHO!$D$2:$D$11,0))),"")</f>
        <v>Uploaded MR - PIQ-86126921</v>
      </c>
      <c r="C382" s="6">
        <f>IFERROR(IF(INDEX([2]ORTHO!$C$2:$C$11,MATCH($D382,[2]ORTHO!$D$2:$D$11,0))="","",INDEX([2]ORTHO!$C$2:$C$11,MATCH($D382,[2]ORTHO!$D$2:$D$11,0))),"")</f>
        <v>46142</v>
      </c>
      <c r="D382" s="7">
        <v>551321878</v>
      </c>
      <c r="E382" s="8" t="s">
        <v>211</v>
      </c>
      <c r="F382" s="9">
        <v>46058</v>
      </c>
      <c r="G382" s="8" t="s">
        <v>212</v>
      </c>
      <c r="H382" s="8" t="s">
        <v>212</v>
      </c>
      <c r="I382" s="8" t="s">
        <v>69</v>
      </c>
      <c r="J382" s="8" t="s">
        <v>213</v>
      </c>
      <c r="K382" s="6">
        <f>IFERROR(IF(INDEX([2]ORTHO!$K$2:$K$11,MATCH($D382,[2]ORTHO!$D$2:$D$11,0))="","",INDEX([2]ORTHO!$K$2:$K$11,MATCH($D382,[2]ORTHO!$D$2:$D$11,0))),"")</f>
        <v>46195</v>
      </c>
      <c t="str" r="L382" s="11">
        <f ca="1">IF($O382="","",$O382-TODAY())</f>
        <v/>
      </c>
      <c t="str" r="M382" s="11">
        <f ca="1">IF(AND(TRIM($A382)="Finalized",$K382&lt;&gt;""),"",IF($C382="","",$C382+365-TODAY()))</f>
        <v/>
      </c>
      <c t="str" r="N382" s="11">
        <f ca="1">IF(AND(TRIM($A382)="Finalized",$K382&lt;&gt;""),"",IF($C382="","",$C382+365-TODAY()))</f>
        <v/>
      </c>
      <c t="str" r="O382" s="9">
        <f>IF(AND(TRIM($A382)="Finalized",$K382&lt;&gt;""),"",DATE(2026,5,6))</f>
        <v/>
      </c>
      <c r="P382" s="8" t="s">
        <v>86</v>
      </c>
      <c r="Q382" s="8" t="s">
        <v>214</v>
      </c>
      <c r="R382" s="8" t="s">
        <v>73</v>
      </c>
      <c r="S382" s="8" t="s">
        <v>74</v>
      </c>
      <c r="T382" s="8" t="s">
        <v>73</v>
      </c>
      <c r="U382" s="8" t="s">
        <v>74</v>
      </c>
      <c r="V382" s="8" t="s">
        <v>204</v>
      </c>
      <c r="W382" s="8" t="s">
        <v>76</v>
      </c>
      <c r="X382" s="8"/>
      <c r="Y382" s="8"/>
      <c r="Z382" s="8"/>
      <c r="AA382" s="8" t="s">
        <v>77</v>
      </c>
      <c r="AB382" s="10">
        <v>12527.55</v>
      </c>
      <c r="AC382" s="10">
        <v>0</v>
      </c>
      <c r="AD382" s="10">
        <v>0</v>
      </c>
      <c r="AE382" s="9">
        <v>46142</v>
      </c>
      <c r="AF382" s="10">
        <v>12527.55</v>
      </c>
      <c r="AG382" s="7">
        <v>184</v>
      </c>
      <c r="AH382" s="8" t="s">
        <v>145</v>
      </c>
      <c r="AI382" s="8" t="s">
        <v>79</v>
      </c>
      <c r="AJ382" s="8" t="s">
        <v>215</v>
      </c>
      <c r="AK382" s="8" t="s">
        <v>216</v>
      </c>
      <c r="AL382" s="7"/>
      <c r="AM382" s="8" t="s">
        <v>217</v>
      </c>
      <c r="AN382" s="8" t="s">
        <v>109</v>
      </c>
      <c r="AO382" s="9">
        <v>46083</v>
      </c>
    </row>
    <row r="383" spans="1:41" x14ac:dyDescent="0.25">
      <c r="A383" s="5" t="str">
        <f>IFERROR(IF(INDEX([2]ORTHO!$A$2:$A$11,MATCH($D383,[2]ORTHO!$D$2:$D$11,0))="","",INDEX([2]ORTHO!$A$2:$A$11,MATCH($D383,[2]ORTHO!$D$2:$D$11,0))),"")</f>
        <v>Finalized</v>
      </c>
      <c r="B383" s="5" t="str">
        <f>IFERROR(IF(INDEX([2]ORTHO!$B$2:$B$11,MATCH($D383,[2]ORTHO!$D$2:$D$11,0))="","",INDEX([2]ORTHO!$B$2:$B$11,MATCH($D383,[2]ORTHO!$D$2:$D$11,0))),"")</f>
        <v>Uploaded MR - PIQ-86018866</v>
      </c>
      <c r="C383" s="6">
        <f>IFERROR(IF(INDEX([2]ORTHO!$C$2:$C$11,MATCH($D383,[2]ORTHO!$D$2:$D$11,0))="","",INDEX([2]ORTHO!$C$2:$C$11,MATCH($D383,[2]ORTHO!$D$2:$D$11,0))),"")</f>
        <v>46233</v>
      </c>
      <c r="D383" s="7">
        <v>551412333</v>
      </c>
      <c r="E383" s="8" t="s">
        <v>236</v>
      </c>
      <c r="F383" s="9">
        <v>46072</v>
      </c>
      <c r="G383" s="8" t="s">
        <v>237</v>
      </c>
      <c r="H383" s="8" t="s">
        <v>237</v>
      </c>
      <c r="I383" s="8" t="s">
        <v>69</v>
      </c>
      <c r="J383" s="8" t="s">
        <v>238</v>
      </c>
      <c r="K383" s="6">
        <f>IFERROR(IF(INDEX([2]ORTHO!$K$2:$K$11,MATCH($D383,[2]ORTHO!$D$2:$D$11,0))="","",INDEX([2]ORTHO!$K$2:$K$11,MATCH($D383,[2]ORTHO!$D$2:$D$11,0))),"")</f>
        <v>46192</v>
      </c>
      <c t="str" r="L383" s="11">
        <f ca="1">IF($O383="","",$O383-TODAY())</f>
        <v/>
      </c>
      <c t="str" r="M383" s="11">
        <f ca="1">IF(AND(TRIM($A383)="Finalized",$K383&lt;&gt;""),"",IF($C383="","",$C383+180-TODAY()))</f>
        <v/>
      </c>
      <c t="str" r="N383" s="11">
        <f ca="1">IF(AND(TRIM($A383)="Finalized",$K383&lt;&gt;""),"",IF($C383="","",$C383+365-TODAY()))</f>
        <v/>
      </c>
      <c t="str" r="O383" s="9">
        <f>IF(AND(TRIM($A383)="Finalized",$K383&lt;&gt;""),"",DATE(2026,5,20))</f>
        <v/>
      </c>
      <c r="P383" s="8" t="s">
        <v>86</v>
      </c>
      <c r="Q383" s="8" t="s">
        <v>239</v>
      </c>
      <c r="R383" s="8" t="s">
        <v>117</v>
      </c>
      <c r="S383" s="8" t="s">
        <v>74</v>
      </c>
      <c r="T383" s="8" t="s">
        <v>73</v>
      </c>
      <c r="U383" s="8" t="s">
        <v>74</v>
      </c>
      <c r="V383" s="8" t="s">
        <v>204</v>
      </c>
      <c r="W383" s="8" t="s">
        <v>76</v>
      </c>
      <c r="X383" s="8" t="s">
        <v>240</v>
      </c>
      <c r="Y383" s="8"/>
      <c r="Z383" s="8"/>
      <c r="AA383" s="8" t="s">
        <v>77</v>
      </c>
      <c r="AB383" s="10">
        <v>6297.27</v>
      </c>
      <c r="AC383" s="10">
        <v>0</v>
      </c>
      <c r="AD383" s="10">
        <v>0</v>
      </c>
      <c r="AE383" s="9">
        <v>46142</v>
      </c>
      <c r="AF383" s="10">
        <v>6297.27</v>
      </c>
      <c r="AG383" s="7">
        <v>170</v>
      </c>
      <c r="AH383" s="8" t="s">
        <v>145</v>
      </c>
      <c r="AI383" s="8" t="s">
        <v>79</v>
      </c>
      <c r="AJ383" s="8" t="s">
        <v>241</v>
      </c>
      <c r="AK383" s="8" t="s">
        <v>215</v>
      </c>
      <c r="AL383" s="7"/>
      <c r="AM383" s="8" t="s">
        <v>217</v>
      </c>
      <c r="AN383" s="8" t="s">
        <v>109</v>
      </c>
      <c r="AO383" s="9">
        <v>46084</v>
      </c>
    </row>
    <row r="384" spans="1:41" x14ac:dyDescent="0.25">
      <c r="A384" s="5" t="str">
        <f>IFERROR(IF(INDEX([3]DME!$A$2:$A$11,MATCH($D384,[3]DME!$D$2:$D$11,0))="","",INDEX([3]DME!$A$2:$A$11,MATCH($D384,[3]DME!$D$2:$D$11,0))),"")</f>
        <v>Finalized</v>
      </c>
      <c r="B384" s="5" t="str">
        <f>IFERROR(IF(INDEX([3]DME!$B$2:$B$11,MATCH($D384,[3]DME!$D$2:$D$11,0))="","",INDEX([3]DME!$B$2:$B$11,MATCH($D384,[3]DME!$D$2:$D$11,0))),"")</f>
        <v>Adjusted balance - Dr. Krause was approved by Optum Medicare Adv on 04/08/2026 - JEFFREY A KRAUSE OON</v>
      </c>
      <c r="C384" s="6">
        <f>IFERROR(IF(INDEX([3]DME!$C$2:$C$11,MATCH($D384,[3]DME!$D$2:$D$11,0))="","",INDEX([3]DME!$C$2:$C$11,MATCH($D384,[3]DME!$D$2:$D$11,0))),"")</f>
        <v>46129</v>
      </c>
      <c r="D384" s="7">
        <v>555728365</v>
      </c>
      <c r="E384" s="8" t="s">
        <v>288</v>
      </c>
      <c r="F384" s="9">
        <v>46092</v>
      </c>
      <c r="G384" s="8" t="s">
        <v>134</v>
      </c>
      <c r="H384" s="8" t="s">
        <v>134</v>
      </c>
      <c r="I384" s="8" t="s">
        <v>69</v>
      </c>
      <c r="J384" s="8" t="s">
        <v>289</v>
      </c>
      <c r="K384" s="6">
        <f>IFERROR(IF(INDEX([3]DME!$K$2:$K$11,MATCH($D384,[3]DME!$D$2:$D$11,0))="","",INDEX([3]DME!$K$2:$K$11,MATCH($D384,[3]DME!$D$2:$D$11,0))),"")</f>
        <v>46257</v>
      </c>
      <c t="str" r="L384" s="11">
        <f ca="1">IF($O384="","",$O384-TODAY())</f>
        <v/>
      </c>
      <c t="str" r="M384" s="11">
        <f ca="1">IF(AND(TRIM($A384)="Finalized",$K384&lt;&gt;""),"",IF($C384="","",$C384+365-TODAY()))</f>
        <v/>
      </c>
      <c t="str" r="N384" s="11">
        <f ca="1">IF(AND(TRIM($A384)="Finalized",$K384&lt;&gt;""),"",IF($C384="","",$C384+365-TODAY()))</f>
        <v/>
      </c>
      <c t="str" r="O384" s="9">
        <f>IF(AND(TRIM($A384)="Finalized",$K384&lt;&gt;""),"",DATE(2026,6,9))</f>
        <v/>
      </c>
      <c r="P384" s="8" t="s">
        <v>86</v>
      </c>
      <c r="Q384" s="8" t="s">
        <v>136</v>
      </c>
      <c r="R384" s="8" t="s">
        <v>73</v>
      </c>
      <c r="S384" s="8" t="s">
        <v>74</v>
      </c>
      <c r="T384" s="8" t="s">
        <v>73</v>
      </c>
      <c r="U384" s="8" t="s">
        <v>74</v>
      </c>
      <c r="V384" s="8" t="s">
        <v>256</v>
      </c>
      <c r="W384" s="8" t="s">
        <v>89</v>
      </c>
      <c r="X384" s="8" t="s">
        <v>290</v>
      </c>
      <c r="Y384" s="8"/>
      <c r="Z384" s="8"/>
      <c r="AA384" s="8" t="s">
        <v>77</v>
      </c>
      <c r="AB384" s="10">
        <v>6392.96</v>
      </c>
      <c r="AC384" s="10">
        <v>0</v>
      </c>
      <c r="AD384" s="10">
        <v>0</v>
      </c>
      <c r="AE384" s="9"/>
      <c r="AF384" s="10">
        <v>6392.96</v>
      </c>
      <c r="AG384" s="7">
        <v>150</v>
      </c>
      <c r="AH384" s="8" t="s">
        <v>79</v>
      </c>
      <c r="AI384" s="8" t="s">
        <v>291</v>
      </c>
      <c r="AJ384" s="8"/>
      <c r="AK384" s="8"/>
      <c r="AL384" s="7"/>
      <c r="AM384" s="8" t="s">
        <v>154</v>
      </c>
      <c r="AN384" s="8" t="s">
        <v>132</v>
      </c>
      <c r="AO384" s="9">
        <v>46125</v>
      </c>
    </row>
    <row r="385" spans="1:41" x14ac:dyDescent="0.25">
      <c r="A385" s="5" t="str">
        <f>IFERROR(IF(INDEX([3]BH!$A$2:$A$32,MATCH($D385,[3]BH!$D$2:$D$32,0))="","",INDEX([3]BH!$A$2:$A$32,MATCH($D385,[3]BH!$D$2:$D$32,0))),"")</f>
        <v>Finalized</v>
      </c>
      <c r="B385" s="5" t="str">
        <f>IFERROR(IF(INDEX([3]BH!$B$2:$B$32,MATCH($D385,[3]BH!$D$2:$D$32,0))="","",INDEX([3]BH!$B$2:$B$32,MATCH($D385,[3]BH!$D$2:$D$32,0))),"")</f>
        <v>PAID - Removed mod 79 - Added mod 24, and resubmitted - Added mod 79, and resubmitted</v>
      </c>
      <c r="C385" s="6">
        <f>IFERROR(IF(INDEX([3]BH!$C$2:$C$32,MATCH($D385,[3]BH!$D$2:$D$32,0))="","",INDEX([3]BH!$C$2:$C$32,MATCH($D385,[3]BH!$D$2:$D$32,0))),"")</f>
        <v>46288</v>
      </c>
      <c r="D385" s="7">
        <v>563362999</v>
      </c>
      <c r="E385" s="8" t="s">
        <v>299</v>
      </c>
      <c r="F385" s="9">
        <v>46094</v>
      </c>
      <c r="G385" s="8" t="s">
        <v>148</v>
      </c>
      <c r="H385" s="8" t="s">
        <v>148</v>
      </c>
      <c r="I385" s="8" t="s">
        <v>69</v>
      </c>
      <c r="J385" s="8" t="s">
        <v>300</v>
      </c>
      <c r="K385" s="6">
        <f>IFERROR(IF(INDEX([3]BH!$K$2:$K$32,MATCH($D385,[3]BH!$D$2:$D$32,0))="","",INDEX([3]BH!$K$2:$K$32,MATCH($D385,[3]BH!$D$2:$D$32,0))),"")</f>
        <v>46286</v>
      </c>
      <c t="str" r="L385" s="11">
        <f ca="1">IF($O385="","",$O385-TODAY())</f>
        <v/>
      </c>
      <c t="str" r="M385" s="11">
        <f ca="1">IF(AND(TRIM($A385)="Finalized",$K385&lt;&gt;""),"",IF($C385="","",$C385+180-TODAY()))</f>
        <v/>
      </c>
      <c t="str" r="N385" s="11">
        <f ca="1">IF(AND(TRIM($A385)="Finalized",$K385&lt;&gt;""),"",IF($C385="","",$C385+365-TODAY()))</f>
        <v/>
      </c>
      <c t="str" r="O385" s="9">
        <f>IF(AND(TRIM($A385)="Finalized",$K385&lt;&gt;""),"",DATE(2026,6,11))</f>
        <v/>
      </c>
      <c r="P385" s="8" t="s">
        <v>86</v>
      </c>
      <c r="Q385" s="8" t="s">
        <v>152</v>
      </c>
      <c r="R385" s="8" t="s">
        <v>117</v>
      </c>
      <c r="S385" s="8" t="s">
        <v>74</v>
      </c>
      <c r="T385" s="8" t="s">
        <v>73</v>
      </c>
      <c r="U385" s="8" t="s">
        <v>74</v>
      </c>
      <c r="V385" s="8" t="s">
        <v>256</v>
      </c>
      <c r="W385" s="8" t="s">
        <v>118</v>
      </c>
      <c r="X385" s="8" t="s">
        <v>301</v>
      </c>
      <c r="Y385" s="8"/>
      <c r="Z385" s="8"/>
      <c r="AA385" s="8" t="s">
        <v>77</v>
      </c>
      <c r="AB385" s="10">
        <v>1426.25</v>
      </c>
      <c r="AC385" s="10">
        <v>0</v>
      </c>
      <c r="AD385" s="10">
        <v>0</v>
      </c>
      <c r="AE385" s="9">
        <v>46223</v>
      </c>
      <c r="AF385" s="10">
        <v>1426.25</v>
      </c>
      <c r="AG385" s="7">
        <v>148</v>
      </c>
      <c r="AH385" s="8" t="s">
        <v>276</v>
      </c>
      <c r="AI385" s="8"/>
      <c r="AJ385" s="8"/>
      <c r="AK385" s="8"/>
      <c r="AL385" s="7"/>
      <c r="AM385" s="8" t="s">
        <v>80</v>
      </c>
      <c r="AN385" s="8" t="s">
        <v>158</v>
      </c>
      <c r="AO385" s="9">
        <v>46119</v>
      </c>
    </row>
    <row r="386" spans="1:41" x14ac:dyDescent="0.25">
      <c r="A386" s="5" t="str">
        <f>IFERROR(IF(INDEX([3]DME!$A$2:$A$11,MATCH($D386,[3]DME!$D$2:$D$11,0))="","",INDEX([3]DME!$A$2:$A$11,MATCH($D386,[3]DME!$D$2:$D$11,0))),"")</f>
        <v>Finalized</v>
      </c>
      <c r="B386" s="5" t="str">
        <f>IFERROR(IF(INDEX([3]DME!$B$2:$B$11,MATCH($D386,[3]DME!$D$2:$D$11,0))="","",INDEX([3]DME!$B$2:$B$11,MATCH($D386,[3]DME!$D$2:$D$11,0))),"")</f>
        <v xml:space="preserve">Amanda adjusted balance - Denied with remark: The time limit for filing has expired - Claim was submitted on 07/14/2026 due to a credentialing issue pending resolution </v>
      </c>
      <c r="C386" s="6">
        <f>IFERROR(IF(INDEX([3]DME!$C$2:$C$11,MATCH($D386,[3]DME!$D$2:$D$11,0))="","",INDEX([3]DME!$C$2:$C$11,MATCH($D386,[3]DME!$D$2:$D$11,0))),"")</f>
        <v>46227</v>
      </c>
      <c r="D386" s="7">
        <v>552871981</v>
      </c>
      <c r="E386" s="8" t="s">
        <v>302</v>
      </c>
      <c r="F386" s="9">
        <v>46097</v>
      </c>
      <c r="G386" s="8" t="s">
        <v>134</v>
      </c>
      <c r="H386" s="8" t="s">
        <v>134</v>
      </c>
      <c r="I386" s="8" t="s">
        <v>69</v>
      </c>
      <c r="J386" s="8" t="s">
        <v>243</v>
      </c>
      <c r="K386" s="6">
        <f>IFERROR(IF(INDEX([3]DME!$K$2:$K$11,MATCH($D386,[3]DME!$D$2:$D$11,0))="","",INDEX([3]DME!$K$2:$K$11,MATCH($D386,[3]DME!$D$2:$D$11,0))),"")</f>
        <v>46245</v>
      </c>
      <c t="str" r="L386" s="11">
        <f ca="1">IF($O386="","",$O386-TODAY())</f>
        <v/>
      </c>
      <c t="str" r="M386" s="11">
        <f ca="1">IF(AND(TRIM($A386)="Finalized",$K386&lt;&gt;""),"",IF($C386="","",$C386+365-TODAY()))</f>
        <v/>
      </c>
      <c t="str" r="N386" s="11">
        <f ca="1">IF(AND(TRIM($A386)="Finalized",$K386&lt;&gt;""),"",IF($C386="","",$C386+365-TODAY()))</f>
        <v/>
      </c>
      <c t="str" r="O386" s="9">
        <f>IF(AND(TRIM($A386)="Finalized",$K386&lt;&gt;""),"",DATE(2026,6,14))</f>
        <v/>
      </c>
      <c r="P386" s="8" t="s">
        <v>86</v>
      </c>
      <c r="Q386" s="8" t="s">
        <v>136</v>
      </c>
      <c r="R386" s="8" t="s">
        <v>73</v>
      </c>
      <c r="S386" s="8" t="s">
        <v>74</v>
      </c>
      <c r="T386" s="8" t="s">
        <v>73</v>
      </c>
      <c r="U386" s="8" t="s">
        <v>74</v>
      </c>
      <c r="V386" s="8" t="s">
        <v>256</v>
      </c>
      <c r="W386" s="8" t="s">
        <v>89</v>
      </c>
      <c r="X386" s="8" t="s">
        <v>244</v>
      </c>
      <c r="Y386" s="8"/>
      <c r="Z386" s="8"/>
      <c r="AA386" s="8" t="s">
        <v>91</v>
      </c>
      <c r="AB386" s="10">
        <v>5916.4</v>
      </c>
      <c r="AC386" s="10">
        <v>0</v>
      </c>
      <c r="AD386" s="10">
        <v>0</v>
      </c>
      <c r="AE386" s="9"/>
      <c r="AF386" s="10">
        <v>5916.4</v>
      </c>
      <c r="AG386" s="7">
        <v>145</v>
      </c>
      <c r="AH386" s="8" t="s">
        <v>303</v>
      </c>
      <c r="AI386" s="8" t="s">
        <v>304</v>
      </c>
      <c r="AJ386" s="8" t="s">
        <v>305</v>
      </c>
      <c r="AK386" s="8"/>
      <c r="AL386" s="7"/>
      <c r="AM386" s="8" t="s">
        <v>306</v>
      </c>
      <c r="AN386" s="8" t="s">
        <v>132</v>
      </c>
      <c r="AO386" s="9">
        <v>46217</v>
      </c>
    </row>
    <row r="387" spans="1:41" x14ac:dyDescent="0.25">
      <c r="A387" s="5" t="str">
        <f>IFERROR(IF(INDEX([3]BH!$A$2:$A$32,MATCH($D387,[3]BH!$D$2:$D$32,0))="","",INDEX([3]BH!$A$2:$A$32,MATCH($D387,[3]BH!$D$2:$D$32,0))),"")</f>
        <v>Finalized</v>
      </c>
      <c r="B387" s="5" t="str">
        <f>IFERROR(IF(INDEX([3]BH!$B$2:$B$32,MATCH($D387,[3]BH!$D$2:$D$32,0))="","",INDEX([3]BH!$B$2:$B$32,MATCH($D387,[3]BH!$D$2:$D$32,0))),"")</f>
        <v>Corrected claim back to 99214 and posted the adjustments as per payment -  we originally billed 99214, which matches the encounter notes for that date. The claim was then resubmitted with 99493 + 99494, but those codes are tied to DOS 03/18/2026 and match that date's note instead.</v>
      </c>
      <c r="C387" s="6">
        <f>IFERROR(IF(INDEX([3]BH!$C$2:$C$32,MATCH($D387,[3]BH!$D$2:$D$32,0))="","",INDEX([3]BH!$C$2:$C$32,MATCH($D387,[3]BH!$D$2:$D$32,0))),"")</f>
        <v>46141</v>
      </c>
      <c r="D387" s="7">
        <v>555169750</v>
      </c>
      <c r="E387" s="8" t="s">
        <v>312</v>
      </c>
      <c r="F387" s="9">
        <v>46104</v>
      </c>
      <c r="G387" s="8" t="s">
        <v>134</v>
      </c>
      <c r="H387" s="8" t="s">
        <v>134</v>
      </c>
      <c r="I387" s="8" t="s">
        <v>69</v>
      </c>
      <c r="J387" s="8" t="s">
        <v>115</v>
      </c>
      <c r="K387" s="6">
        <f>IFERROR(IF(INDEX([3]BH!$K$2:$K$32,MATCH($D387,[3]BH!$D$2:$D$32,0))="","",INDEX([3]BH!$K$2:$K$32,MATCH($D387,[3]BH!$D$2:$D$32,0))),"")</f>
        <v>46266</v>
      </c>
      <c t="str" r="L387" s="11">
        <f ca="1">IF($O387="","",$O387-TODAY())</f>
        <v/>
      </c>
      <c t="str" r="M387" s="11">
        <f ca="1">IF(AND(TRIM($A387)="Finalized",$K387&lt;&gt;""),"",IF($C387="","",$C387+365-TODAY()))</f>
        <v/>
      </c>
      <c t="str" r="N387" s="11">
        <f ca="1">IF(AND(TRIM($A387)="Finalized",$K387&lt;&gt;""),"",IF($C387="","",$C387+365-TODAY()))</f>
        <v/>
      </c>
      <c t="str" r="O387" s="9">
        <f>IF(AND(TRIM($A387)="Finalized",$K387&lt;&gt;""),"",DATE(2026,6,21))</f>
        <v/>
      </c>
      <c r="P387" s="8" t="s">
        <v>86</v>
      </c>
      <c r="Q387" s="8" t="s">
        <v>136</v>
      </c>
      <c r="R387" s="8" t="s">
        <v>73</v>
      </c>
      <c r="S387" s="8" t="s">
        <v>74</v>
      </c>
      <c r="T387" s="8" t="s">
        <v>73</v>
      </c>
      <c r="U387" s="8" t="s">
        <v>74</v>
      </c>
      <c r="V387" s="8" t="s">
        <v>256</v>
      </c>
      <c r="W387" s="8" t="s">
        <v>118</v>
      </c>
      <c r="X387" s="8"/>
      <c r="Y387" s="8"/>
      <c r="Z387" s="8"/>
      <c r="AA387" s="8" t="s">
        <v>77</v>
      </c>
      <c r="AB387" s="10">
        <v>396.27</v>
      </c>
      <c r="AC387" s="10">
        <v>0</v>
      </c>
      <c r="AD387" s="10">
        <v>0</v>
      </c>
      <c r="AE387" s="9">
        <v>46141</v>
      </c>
      <c r="AF387" s="10">
        <v>396.27</v>
      </c>
      <c r="AG387" s="7">
        <v>138</v>
      </c>
      <c r="AH387" s="8" t="s">
        <v>324</v>
      </c>
      <c r="AI387" s="8" t="s">
        <v>320</v>
      </c>
      <c r="AJ387" s="8"/>
      <c r="AK387" s="8"/>
      <c r="AL387" s="7"/>
      <c r="AM387" s="8" t="s">
        <v>131</v>
      </c>
      <c r="AN387" s="8" t="s">
        <v>325</v>
      </c>
      <c r="AO387" s="9">
        <v>46105</v>
      </c>
    </row>
    <row r="388" spans="1:41" x14ac:dyDescent="0.25">
      <c r="A388" s="5" t="str">
        <f>IFERROR(IF(INDEX([3]US!$A$2:$A$15,MATCH($D388,[3]US!$D$2:$D$15,0))="","",INDEX([3]US!$A$2:$A$15,MATCH($D388,[3]US!$D$2:$D$15,0))),"")</f>
        <v>Finalized</v>
      </c>
      <c r="B388" s="5" t="str">
        <f>IFERROR(IF(INDEX([3]US!$B$2:$B$15,MATCH($D388,[3]US!$D$2:$D$15,0))="","",INDEX([3]US!$B$2:$B$15,MATCH($D388,[3]US!$D$2:$D$15,0))),"")</f>
        <v>PAID - Insurance approved correction - Edited dx order, used I83811 as a primary code, and resubmitted - Denied payment for 93970 with remark: invalid dx</v>
      </c>
      <c r="C388" s="6">
        <f>IFERROR(IF(INDEX([3]US!$C$2:$C$15,MATCH($D388,[3]US!$D$2:$D$15,0))="","",INDEX([3]US!$C$2:$C$15,MATCH($D388,[3]US!$D$2:$D$15,0))),"")</f>
        <v>46127</v>
      </c>
      <c r="D388" s="7">
        <v>569508762</v>
      </c>
      <c r="E388" s="8" t="s">
        <v>326</v>
      </c>
      <c r="F388" s="9">
        <v>46105</v>
      </c>
      <c r="G388" s="8" t="s">
        <v>261</v>
      </c>
      <c r="H388" s="8" t="s">
        <v>261</v>
      </c>
      <c r="I388" s="8" t="s">
        <v>69</v>
      </c>
      <c r="J388" s="8" t="s">
        <v>135</v>
      </c>
      <c r="K388" s="6">
        <f>IFERROR(IF(INDEX([3]US!$K$2:$K$15,MATCH($D388,[3]US!$D$2:$D$15,0))="","",INDEX([3]US!$K$2:$K$15,MATCH($D388,[3]US!$D$2:$D$15,0))),"")</f>
        <v>46269</v>
      </c>
      <c t="str" r="L388" s="11">
        <f ca="1">IF($O388="","",$O388-TODAY())</f>
        <v/>
      </c>
      <c t="str" r="M388" s="11">
        <f ca="1">IF(AND(TRIM($A388)="Finalized",$K388&lt;&gt;""),"",IF($F388="","",$F388+90-TODAY()))</f>
        <v/>
      </c>
      <c t="str" r="N388" s="11">
        <f ca="1">IF(AND(TRIM($A388)="Finalized",$K388&lt;&gt;""),"",IF($C388="","",$C388+180-TODAY()))</f>
        <v/>
      </c>
      <c t="str" r="O388" s="9">
        <f>IF(AND(TRIM($A388)="Finalized",$K388&lt;&gt;""),"",DATE(2026,6,22))</f>
        <v/>
      </c>
      <c r="P388" s="8" t="s">
        <v>86</v>
      </c>
      <c r="Q388" s="8" t="s">
        <v>144</v>
      </c>
      <c r="R388" s="8" t="s">
        <v>86</v>
      </c>
      <c r="S388" s="8" t="s">
        <v>88</v>
      </c>
      <c r="T388" s="8" t="s">
        <v>117</v>
      </c>
      <c r="U388" s="8" t="s">
        <v>74</v>
      </c>
      <c r="V388" s="8" t="s">
        <v>256</v>
      </c>
      <c r="W388" s="8" t="s">
        <v>129</v>
      </c>
      <c r="X388" s="8"/>
      <c r="Y388" s="8"/>
      <c r="Z388" s="8"/>
      <c r="AA388" s="8" t="s">
        <v>77</v>
      </c>
      <c r="AB388" s="10">
        <v>1294.23</v>
      </c>
      <c r="AC388" s="10">
        <v>0</v>
      </c>
      <c r="AD388" s="10">
        <v>0</v>
      </c>
      <c r="AE388" s="9"/>
      <c r="AF388" s="10">
        <v>1294.23</v>
      </c>
      <c r="AG388" s="7">
        <v>137</v>
      </c>
      <c r="AH388" s="8" t="s">
        <v>105</v>
      </c>
      <c r="AI388" s="8" t="s">
        <v>175</v>
      </c>
      <c r="AJ388" s="8" t="s">
        <v>327</v>
      </c>
      <c r="AK388" s="8"/>
      <c r="AL388" s="7"/>
      <c r="AM388" s="8" t="s">
        <v>157</v>
      </c>
      <c r="AN388" s="8" t="s">
        <v>158</v>
      </c>
      <c r="AO388" s="9">
        <v>46121</v>
      </c>
    </row>
    <row r="389" spans="1:41" x14ac:dyDescent="0.25">
      <c r="A389" s="5" t="str">
        <f>IFERROR(IF(INDEX([3]BH!$A$2:$A$32,MATCH($D389,[3]BH!$D$2:$D$32,0))="","",INDEX([3]BH!$A$2:$A$32,MATCH($D389,[3]BH!$D$2:$D$32,0))),"")</f>
        <v>Finalized</v>
      </c>
      <c r="B389" s="5" t="str">
        <f>IFERROR(IF(INDEX([3]BH!$B$2:$B$32,MATCH($D389,[3]BH!$D$2:$D$32,0))="","",INDEX([3]BH!$B$2:$B$32,MATCH($D389,[3]BH!$D$2:$D$32,0))),"")</f>
        <v>Shifted balance to PR as per EOB - ChampVA doesn't cover BH</v>
      </c>
      <c r="C389" s="6">
        <f>IFERROR(IF(INDEX([3]BH!$C$2:$C$32,MATCH($D389,[3]BH!$D$2:$D$32,0))="","",INDEX([3]BH!$C$2:$C$32,MATCH($D389,[3]BH!$D$2:$D$32,0))),"")</f>
        <v>46123</v>
      </c>
      <c r="D389" s="7">
        <v>554246495</v>
      </c>
      <c r="E389" s="8" t="s">
        <v>331</v>
      </c>
      <c r="F389" s="9">
        <v>46106</v>
      </c>
      <c r="G389" s="8" t="s">
        <v>332</v>
      </c>
      <c r="H389" s="8" t="s">
        <v>97</v>
      </c>
      <c r="I389" s="8" t="s">
        <v>332</v>
      </c>
      <c r="J389" s="8" t="s">
        <v>333</v>
      </c>
      <c r="K389" s="6">
        <f>IFERROR(IF(INDEX([3]BH!$K$2:$K$32,MATCH($D389,[3]BH!$D$2:$D$32,0))="","",INDEX([3]BH!$K$2:$K$32,MATCH($D389,[3]BH!$D$2:$D$32,0))),"")</f>
        <v>46268</v>
      </c>
      <c t="str" r="L389" s="11">
        <f ca="1">IF($O389="","",$O389-TODAY())</f>
        <v/>
      </c>
      <c t="str" r="M389" s="11">
        <f ca="1">IF(AND(TRIM($A389)="Finalized",$K389&lt;&gt;""),"",IF($F389="","",$F389+90-TODAY()))</f>
        <v/>
      </c>
      <c t="str" r="N389" s="11">
        <f ca="1">IF(AND(TRIM($A389)="Finalized",$K389&lt;&gt;""),"",IF($C389="","",$C389+540-TODAY()))</f>
        <v/>
      </c>
      <c t="str" r="O389" s="9">
        <f>IF(AND(TRIM($A389)="Finalized",$K389&lt;&gt;""),"",DATE(2026,6,23))</f>
        <v/>
      </c>
      <c r="P389" s="8" t="s">
        <v>86</v>
      </c>
      <c r="Q389" s="8" t="s">
        <v>99</v>
      </c>
      <c r="R389" s="8" t="s">
        <v>86</v>
      </c>
      <c r="S389" s="8" t="s">
        <v>88</v>
      </c>
      <c r="T389" s="8" t="s">
        <v>100</v>
      </c>
      <c r="U389" s="8" t="s">
        <v>74</v>
      </c>
      <c r="V389" s="8" t="s">
        <v>256</v>
      </c>
      <c r="W389" s="8" t="s">
        <v>118</v>
      </c>
      <c r="X389" s="8"/>
      <c r="Y389" s="8"/>
      <c r="Z389" s="8"/>
      <c r="AA389" s="8" t="s">
        <v>77</v>
      </c>
      <c r="AB389" s="10">
        <v>1029.98</v>
      </c>
      <c r="AC389" s="10">
        <v>883.53</v>
      </c>
      <c r="AD389" s="10">
        <v>121.45</v>
      </c>
      <c r="AE389" s="9">
        <v>46123</v>
      </c>
      <c r="AF389" s="10">
        <v>25</v>
      </c>
      <c r="AG389" s="7">
        <v>136</v>
      </c>
      <c r="AH389" s="8" t="s">
        <v>201</v>
      </c>
      <c r="AI389" s="8"/>
      <c r="AJ389" s="8"/>
      <c r="AK389" s="8"/>
      <c r="AL389" s="7">
        <v>557570817</v>
      </c>
      <c r="AM389" s="8" t="s">
        <v>165</v>
      </c>
      <c r="AN389" s="8" t="s">
        <v>132</v>
      </c>
      <c r="AO389" s="9">
        <v>46119</v>
      </c>
    </row>
    <row r="390" spans="1:41" x14ac:dyDescent="0.25">
      <c r="A390" s="5" t="str">
        <f>IFERROR(IF(INDEX([4]ORTHO!$A$2:$A$21,MATCH($D390,[4]ORTHO!$D$2:$D$21,0))="","",INDEX([4]ORTHO!$A$2:$A$21,MATCH($D390,[4]ORTHO!$D$2:$D$21,0))),"")</f>
        <v>Finalized</v>
      </c>
      <c r="B390" s="5" t="str">
        <f>IFERROR(IF(INDEX([4]ORTHO!$B$2:$B$21,MATCH($D390,[4]ORTHO!$D$2:$D$21,0))="","",INDEX([4]ORTHO!$B$2:$B$21,MATCH($D390,[4]ORTHO!$D$2:$D$21,0))),"")</f>
        <v xml:space="preserve">Adjusted balance - DND The time limit for filing has expired - Deleted M5416, and resubmitted on portal - Dx M5116 with M5416 identify two conditions that cannot be reported together - CLAIM DOWNLOADED </v>
      </c>
      <c r="C390" s="6">
        <f>IFERROR(IF(INDEX([4]ORTHO!$C$2:$C$21,MATCH($D390,[4]ORTHO!$D$2:$D$21,0))="","",INDEX([4]ORTHO!$C$2:$C$21,MATCH($D390,[4]ORTHO!$D$2:$D$21,0))),"")</f>
        <v>46261</v>
      </c>
      <c r="D390" s="7">
        <v>556735438</v>
      </c>
      <c r="E390" s="8" t="s">
        <v>340</v>
      </c>
      <c r="F390" s="9">
        <v>46113</v>
      </c>
      <c r="G390" s="8" t="s">
        <v>114</v>
      </c>
      <c r="H390" s="8" t="s">
        <v>114</v>
      </c>
      <c r="I390" s="8" t="s">
        <v>69</v>
      </c>
      <c r="J390" s="8" t="s">
        <v>219</v>
      </c>
      <c r="K390" s="6">
        <f>IFERROR(IF(INDEX([4]ORTHO!$K$2:$K$21,MATCH($D390,[4]ORTHO!$D$2:$D$21,0))="","",INDEX([4]ORTHO!$K$2:$K$21,MATCH($D390,[4]ORTHO!$D$2:$D$21,0))),"")</f>
        <v>46269</v>
      </c>
      <c t="str" r="L390" s="11">
        <f ca="1">IF($O390="","",$O390-TODAY())</f>
        <v/>
      </c>
      <c t="str" r="M390" s="11">
        <f ca="1">IF(AND(TRIM($A390)="Finalized",$K390&lt;&gt;""),"",IF($C390="","",$C390+180-TODAY()))</f>
        <v/>
      </c>
      <c t="str" r="N390" s="11">
        <f ca="1">IF(AND(TRIM($A390)="Finalized",$K390&lt;&gt;""),"",IF($C390="","",$C390+365-TODAY()))</f>
        <v/>
      </c>
      <c t="str" r="O390" s="9">
        <f>IF(AND(TRIM($A390)="Finalized",$K390&lt;&gt;""),"",DATE(2026,6,30))</f>
        <v/>
      </c>
      <c r="P390" s="8" t="s">
        <v>86</v>
      </c>
      <c r="Q390" s="8" t="s">
        <v>116</v>
      </c>
      <c r="R390" s="8" t="s">
        <v>117</v>
      </c>
      <c r="S390" s="8" t="s">
        <v>74</v>
      </c>
      <c r="T390" s="8" t="s">
        <v>73</v>
      </c>
      <c r="U390" s="8" t="s">
        <v>74</v>
      </c>
      <c r="V390" s="8" t="s">
        <v>339</v>
      </c>
      <c r="W390" s="8" t="s">
        <v>76</v>
      </c>
      <c r="X390" s="8"/>
      <c r="Y390" s="8"/>
      <c r="Z390" s="8"/>
      <c r="AA390" s="8" t="s">
        <v>77</v>
      </c>
      <c r="AB390" s="10">
        <v>9056.39</v>
      </c>
      <c r="AC390" s="10">
        <v>0</v>
      </c>
      <c r="AD390" s="10">
        <v>0</v>
      </c>
      <c r="AE390" s="9"/>
      <c r="AF390" s="10">
        <v>9056.39</v>
      </c>
      <c r="AG390" s="7">
        <v>129</v>
      </c>
      <c r="AH390" s="8" t="s">
        <v>341</v>
      </c>
      <c r="AI390" s="8" t="s">
        <v>342</v>
      </c>
      <c r="AJ390" s="8" t="s">
        <v>241</v>
      </c>
      <c r="AK390" s="8"/>
      <c r="AL390" s="7"/>
      <c r="AM390" s="8" t="s">
        <v>272</v>
      </c>
      <c r="AN390" s="8" t="s">
        <v>109</v>
      </c>
      <c r="AO390" s="9">
        <v>46197</v>
      </c>
    </row>
    <row r="391" spans="1:41" x14ac:dyDescent="0.25">
      <c r="A391" s="5" t="str">
        <f>IFERROR(IF(INDEX([4]DME!$A$2:$A$34,MATCH($D391,[4]DME!$D$2:$D$34,0))="","",INDEX([4]DME!$A$2:$A$34,MATCH($D391,[4]DME!$D$2:$D$34,0))),"")</f>
        <v>Finalized</v>
      </c>
      <c r="B391" s="5" t="str">
        <f>IFERROR(IF(INDEX([4]DME!$B$2:$B$34,MATCH($D391,[4]DME!$D$2:$D$34,0))="","",INDEX([4]DME!$B$2:$B$34,MATCH($D391,[4]DME!$D$2:$D$34,0))),"")</f>
        <v>Auth required for 63047 - No request found</v>
      </c>
      <c r="C391" s="6">
        <f>IFERROR(IF(INDEX([4]DME!$C$2:$C$34,MATCH($D391,[4]DME!$D$2:$D$34,0))="","",INDEX([4]DME!$C$2:$C$34,MATCH($D391,[4]DME!$D$2:$D$34,0))),"")</f>
        <v>46127</v>
      </c>
      <c r="D391" s="7">
        <v>565388227</v>
      </c>
      <c r="E391" s="8" t="s">
        <v>353</v>
      </c>
      <c r="F391" s="9">
        <v>46118</v>
      </c>
      <c r="G391" s="8" t="s">
        <v>148</v>
      </c>
      <c r="H391" s="8" t="s">
        <v>148</v>
      </c>
      <c r="I391" s="8" t="s">
        <v>69</v>
      </c>
      <c r="J391" s="8" t="s">
        <v>354</v>
      </c>
      <c r="K391" s="6">
        <f>IFERROR(IF(INDEX([4]DME!$K$2:$K$34,MATCH($D391,[4]DME!$D$2:$D$34,0))="","",INDEX([4]DME!$K$2:$K$34,MATCH($D391,[4]DME!$D$2:$D$34,0))),"")</f>
        <v>46284</v>
      </c>
      <c t="str" r="L391" s="11">
        <f ca="1">IF($O391="","",$O391-TODAY())</f>
        <v/>
      </c>
      <c t="str" r="M391" s="11">
        <f ca="1">IF(AND(TRIM($A391)="Finalized",$K391&lt;&gt;""),"",IF($C391="","",$C391+180-TODAY()))</f>
        <v/>
      </c>
      <c t="str" r="N391" s="11">
        <f ca="1">IF(AND(TRIM($A391)="Finalized",$K391&lt;&gt;""),"",IF($C391="","",$C391+365-TODAY()))</f>
        <v/>
      </c>
      <c t="str" r="O391" s="9">
        <f>IF(AND(TRIM($A391)="Finalized",$K391&lt;&gt;""),"",DATE(2026,7,5))</f>
        <v/>
      </c>
      <c r="P391" s="8" t="s">
        <v>86</v>
      </c>
      <c r="Q391" s="8" t="s">
        <v>152</v>
      </c>
      <c r="R391" s="8" t="s">
        <v>117</v>
      </c>
      <c r="S391" s="8" t="s">
        <v>74</v>
      </c>
      <c r="T391" s="8" t="s">
        <v>73</v>
      </c>
      <c r="U391" s="8" t="s">
        <v>74</v>
      </c>
      <c r="V391" s="8" t="s">
        <v>339</v>
      </c>
      <c r="W391" s="8" t="s">
        <v>89</v>
      </c>
      <c r="X391" s="8" t="s">
        <v>290</v>
      </c>
      <c r="Y391" s="8"/>
      <c r="Z391" s="8"/>
      <c r="AA391" s="8" t="s">
        <v>77</v>
      </c>
      <c r="AB391" s="10">
        <v>9479.4</v>
      </c>
      <c r="AC391" s="10">
        <v>0</v>
      </c>
      <c r="AD391" s="10">
        <v>0</v>
      </c>
      <c r="AE391" s="9">
        <v>46127</v>
      </c>
      <c r="AF391" s="10">
        <v>9479.4</v>
      </c>
      <c r="AG391" s="7">
        <v>124</v>
      </c>
      <c r="AH391" s="8" t="s">
        <v>145</v>
      </c>
      <c r="AI391" s="8"/>
      <c r="AJ391" s="8"/>
      <c r="AK391" s="8"/>
      <c r="AL391" s="7"/>
      <c r="AM391" s="8" t="s">
        <v>217</v>
      </c>
      <c r="AN391" s="8" t="s">
        <v>132</v>
      </c>
      <c r="AO391" s="9">
        <v>46121</v>
      </c>
    </row>
    <row r="392" spans="1:41" x14ac:dyDescent="0.25">
      <c r="A392" s="5" t="str">
        <f>IFERROR(IF(INDEX([3]US!$A$2:$A$15,MATCH($D392,[3]US!$D$2:$D$15,0))="","",INDEX([3]US!$A$2:$A$15,MATCH($D392,[3]US!$D$2:$D$15,0))),"")</f>
        <v>Finalized</v>
      </c>
      <c r="B392" s="5" t="str">
        <f>IFERROR(IF(INDEX([3]US!$B$2:$B$15,MATCH($D392,[3]US!$D$2:$D$15,0))="","",INDEX([3]US!$B$2:$B$15,MATCH($D392,[3]US!$D$2:$D$15,0))),"")</f>
        <v>Adjusted balance - 93923 bundled with 93925 - DND 93923  Mutually exclusive procedures cannot be done in the same day/setting</v>
      </c>
      <c r="C392" s="6">
        <f>IFERROR(IF(INDEX([3]US!$C$2:$C$15,MATCH($D392,[3]US!$D$2:$D$15,0))="","",INDEX([3]US!$C$2:$C$15,MATCH($D392,[3]US!$D$2:$D$15,0))),"")</f>
        <v>46129</v>
      </c>
      <c r="D392" s="7">
        <v>553810379</v>
      </c>
      <c r="E392" s="8" t="s">
        <v>376</v>
      </c>
      <c r="F392" s="9">
        <v>46092</v>
      </c>
      <c r="G392" s="8" t="s">
        <v>377</v>
      </c>
      <c r="H392" s="8" t="s">
        <v>377</v>
      </c>
      <c r="I392" s="8" t="s">
        <v>69</v>
      </c>
      <c r="J392" s="8" t="s">
        <v>378</v>
      </c>
      <c r="K392" s="6">
        <f>IFERROR(IF(INDEX([3]US!$K$2:$K$15,MATCH($D392,[3]US!$D$2:$D$15,0))="","",INDEX([3]US!$K$2:$K$15,MATCH($D392,[3]US!$D$2:$D$15,0))),"")</f>
        <v>46278</v>
      </c>
      <c t="str" r="L392" s="11">
        <f ca="1">IF($O392="","",$O392-TODAY())</f>
        <v/>
      </c>
      <c t="str" r="M392" s="11">
        <f ca="1">IF(AND(TRIM($A392)="Finalized",$K392&lt;&gt;""),"",IF($C392="","",$C392+180-TODAY()))</f>
        <v/>
      </c>
      <c t="str" r="N392" s="11">
        <f ca="1">IF(AND(TRIM($A392)="Finalized",$K392&lt;&gt;""),"",IF($C392="","",$C392+180-TODAY()))</f>
        <v/>
      </c>
      <c t="str" r="O392" s="9">
        <f>IF(AND(TRIM($A392)="Finalized",$K392&lt;&gt;""),"",DATE(2026,7,9))</f>
        <v/>
      </c>
      <c r="P392" s="8" t="s">
        <v>208</v>
      </c>
      <c r="Q392" s="8" t="s">
        <v>379</v>
      </c>
      <c r="R392" s="8" t="s">
        <v>117</v>
      </c>
      <c r="S392" s="8" t="s">
        <v>74</v>
      </c>
      <c r="T392" s="8" t="s">
        <v>117</v>
      </c>
      <c r="U392" s="8" t="s">
        <v>74</v>
      </c>
      <c r="V392" s="8" t="s">
        <v>256</v>
      </c>
      <c r="W392" s="8" t="s">
        <v>129</v>
      </c>
      <c r="X392" s="8"/>
      <c r="Y392" s="8"/>
      <c r="Z392" s="8"/>
      <c r="AA392" s="8" t="s">
        <v>77</v>
      </c>
      <c r="AB392" s="10">
        <v>879.06</v>
      </c>
      <c r="AC392" s="10">
        <v>0</v>
      </c>
      <c r="AD392" s="10">
        <v>0</v>
      </c>
      <c r="AE392" s="9">
        <v>46129</v>
      </c>
      <c r="AF392" s="10">
        <v>879.06</v>
      </c>
      <c r="AG392" s="7">
        <v>150</v>
      </c>
      <c r="AH392" s="8" t="s">
        <v>316</v>
      </c>
      <c r="AI392" s="8" t="s">
        <v>130</v>
      </c>
      <c r="AJ392" s="8"/>
      <c r="AK392" s="8"/>
      <c r="AL392" s="7"/>
      <c r="AM392" s="8" t="s">
        <v>165</v>
      </c>
      <c r="AN392" s="8" t="s">
        <v>95</v>
      </c>
      <c r="AO392" s="9">
        <v>46106</v>
      </c>
    </row>
    <row r="393" spans="1:41" x14ac:dyDescent="0.25">
      <c r="A393" s="5" t="str">
        <f>IFERROR(IF(INDEX([4]ORTHO!$A$2:$A$21,MATCH($D393,[4]ORTHO!$D$2:$D$21,0))="","",INDEX([4]ORTHO!$A$2:$A$21,MATCH($D393,[4]ORTHO!$D$2:$D$21,0))),"")</f>
        <v>Finalized</v>
      </c>
      <c r="B393" s="5" t="str">
        <f>IFERROR(IF(INDEX([4]ORTHO!$B$2:$B$21,MATCH($D393,[4]ORTHO!$D$2:$D$21,0))="","",INDEX([4]ORTHO!$B$2:$B$21,MATCH($D393,[4]ORTHO!$D$2:$D$21,0))),"")</f>
        <v>Adjusted balance</v>
      </c>
      <c r="C393" s="6">
        <f>IFERROR(IF(INDEX([4]ORTHO!$C$2:$C$21,MATCH($D393,[4]ORTHO!$D$2:$D$21,0))="","",INDEX([4]ORTHO!$C$2:$C$21,MATCH($D393,[4]ORTHO!$D$2:$D$21,0))),"")</f>
        <v>46141</v>
      </c>
      <c r="D393" s="7">
        <v>556692374</v>
      </c>
      <c r="E393" s="8" t="s">
        <v>385</v>
      </c>
      <c r="F393" s="9">
        <v>46125</v>
      </c>
      <c r="G393" s="8" t="s">
        <v>123</v>
      </c>
      <c r="H393" s="8" t="s">
        <v>123</v>
      </c>
      <c r="I393" s="8" t="s">
        <v>69</v>
      </c>
      <c r="J393" s="8" t="s">
        <v>386</v>
      </c>
      <c r="K393" s="6">
        <f>IFERROR(IF(INDEX([4]ORTHO!$K$2:$K$21,MATCH($D393,[4]ORTHO!$D$2:$D$21,0))="","",INDEX([4]ORTHO!$K$2:$K$21,MATCH($D393,[4]ORTHO!$D$2:$D$21,0))),"")</f>
        <v>46278</v>
      </c>
      <c t="str" r="L393" s="11">
        <f ca="1">IF($O393="","",$O393-TODAY())</f>
        <v/>
      </c>
      <c t="str" r="M393" s="11">
        <f ca="1">IF(AND(TRIM($A393)="Finalized",$K393&lt;&gt;""),"",IF($F393="","",$F393+90-TODAY()))</f>
        <v/>
      </c>
      <c t="str" r="N393" s="11">
        <f ca="1">IF(AND(TRIM($A393)="Finalized",$K393&lt;&gt;""),"",IF($C393="","",$C393+365-TODAY()))</f>
        <v/>
      </c>
      <c t="str" r="O393" s="9">
        <f>IF(AND(TRIM($A393)="Finalized",$K393&lt;&gt;""),"",DATE(2026,7,12))</f>
        <v/>
      </c>
      <c r="P393" s="8" t="s">
        <v>86</v>
      </c>
      <c r="Q393" s="8" t="s">
        <v>125</v>
      </c>
      <c r="R393" s="8" t="s">
        <v>86</v>
      </c>
      <c r="S393" s="8" t="s">
        <v>88</v>
      </c>
      <c r="T393" s="8" t="s">
        <v>73</v>
      </c>
      <c r="U393" s="8" t="s">
        <v>74</v>
      </c>
      <c r="V393" s="8" t="s">
        <v>339</v>
      </c>
      <c r="W393" s="8" t="s">
        <v>76</v>
      </c>
      <c r="X393" s="8"/>
      <c r="Y393" s="8"/>
      <c r="Z393" s="8"/>
      <c r="AA393" s="8" t="s">
        <v>77</v>
      </c>
      <c r="AB393" s="10">
        <v>5441.29</v>
      </c>
      <c r="AC393" s="10">
        <v>0</v>
      </c>
      <c r="AD393" s="10">
        <v>0</v>
      </c>
      <c r="AE393" s="9">
        <v>46141</v>
      </c>
      <c r="AF393" s="10">
        <v>5441.29</v>
      </c>
      <c r="AG393" s="7">
        <v>117</v>
      </c>
      <c r="AH393" s="8" t="s">
        <v>182</v>
      </c>
      <c r="AI393" s="8"/>
      <c r="AJ393" s="8"/>
      <c r="AK393" s="8"/>
      <c r="AL393" s="7"/>
      <c r="AM393" s="8" t="s">
        <v>217</v>
      </c>
      <c r="AN393" s="8" t="s">
        <v>109</v>
      </c>
      <c r="AO393" s="9">
        <v>46133</v>
      </c>
    </row>
    <row r="394" spans="1:41" x14ac:dyDescent="0.25">
      <c r="A394" s="5" t="str">
        <f>IFERROR(IF(INDEX([4]DME!$A$2:$A$34,MATCH($D394,[4]DME!$D$2:$D$34,0))="","",INDEX([4]DME!$A$2:$A$34,MATCH($D394,[4]DME!$D$2:$D$34,0))),"")</f>
        <v>Finalized</v>
      </c>
      <c r="B394" s="5" t="str">
        <f>IFERROR(IF(INDEX([4]DME!$B$2:$B$34,MATCH($D394,[4]DME!$D$2:$D$34,0))="","",INDEX([4]DME!$B$2:$B$34,MATCH($D394,[4]DME!$D$2:$D$34,0))),"")</f>
        <v xml:space="preserve">Adjusted balance - No auth request on file for collagen dressings - DND Acodes no auth </v>
      </c>
      <c r="C394" s="6">
        <f>IFERROR(IF(INDEX([4]DME!$C$2:$C$34,MATCH($D394,[4]DME!$D$2:$D$34,0))="","",INDEX([4]DME!$C$2:$C$34,MATCH($D394,[4]DME!$D$2:$D$34,0))),"")</f>
        <v>46170</v>
      </c>
      <c r="D394" s="7">
        <v>556802417</v>
      </c>
      <c r="E394" s="8" t="s">
        <v>387</v>
      </c>
      <c r="F394" s="9">
        <v>46125</v>
      </c>
      <c r="G394" s="8" t="s">
        <v>134</v>
      </c>
      <c r="H394" s="8" t="s">
        <v>134</v>
      </c>
      <c r="I394" s="8" t="s">
        <v>69</v>
      </c>
      <c r="J394" s="8" t="s">
        <v>243</v>
      </c>
      <c r="K394" s="6">
        <f>IFERROR(IF(INDEX([4]DME!$K$2:$K$34,MATCH($D394,[4]DME!$D$2:$D$34,0))="","",INDEX([4]DME!$K$2:$K$34,MATCH($D394,[4]DME!$D$2:$D$34,0))),"")</f>
        <v>46285</v>
      </c>
      <c t="str" r="L394" s="11">
        <f ca="1">IF($O394="","",$O394-TODAY())</f>
        <v/>
      </c>
      <c t="str" r="M394" s="11">
        <f ca="1">IF(AND(TRIM($A394)="Finalized",$K394&lt;&gt;""),"",IF($C394="","",$C394+365-TODAY()))</f>
        <v/>
      </c>
      <c t="str" r="N394" s="11">
        <f ca="1">IF(AND(TRIM($A394)="Finalized",$K394&lt;&gt;""),"",IF($C394="","",$C394+365-TODAY()))</f>
        <v/>
      </c>
      <c t="str" r="O394" s="9">
        <f>IF(AND(TRIM($A394)="Finalized",$K394&lt;&gt;""),"",DATE(2026,7,12))</f>
        <v/>
      </c>
      <c r="P394" s="8" t="s">
        <v>86</v>
      </c>
      <c r="Q394" s="8" t="s">
        <v>136</v>
      </c>
      <c r="R394" s="8" t="s">
        <v>73</v>
      </c>
      <c r="S394" s="8" t="s">
        <v>74</v>
      </c>
      <c r="T394" s="8" t="s">
        <v>73</v>
      </c>
      <c r="U394" s="8" t="s">
        <v>74</v>
      </c>
      <c r="V394" s="8" t="s">
        <v>339</v>
      </c>
      <c r="W394" s="8" t="s">
        <v>89</v>
      </c>
      <c r="X394" s="8" t="s">
        <v>244</v>
      </c>
      <c r="Y394" s="8"/>
      <c r="Z394" s="8"/>
      <c r="AA394" s="8" t="s">
        <v>91</v>
      </c>
      <c r="AB394" s="10">
        <v>5916.4</v>
      </c>
      <c r="AC394" s="10">
        <v>0</v>
      </c>
      <c r="AD394" s="10">
        <v>0</v>
      </c>
      <c r="AE394" s="9">
        <v>46170</v>
      </c>
      <c r="AF394" s="10">
        <v>5916.4</v>
      </c>
      <c r="AG394" s="7">
        <v>117</v>
      </c>
      <c r="AH394" s="8" t="s">
        <v>92</v>
      </c>
      <c r="AI394" s="8" t="s">
        <v>145</v>
      </c>
      <c r="AJ394" s="8"/>
      <c r="AK394" s="8"/>
      <c r="AL394" s="7"/>
      <c r="AM394" s="8" t="s">
        <v>126</v>
      </c>
      <c r="AN394" s="8" t="s">
        <v>95</v>
      </c>
      <c r="AO394" s="9">
        <v>46134</v>
      </c>
    </row>
    <row r="395" spans="1:41" x14ac:dyDescent="0.25">
      <c r="A395" s="5" t="str">
        <f>IFERROR(IF(INDEX([4]DME!$A$2:$A$34,MATCH($D395,[4]DME!$D$2:$D$34,0))="","",INDEX([4]DME!$A$2:$A$34,MATCH($D395,[4]DME!$D$2:$D$34,0))),"")</f>
        <v>Finalized</v>
      </c>
      <c r="B395" s="5" t="str">
        <f>IFERROR(IF(INDEX([4]DME!$B$2:$B$34,MATCH($D395,[4]DME!$D$2:$D$34,0))="","",INDEX([4]DME!$B$2:$B$34,MATCH($D395,[4]DME!$D$2:$D$34,0))),"")</f>
        <v xml:space="preserve">Adjusted balance - No auth request on file for collagen dressings - DND Acodes no auth </v>
      </c>
      <c r="C395" s="6">
        <f>IFERROR(IF(INDEX([4]DME!$C$2:$C$34,MATCH($D395,[4]DME!$D$2:$D$34,0))="","",INDEX([4]DME!$C$2:$C$34,MATCH($D395,[4]DME!$D$2:$D$34,0))),"")</f>
        <v>46167</v>
      </c>
      <c r="D395" s="7">
        <v>556804689</v>
      </c>
      <c r="E395" s="8" t="s">
        <v>388</v>
      </c>
      <c r="F395" s="9">
        <v>46125</v>
      </c>
      <c r="G395" s="8" t="s">
        <v>134</v>
      </c>
      <c r="H395" s="8" t="s">
        <v>134</v>
      </c>
      <c r="I395" s="8" t="s">
        <v>69</v>
      </c>
      <c r="J395" s="8" t="s">
        <v>381</v>
      </c>
      <c r="K395" s="6">
        <f>IFERROR(IF(INDEX([4]DME!$K$2:$K$34,MATCH($D395,[4]DME!$D$2:$D$34,0))="","",INDEX([4]DME!$K$2:$K$34,MATCH($D395,[4]DME!$D$2:$D$34,0))),"")</f>
        <v>46285</v>
      </c>
      <c t="str" r="L395" s="11">
        <f ca="1">IF($O395="","",$O395-TODAY())</f>
        <v/>
      </c>
      <c t="str" r="M395" s="11">
        <f ca="1">IF(AND(TRIM($A395)="Finalized",$K395&lt;&gt;""),"",IF($C395="","",$C395+365-TODAY()))</f>
        <v/>
      </c>
      <c t="str" r="N395" s="11">
        <f ca="1">IF(AND(TRIM($A395)="Finalized",$K395&lt;&gt;""),"",IF($C395="","",$C395+365-TODAY()))</f>
        <v/>
      </c>
      <c t="str" r="O395" s="9">
        <f>IF(AND(TRIM($A395)="Finalized",$K395&lt;&gt;""),"",DATE(2026,7,12))</f>
        <v/>
      </c>
      <c r="P395" s="8" t="s">
        <v>86</v>
      </c>
      <c r="Q395" s="8" t="s">
        <v>136</v>
      </c>
      <c r="R395" s="8" t="s">
        <v>73</v>
      </c>
      <c r="S395" s="8" t="s">
        <v>74</v>
      </c>
      <c r="T395" s="8" t="s">
        <v>73</v>
      </c>
      <c r="U395" s="8" t="s">
        <v>74</v>
      </c>
      <c r="V395" s="8" t="s">
        <v>339</v>
      </c>
      <c r="W395" s="8" t="s">
        <v>89</v>
      </c>
      <c r="X395" s="8" t="s">
        <v>90</v>
      </c>
      <c r="Y395" s="8"/>
      <c r="Z395" s="8"/>
      <c r="AA395" s="8" t="s">
        <v>91</v>
      </c>
      <c r="AB395" s="10">
        <v>5916.4</v>
      </c>
      <c r="AC395" s="10">
        <v>0</v>
      </c>
      <c r="AD395" s="10">
        <v>0</v>
      </c>
      <c r="AE395" s="9">
        <v>46167</v>
      </c>
      <c r="AF395" s="10">
        <v>5916.4</v>
      </c>
      <c r="AG395" s="7">
        <v>117</v>
      </c>
      <c r="AH395" s="8" t="s">
        <v>92</v>
      </c>
      <c r="AI395" s="8" t="s">
        <v>79</v>
      </c>
      <c r="AJ395" s="8"/>
      <c r="AK395" s="8"/>
      <c r="AL395" s="7"/>
      <c r="AM395" s="8" t="s">
        <v>126</v>
      </c>
      <c r="AN395" s="8" t="s">
        <v>95</v>
      </c>
      <c r="AO395" s="9">
        <v>46134</v>
      </c>
    </row>
    <row r="396" spans="1:41" x14ac:dyDescent="0.25">
      <c r="A396" s="5" t="str">
        <f>IFERROR(IF(INDEX([4]DME!$A$2:$A$34,MATCH($D396,[4]DME!$D$2:$D$34,0))="","",INDEX([4]DME!$A$2:$A$34,MATCH($D396,[4]DME!$D$2:$D$34,0))),"")</f>
        <v>Finalized</v>
      </c>
      <c r="B396" s="5" t="str">
        <f>IFERROR(IF(INDEX([4]DME!$B$2:$B$34,MATCH($D396,[4]DME!$D$2:$D$34,0))="","",INDEX([4]DME!$B$2:$B$34,MATCH($D396,[4]DME!$D$2:$D$34,0))),"")</f>
        <v xml:space="preserve">Adjusted balance - No auth request on file for collagen dressings - DND Acodes no auth </v>
      </c>
      <c r="C396" s="6">
        <f>IFERROR(IF(INDEX([4]DME!$C$2:$C$34,MATCH($D396,[4]DME!$D$2:$D$34,0))="","",INDEX([4]DME!$C$2:$C$34,MATCH($D396,[4]DME!$D$2:$D$34,0))),"")</f>
        <v>46170</v>
      </c>
      <c r="D396" s="7">
        <v>556801421</v>
      </c>
      <c r="E396" s="8" t="s">
        <v>396</v>
      </c>
      <c r="F396" s="9">
        <v>46128</v>
      </c>
      <c r="G396" s="8" t="s">
        <v>134</v>
      </c>
      <c r="H396" s="8" t="s">
        <v>134</v>
      </c>
      <c r="I396" s="8" t="s">
        <v>69</v>
      </c>
      <c r="J396" s="8" t="s">
        <v>243</v>
      </c>
      <c r="K396" s="6">
        <f>IFERROR(IF(INDEX([4]DME!$K$2:$K$34,MATCH($D396,[4]DME!$D$2:$D$34,0))="","",INDEX([4]DME!$K$2:$K$34,MATCH($D396,[4]DME!$D$2:$D$34,0))),"")</f>
        <v>46285</v>
      </c>
      <c t="str" r="L396" s="11">
        <f ca="1">IF($O396="","",$O396-TODAY())</f>
        <v/>
      </c>
      <c t="str" r="M396" s="11">
        <f ca="1">IF(AND(TRIM($A396)="Finalized",$K396&lt;&gt;""),"",IF($C396="","",$C396+365-TODAY()))</f>
        <v/>
      </c>
      <c t="str" r="N396" s="11">
        <f ca="1">IF(AND(TRIM($A396)="Finalized",$K396&lt;&gt;""),"",IF($C396="","",$C396+365-TODAY()))</f>
        <v/>
      </c>
      <c t="str" r="O396" s="9">
        <f>IF(AND(TRIM($A396)="Finalized",$K396&lt;&gt;""),"",DATE(2026,7,15))</f>
        <v/>
      </c>
      <c r="P396" s="8" t="s">
        <v>86</v>
      </c>
      <c r="Q396" s="8" t="s">
        <v>136</v>
      </c>
      <c r="R396" s="8" t="s">
        <v>73</v>
      </c>
      <c r="S396" s="8" t="s">
        <v>74</v>
      </c>
      <c r="T396" s="8" t="s">
        <v>73</v>
      </c>
      <c r="U396" s="8" t="s">
        <v>74</v>
      </c>
      <c r="V396" s="8" t="s">
        <v>339</v>
      </c>
      <c r="W396" s="8" t="s">
        <v>89</v>
      </c>
      <c r="X396" s="8" t="s">
        <v>244</v>
      </c>
      <c r="Y396" s="8"/>
      <c r="Z396" s="8"/>
      <c r="AA396" s="8" t="s">
        <v>91</v>
      </c>
      <c r="AB396" s="10">
        <v>5916.4</v>
      </c>
      <c r="AC396" s="10">
        <v>0</v>
      </c>
      <c r="AD396" s="10">
        <v>0</v>
      </c>
      <c r="AE396" s="9">
        <v>46170</v>
      </c>
      <c r="AF396" s="10">
        <v>5916.4</v>
      </c>
      <c r="AG396" s="7">
        <v>114</v>
      </c>
      <c r="AH396" s="8" t="s">
        <v>92</v>
      </c>
      <c r="AI396" s="8" t="s">
        <v>145</v>
      </c>
      <c r="AJ396" s="8"/>
      <c r="AK396" s="8"/>
      <c r="AL396" s="7"/>
      <c r="AM396" s="8" t="s">
        <v>397</v>
      </c>
      <c r="AN396" s="8" t="s">
        <v>191</v>
      </c>
      <c r="AO396" s="9">
        <v>46134</v>
      </c>
    </row>
    <row r="397" spans="1:41" x14ac:dyDescent="0.25">
      <c r="A397" s="5" t="str">
        <f>IFERROR(IF(INDEX([4]ORTHO!$A$2:$A$21,MATCH($D397,[4]ORTHO!$D$2:$D$21,0))="","",INDEX([4]ORTHO!$A$2:$A$21,MATCH($D397,[4]ORTHO!$D$2:$D$21,0))),"")</f>
        <v>Finalized</v>
      </c>
      <c r="B397" s="5" t="str">
        <f>IFERROR(IF(INDEX([4]ORTHO!$B$2:$B$21,MATCH($D397,[4]ORTHO!$D$2:$D$21,0))="","",INDEX([4]ORTHO!$B$2:$B$21,MATCH($D397,[4]ORTHO!$D$2:$D$21,0))),"")</f>
        <v xml:space="preserve">Adjusted balance - Auth approval only included 63045 - DND procedures not authorized </v>
      </c>
      <c r="C397" s="6">
        <f>IFERROR(IF(INDEX([4]ORTHO!$C$2:$C$21,MATCH($D397,[4]ORTHO!$D$2:$D$21,0))="","",INDEX([4]ORTHO!$C$2:$C$21,MATCH($D397,[4]ORTHO!$D$2:$D$21,0))),"")</f>
        <v>46183</v>
      </c>
      <c r="D397" s="7">
        <v>558964326</v>
      </c>
      <c r="E397" s="8" t="s">
        <v>400</v>
      </c>
      <c r="F397" s="9">
        <v>46129</v>
      </c>
      <c r="G397" s="8" t="s">
        <v>237</v>
      </c>
      <c r="H397" s="8" t="s">
        <v>237</v>
      </c>
      <c r="I397" s="8" t="s">
        <v>69</v>
      </c>
      <c r="J397" s="8" t="s">
        <v>344</v>
      </c>
      <c r="K397" s="6">
        <f>IFERROR(IF(INDEX([4]ORTHO!$K$2:$K$21,MATCH($D397,[4]ORTHO!$D$2:$D$21,0))="","",INDEX([4]ORTHO!$K$2:$K$21,MATCH($D397,[4]ORTHO!$D$2:$D$21,0))),"")</f>
        <v>46278</v>
      </c>
      <c t="str" r="L397" s="11">
        <f ca="1">IF($O397="","",$O397-TODAY())</f>
        <v/>
      </c>
      <c t="str" r="M397" s="11">
        <f ca="1">IF(AND(TRIM($A397)="Finalized",$K397&lt;&gt;""),"",IF($C397="","",$C397+180-TODAY()))</f>
        <v/>
      </c>
      <c t="str" r="N397" s="11">
        <f ca="1">IF(AND(TRIM($A397)="Finalized",$K397&lt;&gt;""),"",IF($C397="","",$C397+365-TODAY()))</f>
        <v/>
      </c>
      <c t="str" r="O397" s="9">
        <f>IF(AND(TRIM($A397)="Finalized",$K397&lt;&gt;""),"",DATE(2026,7,16))</f>
        <v/>
      </c>
      <c r="P397" s="8" t="s">
        <v>86</v>
      </c>
      <c r="Q397" s="8" t="s">
        <v>239</v>
      </c>
      <c r="R397" s="8" t="s">
        <v>117</v>
      </c>
      <c r="S397" s="8" t="s">
        <v>74</v>
      </c>
      <c r="T397" s="8" t="s">
        <v>73</v>
      </c>
      <c r="U397" s="8" t="s">
        <v>74</v>
      </c>
      <c r="V397" s="8" t="s">
        <v>339</v>
      </c>
      <c r="W397" s="8" t="s">
        <v>76</v>
      </c>
      <c r="X397" s="8"/>
      <c r="Y397" s="8"/>
      <c r="Z397" s="8"/>
      <c r="AA397" s="8" t="s">
        <v>77</v>
      </c>
      <c r="AB397" s="10">
        <v>9056.39</v>
      </c>
      <c r="AC397" s="10">
        <v>0</v>
      </c>
      <c r="AD397" s="10">
        <v>0</v>
      </c>
      <c r="AE397" s="9">
        <v>46183</v>
      </c>
      <c r="AF397" s="10">
        <v>9056.39</v>
      </c>
      <c r="AG397" s="7">
        <v>113</v>
      </c>
      <c r="AH397" s="8" t="s">
        <v>145</v>
      </c>
      <c r="AI397" s="8"/>
      <c r="AJ397" s="8"/>
      <c r="AK397" s="8"/>
      <c r="AL397" s="7"/>
      <c r="AM397" s="8" t="s">
        <v>278</v>
      </c>
      <c r="AN397" s="8" t="s">
        <v>109</v>
      </c>
      <c r="AO397" s="9">
        <v>46153</v>
      </c>
    </row>
    <row r="398" spans="1:41" x14ac:dyDescent="0.25">
      <c r="A398" s="5" t="str">
        <f>IFERROR(IF(INDEX([4]BH!$A$2:$A$12,MATCH($D398,[4]BH!$D$2:$D$12,0))="","",INDEX([4]BH!$A$2:$A$12,MATCH($D398,[4]BH!$D$2:$D$12,0))),"")</f>
        <v>Finalized</v>
      </c>
      <c r="B398" s="5" t="str">
        <f>IFERROR(IF(INDEX([4]BH!$B$2:$B$12,MATCH($D398,[4]BH!$D$2:$D$12,0))="","",INDEX([4]BH!$B$2:$B$12,MATCH($D398,[4]BH!$D$2:$D$12,0))),"")</f>
        <v>Shifted balance to PT - ChampVA doesn't cover BH - $25.00 was assigned to PR 3</v>
      </c>
      <c r="C398" s="6">
        <f>IFERROR(IF(INDEX([4]BH!$C$2:$C$12,MATCH($D398,[4]BH!$D$2:$D$12,0))="","",INDEX([4]BH!$C$2:$C$12,MATCH($D398,[4]BH!$D$2:$D$12,0))),"")</f>
        <v>46157</v>
      </c>
      <c r="D398" s="7">
        <v>557054917</v>
      </c>
      <c r="E398" s="8" t="s">
        <v>331</v>
      </c>
      <c r="F398" s="9">
        <v>46135</v>
      </c>
      <c r="G398" s="8" t="s">
        <v>332</v>
      </c>
      <c r="H398" s="8" t="s">
        <v>97</v>
      </c>
      <c r="I398" s="8" t="s">
        <v>332</v>
      </c>
      <c r="J398" s="8" t="s">
        <v>160</v>
      </c>
      <c r="K398" s="6">
        <f>IFERROR(IF(INDEX([4]BH!$K$2:$K$12,MATCH($D398,[4]BH!$D$2:$D$12,0))="","",INDEX([4]BH!$K$2:$K$12,MATCH($D398,[4]BH!$D$2:$D$12,0))),"")</f>
        <v>46265</v>
      </c>
      <c t="str" r="L398" s="11">
        <f ca="1">IF($O398="","",$O398-TODAY())</f>
        <v/>
      </c>
      <c t="str" r="M398" s="11">
        <f ca="1">IF(AND(TRIM($A398)="Finalized",$K398&lt;&gt;""),"",IF($F398="","",$F398+90-TODAY()))</f>
        <v/>
      </c>
      <c t="str" r="N398" s="11">
        <f ca="1">IF(AND(TRIM($A398)="Finalized",$K398&lt;&gt;""),"",IF($C398="","",$C398+540-TODAY()))</f>
        <v/>
      </c>
      <c t="str" r="O398" s="9">
        <f>IF(AND(TRIM($A398)="Finalized",$K398&lt;&gt;""),"",DATE(2026,7,22))</f>
        <v/>
      </c>
      <c r="P398" s="8" t="s">
        <v>86</v>
      </c>
      <c r="Q398" s="8" t="s">
        <v>99</v>
      </c>
      <c r="R398" s="8" t="s">
        <v>86</v>
      </c>
      <c r="S398" s="8" t="s">
        <v>88</v>
      </c>
      <c r="T398" s="8" t="s">
        <v>100</v>
      </c>
      <c r="U398" s="8" t="s">
        <v>74</v>
      </c>
      <c r="V398" s="8" t="s">
        <v>339</v>
      </c>
      <c r="W398" s="8" t="s">
        <v>118</v>
      </c>
      <c r="X398" s="8"/>
      <c r="Y398" s="8"/>
      <c r="Z398" s="8"/>
      <c r="AA398" s="8" t="s">
        <v>77</v>
      </c>
      <c r="AB398" s="10">
        <v>976.64</v>
      </c>
      <c r="AC398" s="10">
        <v>843.88</v>
      </c>
      <c r="AD398" s="10">
        <v>107.76</v>
      </c>
      <c r="AE398" s="9">
        <v>46157</v>
      </c>
      <c r="AF398" s="10">
        <v>25</v>
      </c>
      <c r="AG398" s="7">
        <v>107</v>
      </c>
      <c r="AH398" s="8" t="s">
        <v>201</v>
      </c>
      <c r="AI398" s="8"/>
      <c r="AJ398" s="8"/>
      <c r="AK398" s="8"/>
      <c r="AL398" s="7">
        <v>561534406</v>
      </c>
      <c r="AM398" s="8" t="s">
        <v>165</v>
      </c>
      <c r="AN398" s="8" t="s">
        <v>132</v>
      </c>
      <c r="AO398" s="9">
        <v>46153</v>
      </c>
    </row>
    <row r="399" spans="1:41" x14ac:dyDescent="0.25">
      <c r="A399" s="5" t="str">
        <f>IFERROR(IF(INDEX([4]DME!$A$2:$A$34,MATCH($D399,[4]DME!$D$2:$D$34,0))="","",INDEX([4]DME!$A$2:$A$34,MATCH($D399,[4]DME!$D$2:$D$34,0))),"")</f>
        <v>Finalized</v>
      </c>
      <c r="B399" s="5" t="str">
        <f>IFERROR(IF(INDEX([4]DME!$B$2:$B$34,MATCH($D399,[4]DME!$D$2:$D$34,0))="","",INDEX([4]DME!$B$2:$B$34,MATCH($D399,[4]DME!$D$2:$D$34,0))),"")</f>
        <v>Shift to PT - ABN signed -No coverage - Policy Number: MP.009.35 - PR non-covered</v>
      </c>
      <c r="C399" s="6">
        <f>IFERROR(IF(INDEX([4]DME!$C$2:$C$34,MATCH($D399,[4]DME!$D$2:$D$34,0))="","",INDEX([4]DME!$C$2:$C$34,MATCH($D399,[4]DME!$D$2:$D$34,0))),"")</f>
        <v>46154</v>
      </c>
      <c r="D399" s="7">
        <v>558609820</v>
      </c>
      <c r="E399" s="8" t="s">
        <v>411</v>
      </c>
      <c r="F399" s="9">
        <v>46135</v>
      </c>
      <c r="G399" s="8" t="s">
        <v>114</v>
      </c>
      <c r="H399" s="8" t="s">
        <v>114</v>
      </c>
      <c r="I399" s="8" t="s">
        <v>69</v>
      </c>
      <c r="J399" s="8" t="s">
        <v>412</v>
      </c>
      <c r="K399" s="6">
        <f>IFERROR(IF(INDEX([4]DME!$K$2:$K$34,MATCH($D399,[4]DME!$D$2:$D$34,0))="","",INDEX([4]DME!$K$2:$K$34,MATCH($D399,[4]DME!$D$2:$D$34,0))),"")</f>
        <v>46285</v>
      </c>
      <c t="str" r="L399" s="11">
        <f ca="1">IF($O399="","",$O399-TODAY())</f>
        <v/>
      </c>
      <c t="str" r="M399" s="11">
        <f ca="1">IF(AND(TRIM($A399)="Finalized",$K399&lt;&gt;""),"",IF($C399="","",$C399+180-TODAY()))</f>
        <v/>
      </c>
      <c t="str" r="N399" s="11">
        <f ca="1">IF(AND(TRIM($A399)="Finalized",$K399&lt;&gt;""),"",IF($C399="","",$C399+365-TODAY()))</f>
        <v/>
      </c>
      <c t="str" r="O399" s="9">
        <f>IF(AND(TRIM($A399)="Finalized",$K399&lt;&gt;""),"",DATE(2026,7,22))</f>
        <v/>
      </c>
      <c r="P399" s="8" t="s">
        <v>86</v>
      </c>
      <c r="Q399" s="8" t="s">
        <v>116</v>
      </c>
      <c r="R399" s="8" t="s">
        <v>117</v>
      </c>
      <c r="S399" s="8" t="s">
        <v>74</v>
      </c>
      <c r="T399" s="8" t="s">
        <v>73</v>
      </c>
      <c r="U399" s="8" t="s">
        <v>74</v>
      </c>
      <c r="V399" s="8" t="s">
        <v>339</v>
      </c>
      <c r="W399" s="8" t="s">
        <v>89</v>
      </c>
      <c r="X399" s="8" t="s">
        <v>90</v>
      </c>
      <c r="Y399" s="8"/>
      <c r="Z399" s="8"/>
      <c r="AA399" s="8" t="s">
        <v>190</v>
      </c>
      <c r="AB399" s="10">
        <v>21135.1</v>
      </c>
      <c r="AC399" s="10">
        <v>0</v>
      </c>
      <c r="AD399" s="10">
        <v>0</v>
      </c>
      <c r="AE399" s="9"/>
      <c r="AF399" s="10">
        <v>21135.1</v>
      </c>
      <c r="AG399" s="7">
        <v>107</v>
      </c>
      <c r="AH399" s="8" t="s">
        <v>92</v>
      </c>
      <c r="AI399" s="8"/>
      <c r="AJ399" s="8"/>
      <c r="AK399" s="8"/>
      <c r="AL399" s="7"/>
      <c r="AM399" s="8" t="s">
        <v>321</v>
      </c>
      <c r="AN399" s="8" t="s">
        <v>132</v>
      </c>
      <c r="AO399" s="9">
        <v>46150</v>
      </c>
    </row>
    <row r="400" spans="1:41" x14ac:dyDescent="0.25">
      <c r="A400" s="5" t="str">
        <f>IFERROR(IF(INDEX([4]DME!$A$2:$A$34,MATCH($D400,[4]DME!$D$2:$D$34,0))="","",INDEX([4]DME!$A$2:$A$34,MATCH($D400,[4]DME!$D$2:$D$34,0))),"")</f>
        <v>Finalized</v>
      </c>
      <c r="B400" s="5" t="str">
        <f>IFERROR(IF(INDEX([4]DME!$B$2:$B$34,MATCH($D400,[4]DME!$D$2:$D$34,0))="","",INDEX([4]DME!$B$2:$B$34,MATCH($D400,[4]DME!$D$2:$D$34,0))),"")</f>
        <v>Shift to PT - ABN signed -No coverage - Policy Number: MP.009.35 - PR non-covered</v>
      </c>
      <c r="C400" s="6">
        <f>IFERROR(IF(INDEX([4]DME!$C$2:$C$34,MATCH($D400,[4]DME!$D$2:$D$34,0))="","",INDEX([4]DME!$C$2:$C$34,MATCH($D400,[4]DME!$D$2:$D$34,0))),"")</f>
        <v>46156</v>
      </c>
      <c r="D400" s="7">
        <v>557507395</v>
      </c>
      <c r="E400" s="8" t="s">
        <v>421</v>
      </c>
      <c r="F400" s="9">
        <v>46139</v>
      </c>
      <c r="G400" s="8" t="s">
        <v>114</v>
      </c>
      <c r="H400" s="8" t="s">
        <v>114</v>
      </c>
      <c r="I400" s="8" t="s">
        <v>114</v>
      </c>
      <c r="J400" s="8" t="s">
        <v>243</v>
      </c>
      <c r="K400" s="6">
        <f>IFERROR(IF(INDEX([4]DME!$K$2:$K$34,MATCH($D400,[4]DME!$D$2:$D$34,0))="","",INDEX([4]DME!$K$2:$K$34,MATCH($D400,[4]DME!$D$2:$D$34,0))),"")</f>
        <v>46285</v>
      </c>
      <c t="str" r="L400" s="11">
        <f ca="1">IF($O400="","",$O400-TODAY())</f>
        <v/>
      </c>
      <c t="str" r="M400" s="11">
        <f ca="1">IF(AND(TRIM($A400)="Finalized",$K400&lt;&gt;""),"",IF($C400="","",$C400+180-TODAY()))</f>
        <v/>
      </c>
      <c t="str" r="N400" s="11">
        <f ca="1">IF(AND(TRIM($A400)="Finalized",$K400&lt;&gt;""),"",IF($C400="","",$C400+365-TODAY()))</f>
        <v/>
      </c>
      <c t="str" r="O400" s="9">
        <f>IF(AND(TRIM($A400)="Finalized",$K400&lt;&gt;""),"",DATE(2026,7,26))</f>
        <v/>
      </c>
      <c r="P400" s="8" t="s">
        <v>86</v>
      </c>
      <c r="Q400" s="8" t="s">
        <v>116</v>
      </c>
      <c r="R400" s="8" t="s">
        <v>117</v>
      </c>
      <c r="S400" s="8" t="s">
        <v>74</v>
      </c>
      <c r="T400" s="8" t="s">
        <v>73</v>
      </c>
      <c r="U400" s="8" t="s">
        <v>74</v>
      </c>
      <c r="V400" s="8" t="s">
        <v>339</v>
      </c>
      <c r="W400" s="8" t="s">
        <v>89</v>
      </c>
      <c r="X400" s="8" t="s">
        <v>244</v>
      </c>
      <c r="Y400" s="8"/>
      <c r="Z400" s="8"/>
      <c r="AA400" s="8" t="s">
        <v>91</v>
      </c>
      <c r="AB400" s="10">
        <v>5916.4</v>
      </c>
      <c r="AC400" s="10">
        <v>0</v>
      </c>
      <c r="AD400" s="10">
        <v>0</v>
      </c>
      <c r="AE400" s="9">
        <v>46156</v>
      </c>
      <c r="AF400" s="10">
        <v>5916.4</v>
      </c>
      <c r="AG400" s="7">
        <v>103</v>
      </c>
      <c r="AH400" s="8" t="s">
        <v>92</v>
      </c>
      <c r="AI400" s="8" t="s">
        <v>145</v>
      </c>
      <c r="AJ400" s="8"/>
      <c r="AK400" s="8"/>
      <c r="AL400" s="7"/>
      <c r="AM400" s="8" t="s">
        <v>80</v>
      </c>
      <c r="AN400" s="8" t="s">
        <v>191</v>
      </c>
      <c r="AO400" s="9">
        <v>46140</v>
      </c>
    </row>
    <row r="401" spans="1:41" x14ac:dyDescent="0.25">
      <c r="A401" s="5" t="str">
        <f>IFERROR(IF(INDEX([4]DME!$A$2:$A$34,MATCH($D401,[4]DME!$D$2:$D$34,0))="","",INDEX([4]DME!$A$2:$A$34,MATCH($D401,[4]DME!$D$2:$D$34,0))),"")</f>
        <v>Finalized</v>
      </c>
      <c r="B401" s="5" t="str">
        <f>IFERROR(IF(INDEX([4]DME!$B$2:$B$34,MATCH($D401,[4]DME!$D$2:$D$34,0))="","",INDEX([4]DME!$B$2:$B$34,MATCH($D401,[4]DME!$D$2:$D$34,0))),"")</f>
        <v>Adjusted balance - BCBS M2K will not cover collagen dressings - DND A6010 Precertification/authorization/notification/pre-treatment absent</v>
      </c>
      <c r="C401" s="6">
        <f>IFERROR(IF(INDEX([4]DME!$C$2:$C$34,MATCH($D401,[4]DME!$D$2:$D$34,0))="","",INDEX([4]DME!$C$2:$C$34,MATCH($D401,[4]DME!$D$2:$D$34,0))),"")</f>
        <v>46217</v>
      </c>
      <c r="D401" s="7">
        <v>562510509</v>
      </c>
      <c r="E401" s="8" t="s">
        <v>422</v>
      </c>
      <c r="F401" s="9">
        <v>46139</v>
      </c>
      <c r="G401" s="8" t="s">
        <v>134</v>
      </c>
      <c r="H401" s="8" t="s">
        <v>134</v>
      </c>
      <c r="I401" s="8" t="s">
        <v>69</v>
      </c>
      <c r="J401" s="8" t="s">
        <v>243</v>
      </c>
      <c r="K401" s="6">
        <f>IFERROR(IF(INDEX([4]DME!$K$2:$K$34,MATCH($D401,[4]DME!$D$2:$D$34,0))="","",INDEX([4]DME!$K$2:$K$34,MATCH($D401,[4]DME!$D$2:$D$34,0))),"")</f>
        <v>46285</v>
      </c>
      <c t="str" r="L401" s="11">
        <f ca="1">IF($O401="","",$O401-TODAY())</f>
        <v/>
      </c>
      <c t="str" r="M401" s="11">
        <f ca="1">IF(AND(TRIM($A401)="Finalized",$K401&lt;&gt;""),"",IF($C401="","",$C401+365-TODAY()))</f>
        <v/>
      </c>
      <c t="str" r="N401" s="11">
        <f ca="1">IF(AND(TRIM($A401)="Finalized",$K401&lt;&gt;""),"",IF($C401="","",$C401+365-TODAY()))</f>
        <v/>
      </c>
      <c t="str" r="O401" s="9">
        <f>IF(AND(TRIM($A401)="Finalized",$K401&lt;&gt;""),"",DATE(2026,7,26))</f>
        <v/>
      </c>
      <c r="P401" s="8" t="s">
        <v>86</v>
      </c>
      <c r="Q401" s="8" t="s">
        <v>136</v>
      </c>
      <c r="R401" s="8" t="s">
        <v>73</v>
      </c>
      <c r="S401" s="8" t="s">
        <v>74</v>
      </c>
      <c r="T401" s="8" t="s">
        <v>73</v>
      </c>
      <c r="U401" s="8" t="s">
        <v>74</v>
      </c>
      <c r="V401" s="8" t="s">
        <v>339</v>
      </c>
      <c r="W401" s="8" t="s">
        <v>89</v>
      </c>
      <c r="X401" s="8" t="s">
        <v>244</v>
      </c>
      <c r="Y401" s="8"/>
      <c r="Z401" s="8"/>
      <c r="AA401" s="8" t="s">
        <v>91</v>
      </c>
      <c r="AB401" s="10">
        <v>5916.4</v>
      </c>
      <c r="AC401" s="10">
        <v>0</v>
      </c>
      <c r="AD401" s="10">
        <v>0</v>
      </c>
      <c r="AE401" s="9">
        <v>46217</v>
      </c>
      <c r="AF401" s="10">
        <v>5916.4</v>
      </c>
      <c r="AG401" s="7">
        <v>103</v>
      </c>
      <c r="AH401" s="8" t="s">
        <v>92</v>
      </c>
      <c r="AI401" s="8" t="s">
        <v>182</v>
      </c>
      <c r="AJ401" s="8"/>
      <c r="AK401" s="8"/>
      <c r="AL401" s="7"/>
      <c r="AM401" s="8" t="s">
        <v>383</v>
      </c>
      <c r="AN401" s="8" t="s">
        <v>158</v>
      </c>
      <c r="AO401" s="9">
        <v>46189</v>
      </c>
    </row>
    <row r="402" spans="1:41" x14ac:dyDescent="0.25">
      <c r="A402" s="5" t="str">
        <f>IFERROR(IF(INDEX([3]US!$A$2:$A$15,MATCH($D402,[3]US!$D$2:$D$15,0))="","",INDEX([3]US!$A$2:$A$15,MATCH($D402,[3]US!$D$2:$D$15,0))),"")</f>
        <v>Finalized</v>
      </c>
      <c r="B402" s="5" t="str">
        <f>IFERROR(IF(INDEX([3]US!$B$2:$B$15,MATCH($D402,[3]US!$D$2:$D$15,0))="","",INDEX([3]US!$B$2:$B$15,MATCH($D402,[3]US!$D$2:$D$15,0))),"")</f>
        <v>Adjusted balance - 93923 bundled with 93925 - DND 93923  Mutually exclusive procedures cannot be done in the same day/setting</v>
      </c>
      <c r="C402" s="6">
        <f>IFERROR(IF(INDEX([3]US!$C$2:$C$15,MATCH($D402,[3]US!$D$2:$D$15,0))="","",INDEX([3]US!$C$2:$C$15,MATCH($D402,[3]US!$D$2:$D$15,0))),"")</f>
        <v>46127</v>
      </c>
      <c r="D402" s="7">
        <v>555438747</v>
      </c>
      <c r="E402" s="8" t="s">
        <v>433</v>
      </c>
      <c r="F402" s="9">
        <v>46112</v>
      </c>
      <c r="G402" s="8" t="s">
        <v>206</v>
      </c>
      <c r="H402" s="8" t="s">
        <v>206</v>
      </c>
      <c r="I402" s="8" t="s">
        <v>69</v>
      </c>
      <c r="J402" s="8" t="s">
        <v>378</v>
      </c>
      <c r="K402" s="6">
        <f>IFERROR(IF(INDEX([3]US!$K$2:$K$15,MATCH($D402,[3]US!$D$2:$D$15,0))="","",INDEX([3]US!$K$2:$K$15,MATCH($D402,[3]US!$D$2:$D$15,0))),"")</f>
        <v>46278</v>
      </c>
      <c t="str" r="L402" s="11">
        <f ca="1">IF($O402="","",$O402-TODAY())</f>
        <v/>
      </c>
      <c t="str" r="M402" s="11">
        <f ca="1">IF(AND(TRIM($A402)="Finalized",$K402&lt;&gt;""),"",IF($C402="","",$C402+180-TODAY()))</f>
        <v/>
      </c>
      <c t="str" r="N402" s="11">
        <f ca="1">IF(AND(TRIM($A402)="Finalized",$K402&lt;&gt;""),"",IF($C402="","",$C402+180-TODAY()))</f>
        <v/>
      </c>
      <c t="str" r="O402" s="9">
        <f>IF(AND(TRIM($A402)="Finalized",$K402&lt;&gt;""),"",DATE(2026,7,29))</f>
        <v/>
      </c>
      <c r="P402" s="8" t="s">
        <v>208</v>
      </c>
      <c r="Q402" s="8" t="s">
        <v>209</v>
      </c>
      <c r="R402" s="8" t="s">
        <v>117</v>
      </c>
      <c r="S402" s="8" t="s">
        <v>74</v>
      </c>
      <c r="T402" s="8" t="s">
        <v>117</v>
      </c>
      <c r="U402" s="8" t="s">
        <v>74</v>
      </c>
      <c r="V402" s="8" t="s">
        <v>256</v>
      </c>
      <c r="W402" s="8" t="s">
        <v>129</v>
      </c>
      <c r="X402" s="8"/>
      <c r="Y402" s="8"/>
      <c r="Z402" s="8"/>
      <c r="AA402" s="8" t="s">
        <v>77</v>
      </c>
      <c r="AB402" s="10">
        <v>879.06</v>
      </c>
      <c r="AC402" s="10">
        <v>0</v>
      </c>
      <c r="AD402" s="10">
        <v>0</v>
      </c>
      <c r="AE402" s="9">
        <v>46127</v>
      </c>
      <c r="AF402" s="10">
        <v>879.06</v>
      </c>
      <c r="AG402" s="7">
        <v>130</v>
      </c>
      <c r="AH402" s="8" t="s">
        <v>130</v>
      </c>
      <c r="AI402" s="8" t="s">
        <v>175</v>
      </c>
      <c r="AJ402" s="8"/>
      <c r="AK402" s="8"/>
      <c r="AL402" s="7"/>
      <c r="AM402" s="8" t="s">
        <v>157</v>
      </c>
      <c r="AN402" s="8" t="s">
        <v>158</v>
      </c>
      <c r="AO402" s="9">
        <v>46121</v>
      </c>
    </row>
    <row r="403" spans="1:41" x14ac:dyDescent="0.25">
      <c r="A403" s="5" t="str">
        <f>IFERROR(IF(INDEX([5]DME!$A$2:$A$35,MATCH($D403,[5]DME!$D$2:$D$35,0))="","",INDEX([5]DME!$A$2:$A$35,MATCH($D403,[5]DME!$D$2:$D$35,0))),"")</f>
        <v>Finalized</v>
      </c>
      <c r="B403" s="5" t="str">
        <f>IFERROR(IF(INDEX([5]DME!$B$2:$B$35,MATCH($D403,[5]DME!$D$2:$D$35,0))="","",INDEX([5]DME!$B$2:$B$35,MATCH($D403,[5]DME!$D$2:$D$35,0))),"")</f>
        <v xml:space="preserve">Billed to PT - ABN signed - PCP is the delegated DME vendor </v>
      </c>
      <c r="C403" s="6">
        <f>IFERROR(IF(INDEX([5]DME!$C$2:$C$35,MATCH($D403,[5]DME!$D$2:$D$35,0))="","",INDEX([5]DME!$C$2:$C$35,MATCH($D403,[5]DME!$D$2:$D$35,0))),"")</f>
        <v>46170</v>
      </c>
      <c r="D403" s="7">
        <v>559761030</v>
      </c>
      <c r="E403" s="8" t="s">
        <v>439</v>
      </c>
      <c r="F403" s="9">
        <v>46143</v>
      </c>
      <c r="G403" s="8" t="s">
        <v>148</v>
      </c>
      <c r="H403" s="8" t="s">
        <v>148</v>
      </c>
      <c r="I403" s="8" t="s">
        <v>69</v>
      </c>
      <c r="J403" s="8" t="s">
        <v>85</v>
      </c>
      <c r="K403" s="6">
        <f>IFERROR(IF(INDEX([5]DME!$K$2:$K$35,MATCH($D403,[5]DME!$D$2:$D$35,0))="","",INDEX([5]DME!$K$2:$K$35,MATCH($D403,[5]DME!$D$2:$D$35,0))),"")</f>
        <v>46253</v>
      </c>
      <c t="str" r="L403" s="11">
        <f ca="1">IF($O403="","",$O403-TODAY())</f>
        <v/>
      </c>
      <c t="str" r="M403" s="11">
        <f ca="1">IF(AND(TRIM($A403)="Finalized",$K403&lt;&gt;""),"",IF($C403="","",$C403+180-TODAY()))</f>
        <v/>
      </c>
      <c t="str" r="N403" s="11">
        <f ca="1">IF(AND(TRIM($A403)="Finalized",$K403&lt;&gt;""),"",IF($C403="","",$C403+365-TODAY()))</f>
        <v/>
      </c>
      <c t="str" r="O403" s="9">
        <f>IF(AND(TRIM($A403)="Finalized",$K403&lt;&gt;""),"",DATE(2026,7,30))</f>
        <v/>
      </c>
      <c r="P403" s="8" t="s">
        <v>86</v>
      </c>
      <c r="Q403" s="8" t="s">
        <v>152</v>
      </c>
      <c r="R403" s="8" t="s">
        <v>117</v>
      </c>
      <c r="S403" s="8" t="s">
        <v>74</v>
      </c>
      <c r="T403" s="8" t="s">
        <v>73</v>
      </c>
      <c r="U403" s="8" t="s">
        <v>74</v>
      </c>
      <c r="V403" s="8" t="s">
        <v>365</v>
      </c>
      <c r="W403" s="8" t="s">
        <v>89</v>
      </c>
      <c r="X403" s="8" t="s">
        <v>90</v>
      </c>
      <c r="Y403" s="8"/>
      <c r="Z403" s="8"/>
      <c r="AA403" s="8" t="s">
        <v>91</v>
      </c>
      <c r="AB403" s="10">
        <v>36353.800000000003</v>
      </c>
      <c r="AC403" s="10">
        <v>0</v>
      </c>
      <c r="AD403" s="10">
        <v>0</v>
      </c>
      <c r="AE403" s="9">
        <v>46170</v>
      </c>
      <c r="AF403" s="10">
        <v>36353.800000000003</v>
      </c>
      <c r="AG403" s="7">
        <v>99</v>
      </c>
      <c r="AH403" s="8" t="s">
        <v>92</v>
      </c>
      <c r="AI403" s="8"/>
      <c r="AJ403" s="8"/>
      <c r="AK403" s="8"/>
      <c r="AL403" s="7"/>
      <c r="AM403" s="8" t="s">
        <v>321</v>
      </c>
      <c r="AN403" s="8" t="s">
        <v>132</v>
      </c>
      <c r="AO403" s="9">
        <v>46162</v>
      </c>
    </row>
    <row r="404" spans="1:41" x14ac:dyDescent="0.25">
      <c r="A404" s="5" t="str">
        <f>IFERROR(IF(INDEX([5]DME!$A$2:$A$35,MATCH($D404,[5]DME!$D$2:$D$35,0))="","",INDEX([5]DME!$A$2:$A$35,MATCH($D404,[5]DME!$D$2:$D$35,0))),"")</f>
        <v>Finalized</v>
      </c>
      <c r="B404" s="5" t="str">
        <f>IFERROR(IF(INDEX([5]DME!$B$2:$B$35,MATCH($D404,[5]DME!$D$2:$D$35,0))="","",INDEX([5]DME!$B$2:$B$35,MATCH($D404,[5]DME!$D$2:$D$35,0))),"")</f>
        <v xml:space="preserve">Adjusted balance - No ABN signed  - PCP is the delegated DME vendor </v>
      </c>
      <c r="C404" s="6">
        <f>IFERROR(IF(INDEX([5]DME!$C$2:$C$35,MATCH($D404,[5]DME!$D$2:$D$35,0))="","",INDEX([5]DME!$C$2:$C$35,MATCH($D404,[5]DME!$D$2:$D$35,0))),"")</f>
        <v>46195</v>
      </c>
      <c r="D404" s="7">
        <v>559737254</v>
      </c>
      <c r="E404" s="8" t="s">
        <v>477</v>
      </c>
      <c r="F404" s="9">
        <v>46150</v>
      </c>
      <c r="G404" s="8" t="s">
        <v>148</v>
      </c>
      <c r="H404" s="8" t="s">
        <v>148</v>
      </c>
      <c r="I404" s="8" t="s">
        <v>185</v>
      </c>
      <c r="J404" s="8" t="s">
        <v>478</v>
      </c>
      <c r="K404" s="6">
        <f>IFERROR(IF(INDEX([5]DME!$K$2:$K$35,MATCH($D404,[5]DME!$D$2:$D$35,0))="","",INDEX([5]DME!$K$2:$K$35,MATCH($D404,[5]DME!$D$2:$D$35,0))),"")</f>
        <v>46253</v>
      </c>
      <c t="str" r="L404" s="11">
        <f ca="1">IF($O404="","",$O404-TODAY())</f>
        <v/>
      </c>
      <c t="str" r="M404" s="11">
        <f ca="1">IF(AND(TRIM($A404)="Finalized",$K404&lt;&gt;""),"",IF($C404="","",$C404+180-TODAY()))</f>
        <v/>
      </c>
      <c t="str" r="N404" s="11">
        <f ca="1">IF(AND(TRIM($A404)="Finalized",$K404&lt;&gt;""),"",IF($C404="","",$C404+365-TODAY()))</f>
        <v/>
      </c>
      <c t="str" r="O404" s="9">
        <f>IF(AND(TRIM($A404)="Finalized",$K404&lt;&gt;""),"",DATE(2026,8,6))</f>
        <v/>
      </c>
      <c r="P404" s="8" t="s">
        <v>86</v>
      </c>
      <c r="Q404" s="8" t="s">
        <v>152</v>
      </c>
      <c r="R404" s="8" t="s">
        <v>117</v>
      </c>
      <c r="S404" s="8" t="s">
        <v>74</v>
      </c>
      <c r="T404" s="8" t="s">
        <v>73</v>
      </c>
      <c r="U404" s="8" t="s">
        <v>74</v>
      </c>
      <c r="V404" s="8" t="s">
        <v>365</v>
      </c>
      <c r="W404" s="8" t="s">
        <v>89</v>
      </c>
      <c r="X404" s="8" t="s">
        <v>90</v>
      </c>
      <c r="Y404" s="8"/>
      <c r="Z404" s="8"/>
      <c r="AA404" s="8" t="s">
        <v>479</v>
      </c>
      <c r="AB404" s="10">
        <v>11832.8</v>
      </c>
      <c r="AC404" s="10">
        <v>0</v>
      </c>
      <c r="AD404" s="10">
        <v>0</v>
      </c>
      <c r="AE404" s="9">
        <v>46195</v>
      </c>
      <c r="AF404" s="10">
        <v>11832.8</v>
      </c>
      <c r="AG404" s="7">
        <v>92</v>
      </c>
      <c r="AH404" s="8" t="s">
        <v>92</v>
      </c>
      <c r="AI404" s="8" t="s">
        <v>480</v>
      </c>
      <c r="AJ404" s="8" t="s">
        <v>304</v>
      </c>
      <c r="AK404" s="8" t="s">
        <v>481</v>
      </c>
      <c r="AL404" s="7"/>
      <c r="AM404" s="8" t="s">
        <v>306</v>
      </c>
      <c r="AN404" s="8" t="s">
        <v>121</v>
      </c>
      <c r="AO404" s="9">
        <v>46183</v>
      </c>
    </row>
    <row r="405" spans="1:41" x14ac:dyDescent="0.25">
      <c r="A405" s="5" t="str">
        <f>IFERROR(IF(INDEX([5]DME!$A$2:$A$35,MATCH($D405,[5]DME!$D$2:$D$35,0))="","",INDEX([5]DME!$A$2:$A$35,MATCH($D405,[5]DME!$D$2:$D$35,0))),"")</f>
        <v>Finalized</v>
      </c>
      <c r="B405" s="5" t="str">
        <f>IFERROR(IF(INDEX([5]DME!$B$2:$B$35,MATCH($D405,[5]DME!$D$2:$D$35,0))="","",INDEX([5]DME!$B$2:$B$35,MATCH($D405,[5]DME!$D$2:$D$35,0))),"")</f>
        <v xml:space="preserve">Billed to PT - ABN signed - No auth found - Auth missing denial </v>
      </c>
      <c r="C405" s="6">
        <f>IFERROR(IF(INDEX([5]DME!$C$2:$C$35,MATCH($D405,[5]DME!$D$2:$D$35,0))="","",INDEX([5]DME!$C$2:$C$35,MATCH($D405,[5]DME!$D$2:$D$35,0))),"")</f>
        <v>46198</v>
      </c>
      <c r="D405" s="7">
        <v>559775347</v>
      </c>
      <c r="E405" s="8" t="s">
        <v>483</v>
      </c>
      <c r="F405" s="9">
        <v>46153</v>
      </c>
      <c r="G405" s="8" t="s">
        <v>134</v>
      </c>
      <c r="H405" s="8" t="s">
        <v>134</v>
      </c>
      <c r="I405" s="8" t="s">
        <v>69</v>
      </c>
      <c r="J405" s="8" t="s">
        <v>381</v>
      </c>
      <c r="K405" s="6">
        <f>IFERROR(IF(INDEX([5]DME!$K$2:$K$35,MATCH($D405,[5]DME!$D$2:$D$35,0))="","",INDEX([5]DME!$K$2:$K$35,MATCH($D405,[5]DME!$D$2:$D$35,0))),"")</f>
        <v>46253</v>
      </c>
      <c t="str" r="L405" s="11">
        <f ca="1">IF($O405="","",$O405-TODAY())</f>
        <v/>
      </c>
      <c t="str" r="M405" s="11">
        <f ca="1">IF(AND(TRIM($A405)="Finalized",$K405&lt;&gt;""),"",IF($C405="","",$C405+365-TODAY()))</f>
        <v/>
      </c>
      <c t="str" r="N405" s="11">
        <f ca="1">IF(AND(TRIM($A405)="Finalized",$K405&lt;&gt;""),"",IF($C405="","",$C405+365-TODAY()))</f>
        <v/>
      </c>
      <c t="str" r="O405" s="9">
        <f>IF(AND(TRIM($A405)="Finalized",$K405&lt;&gt;""),"",DATE(2026,8,9))</f>
        <v/>
      </c>
      <c r="P405" s="8" t="s">
        <v>86</v>
      </c>
      <c r="Q405" s="8" t="s">
        <v>136</v>
      </c>
      <c r="R405" s="8" t="s">
        <v>73</v>
      </c>
      <c r="S405" s="8" t="s">
        <v>74</v>
      </c>
      <c r="T405" s="8" t="s">
        <v>73</v>
      </c>
      <c r="U405" s="8" t="s">
        <v>74</v>
      </c>
      <c r="V405" s="8" t="s">
        <v>365</v>
      </c>
      <c r="W405" s="8" t="s">
        <v>89</v>
      </c>
      <c r="X405" s="8" t="s">
        <v>90</v>
      </c>
      <c r="Y405" s="8"/>
      <c r="Z405" s="8"/>
      <c r="AA405" s="8" t="s">
        <v>91</v>
      </c>
      <c r="AB405" s="10">
        <v>5916.4</v>
      </c>
      <c r="AC405" s="10">
        <v>0</v>
      </c>
      <c r="AD405" s="10">
        <v>0</v>
      </c>
      <c r="AE405" s="9">
        <v>46198</v>
      </c>
      <c r="AF405" s="10">
        <v>5916.4</v>
      </c>
      <c r="AG405" s="7">
        <v>89</v>
      </c>
      <c r="AH405" s="8" t="s">
        <v>92</v>
      </c>
      <c r="AI405" s="8" t="s">
        <v>149</v>
      </c>
      <c r="AJ405" s="8"/>
      <c r="AK405" s="8"/>
      <c r="AL405" s="7"/>
      <c r="AM405" s="8" t="s">
        <v>399</v>
      </c>
      <c r="AN405" s="8" t="s">
        <v>132</v>
      </c>
      <c r="AO405" s="9">
        <v>46162</v>
      </c>
    </row>
    <row r="406" spans="1:41" x14ac:dyDescent="0.25">
      <c r="A406" s="5" t="str">
        <f>IFERROR(IF(INDEX([5]GAE!$A$2:$A$7,MATCH($D406,[5]GAE!$D$2:$D$7,0))="","",INDEX([5]GAE!$A$2:$A$7,MATCH($D406,[5]GAE!$D$2:$D$7,0))),"")</f>
        <v>Finalized</v>
      </c>
      <c r="B406" s="5" t="str">
        <f>IFERROR(IF(INDEX([5]GAE!$B$2:$B$7,MATCH($D406,[5]GAE!$D$2:$D$7,0))="","",INDEX([5]GAE!$B$2:$B$7,MATCH($D406,[5]GAE!$D$2:$D$7,0))),"")</f>
        <v>Adjusted balance - Auth was requested to Medicare and not Humana</v>
      </c>
      <c r="C406" s="6">
        <f>IFERROR(IF(INDEX([5]GAE!$C$2:$C$7,MATCH($D406,[5]GAE!$D$2:$D$7,0))="","",INDEX([5]GAE!$C$2:$C$7,MATCH($D406,[5]GAE!$D$2:$D$7,0))),"")</f>
        <v>46187</v>
      </c>
      <c r="D406" s="7">
        <v>561728234</v>
      </c>
      <c r="E406" s="8" t="s">
        <v>484</v>
      </c>
      <c r="F406" s="9">
        <v>46153</v>
      </c>
      <c r="G406" s="8" t="s">
        <v>84</v>
      </c>
      <c r="H406" s="8" t="s">
        <v>84</v>
      </c>
      <c r="I406" s="8" t="s">
        <v>69</v>
      </c>
      <c r="J406" s="8" t="s">
        <v>485</v>
      </c>
      <c r="K406" s="6">
        <f>IFERROR(IF(INDEX([5]GAE!$K$2:$K$7,MATCH($D406,[5]GAE!$D$2:$D$7,0))="","",INDEX([5]GAE!$K$2:$K$7,MATCH($D406,[5]GAE!$D$2:$D$7,0))),"")</f>
        <v>46255</v>
      </c>
      <c t="str" r="L406" s="11">
        <f ca="1">IF($O406="","",$O406-TODAY())</f>
        <v/>
      </c>
      <c t="str" r="M406" s="11">
        <f ca="1">IF(AND(TRIM($A406)="Finalized",$K406&lt;&gt;""),"",IF($F406="","",$F406+90-TODAY()))</f>
        <v/>
      </c>
      <c t="str" r="N406" s="11">
        <f ca="1">IF(AND(TRIM($A406)="Finalized",$K406&lt;&gt;""),"",IF($C406="","",$C406+60-TODAY()))</f>
        <v/>
      </c>
      <c t="str" r="O406" s="9">
        <f>IF(AND(TRIM($A406)="Finalized",$K406&lt;&gt;""),"",DATE(2026,8,9))</f>
        <v/>
      </c>
      <c r="P406" s="8" t="s">
        <v>86</v>
      </c>
      <c r="Q406" s="8" t="s">
        <v>87</v>
      </c>
      <c r="R406" s="8" t="s">
        <v>86</v>
      </c>
      <c r="S406" s="8" t="s">
        <v>88</v>
      </c>
      <c r="T406" s="8" t="s">
        <v>71</v>
      </c>
      <c r="U406" s="8" t="s">
        <v>74</v>
      </c>
      <c r="V406" s="8" t="s">
        <v>365</v>
      </c>
      <c r="W406" s="8" t="s">
        <v>101</v>
      </c>
      <c r="X406" s="8" t="s">
        <v>102</v>
      </c>
      <c r="Y406" s="8" t="s">
        <v>153</v>
      </c>
      <c r="Z406" s="8"/>
      <c r="AA406" s="8" t="s">
        <v>210</v>
      </c>
      <c r="AB406" s="10">
        <v>12219.76</v>
      </c>
      <c r="AC406" s="10">
        <v>0</v>
      </c>
      <c r="AD406" s="10">
        <v>0</v>
      </c>
      <c r="AE406" s="9">
        <v>46187</v>
      </c>
      <c r="AF406" s="10">
        <v>12219.76</v>
      </c>
      <c r="AG406" s="7">
        <v>89</v>
      </c>
      <c r="AH406" s="8" t="s">
        <v>486</v>
      </c>
      <c r="AI406" s="8" t="s">
        <v>106</v>
      </c>
      <c r="AJ406" s="8" t="s">
        <v>487</v>
      </c>
      <c r="AK406" s="8"/>
      <c r="AL406" s="7"/>
      <c r="AM406" s="8" t="s">
        <v>108</v>
      </c>
      <c r="AN406" s="8" t="s">
        <v>109</v>
      </c>
      <c r="AO406" s="9">
        <v>46182</v>
      </c>
    </row>
    <row r="407" spans="1:41" x14ac:dyDescent="0.25">
      <c r="A407" s="5" t="str">
        <f>IFERROR(IF(INDEX([5]BH!$A$2:$A$33,MATCH($D407,[5]BH!$D$2:$D$33,0))="","",INDEX([5]BH!$A$2:$A$33,MATCH($D407,[5]BH!$D$2:$D$33,0))),"")</f>
        <v>Finalized</v>
      </c>
      <c r="B407" s="5" t="str">
        <f>IFERROR(IF(INDEX([5]BH!$B$2:$B$33,MATCH($D407,[5]BH!$D$2:$D$33,0))="","",INDEX([5]BH!$B$2:$B$33,MATCH($D407,[5]BH!$D$2:$D$33,0))),"")</f>
        <v>Billed to PR - Adjusted ins balance- Provider OON  - Audit #: WY03MQKV - Provider inquiry</v>
      </c>
      <c r="C407" s="6">
        <f>IFERROR(IF(INDEX([5]BH!$C$2:$C$33,MATCH($D407,[5]BH!$D$2:$D$33,0))="","",INDEX([5]BH!$C$2:$C$33,MATCH($D407,[5]BH!$D$2:$D$33,0))),"")</f>
        <v>46216</v>
      </c>
      <c r="D407" s="7">
        <v>559340053</v>
      </c>
      <c r="E407" s="8" t="s">
        <v>494</v>
      </c>
      <c r="F407" s="9">
        <v>46154</v>
      </c>
      <c r="G407" s="8" t="s">
        <v>123</v>
      </c>
      <c r="H407" s="8" t="s">
        <v>123</v>
      </c>
      <c r="I407" s="8" t="s">
        <v>69</v>
      </c>
      <c r="J407" s="8" t="s">
        <v>124</v>
      </c>
      <c r="K407" s="6">
        <f>IFERROR(IF(INDEX([5]BH!$K$2:$K$33,MATCH($D407,[5]BH!$D$2:$D$33,0))="","",INDEX([5]BH!$K$2:$K$33,MATCH($D407,[5]BH!$D$2:$D$33,0))),"")</f>
        <v>46245</v>
      </c>
      <c t="str" r="L407" s="11">
        <f ca="1">IF($O407="","",$O407-TODAY())</f>
        <v/>
      </c>
      <c t="str" r="M407" s="11">
        <f ca="1">IF(AND(TRIM($A407)="Finalized",$K407&lt;&gt;""),"",IF($F407="","",$F407+90-TODAY()))</f>
        <v/>
      </c>
      <c t="str" r="N407" s="11">
        <f ca="1">IF(AND(TRIM($A407)="Finalized",$K407&lt;&gt;""),"",IF($C407="","",$C407+365-TODAY()))</f>
        <v/>
      </c>
      <c t="str" r="O407" s="9">
        <f>IF(AND(TRIM($A407)="Finalized",$K407&lt;&gt;""),"",DATE(2026,8,10))</f>
        <v/>
      </c>
      <c r="P407" s="8" t="s">
        <v>86</v>
      </c>
      <c r="Q407" s="8" t="s">
        <v>125</v>
      </c>
      <c r="R407" s="8" t="s">
        <v>86</v>
      </c>
      <c r="S407" s="8" t="s">
        <v>88</v>
      </c>
      <c r="T407" s="8" t="s">
        <v>73</v>
      </c>
      <c r="U407" s="8" t="s">
        <v>74</v>
      </c>
      <c r="V407" s="8" t="s">
        <v>365</v>
      </c>
      <c r="W407" s="8" t="s">
        <v>118</v>
      </c>
      <c r="X407" s="8"/>
      <c r="Y407" s="8"/>
      <c r="Z407" s="8"/>
      <c r="AA407" s="8" t="s">
        <v>77</v>
      </c>
      <c r="AB407" s="10">
        <v>1426.25</v>
      </c>
      <c r="AC407" s="10">
        <v>0</v>
      </c>
      <c r="AD407" s="10">
        <v>0</v>
      </c>
      <c r="AE407" s="9">
        <v>46216</v>
      </c>
      <c r="AF407" s="10">
        <v>1144.3</v>
      </c>
      <c r="AG407" s="7">
        <v>88</v>
      </c>
      <c r="AH407" s="8" t="s">
        <v>119</v>
      </c>
      <c r="AI407" s="8"/>
      <c r="AJ407" s="8"/>
      <c r="AK407" s="8"/>
      <c r="AL407" s="7"/>
      <c r="AM407" s="8" t="s">
        <v>126</v>
      </c>
      <c r="AN407" s="8" t="s">
        <v>121</v>
      </c>
      <c r="AO407" s="9">
        <v>46180</v>
      </c>
    </row>
    <row r="408" spans="1:41" x14ac:dyDescent="0.25">
      <c r="A408" s="5" t="str">
        <f>IFERROR(IF(INDEX([6]US!$A$2:$A$22,MATCH($D408,[6]US!$D$2:$D$22,0))="","",INDEX([6]US!$A$2:$A$22,MATCH($D408,[6]US!$D$2:$D$22,0))),"")</f>
        <v>Finalized</v>
      </c>
      <c r="B408" s="5" t="str">
        <f>IFERROR(IF(INDEX([6]US!$B$2:$B$22,MATCH($D408,[6]US!$D$2:$D$22,0))="","",INDEX([6]US!$B$2:$B$22,MATCH($D408,[6]US!$D$2:$D$22,0))),"")</f>
        <v>PAID - Delete 93923 that's bundling, and resubmitted -  93923 billed on claim 568263929</v>
      </c>
      <c r="C408" s="6">
        <f>IFERROR(IF(INDEX([6]US!$C$2:$C$22,MATCH($D408,[6]US!$D$2:$D$22,0))="","",INDEX([6]US!$C$2:$C$22,MATCH($D408,[6]US!$D$2:$D$22,0))),"")</f>
        <v>46198</v>
      </c>
      <c r="D408" s="7">
        <v>568262814</v>
      </c>
      <c r="E408" s="8" t="s">
        <v>495</v>
      </c>
      <c r="F408" s="9">
        <v>46184</v>
      </c>
      <c r="G408" s="8" t="s">
        <v>363</v>
      </c>
      <c r="H408" s="8" t="s">
        <v>363</v>
      </c>
      <c r="I408" s="8" t="s">
        <v>69</v>
      </c>
      <c r="J408" s="8" t="s">
        <v>496</v>
      </c>
      <c r="K408" s="6">
        <f>IFERROR(IF(INDEX([6]US!$K$2:$K$22,MATCH($D408,[6]US!$D$2:$D$22,0))="","",INDEX([6]US!$K$2:$K$22,MATCH($D408,[6]US!$D$2:$D$22,0))),"")</f>
        <v>46261</v>
      </c>
      <c t="str" r="L408" s="11">
        <f ca="1">IF($O408="","",$O408-TODAY())</f>
        <v/>
      </c>
      <c t="str" r="M408" s="11">
        <f ca="1">IF(AND(TRIM($A408)="Finalized",$K408&lt;&gt;""),"",IF($C408="","",$C408+365-TODAY()))</f>
        <v/>
      </c>
      <c t="str" r="N408" s="11">
        <f ca="1">IF(AND(TRIM($A408)="Finalized",$K408&lt;&gt;""),"",IF($C408="","",$C408+90-TODAY()))</f>
        <v/>
      </c>
      <c t="str" r="O408" s="9">
        <f>IF(AND(TRIM($A408)="Finalized",$K408&lt;&gt;""),"",DATE(2026,8,10))</f>
        <v/>
      </c>
      <c r="P408" s="8" t="s">
        <v>71</v>
      </c>
      <c r="Q408" s="8" t="s">
        <v>364</v>
      </c>
      <c r="R408" s="8" t="s">
        <v>73</v>
      </c>
      <c r="S408" s="8" t="s">
        <v>74</v>
      </c>
      <c r="T408" s="8" t="s">
        <v>86</v>
      </c>
      <c r="U408" s="8" t="s">
        <v>74</v>
      </c>
      <c r="V408" s="8" t="s">
        <v>455</v>
      </c>
      <c r="W408" s="8" t="s">
        <v>129</v>
      </c>
      <c r="X408" s="8"/>
      <c r="Y408" s="8"/>
      <c r="Z408" s="8"/>
      <c r="AA408" s="8" t="s">
        <v>77</v>
      </c>
      <c r="AB408" s="10">
        <v>3822.49</v>
      </c>
      <c r="AC408" s="10">
        <v>0</v>
      </c>
      <c r="AD408" s="10">
        <v>0</v>
      </c>
      <c r="AE408" s="9">
        <v>46202</v>
      </c>
      <c r="AF408" s="10">
        <v>3822.49</v>
      </c>
      <c r="AG408" s="7">
        <v>58</v>
      </c>
      <c r="AH408" s="8" t="s">
        <v>497</v>
      </c>
      <c r="AI408" s="8" t="s">
        <v>498</v>
      </c>
      <c r="AJ408" s="8" t="s">
        <v>499</v>
      </c>
      <c r="AK408" s="8" t="s">
        <v>500</v>
      </c>
      <c r="AL408" s="7"/>
      <c r="AM408" s="8" t="s">
        <v>131</v>
      </c>
      <c r="AN408" s="8" t="s">
        <v>350</v>
      </c>
      <c r="AO408" s="9">
        <v>46195</v>
      </c>
    </row>
    <row r="409" spans="1:41" x14ac:dyDescent="0.25">
      <c r="A409" s="5" t="str">
        <f>IFERROR(IF(INDEX([4]US!$A$2:$A$23,MATCH($D409,[4]US!$D$2:$D$23,0))="","",INDEX([4]US!$A$2:$A$23,MATCH($D409,[4]US!$D$2:$D$23,0))),"")</f>
        <v>Finalized</v>
      </c>
      <c r="B409" s="5" t="str">
        <f>IFERROR(IF(INDEX([4]US!$B$2:$B$23,MATCH($D409,[4]US!$D$2:$D$23,0))="","",INDEX([4]US!$B$2:$B$23,MATCH($D409,[4]US!$D$2:$D$23,0))),"")</f>
        <v>Adjusted - CPT 93923 bundles with 93925 and 93970 - 93923 billed on claim 568254615</v>
      </c>
      <c r="C409" s="6">
        <f>IFERROR(IF(INDEX([4]US!$C$2:$C$23,MATCH($D409,[4]US!$D$2:$D$23,0))="","",INDEX([4]US!$C$2:$C$23,MATCH($D409,[4]US!$D$2:$D$23,0))),"")</f>
        <v>46199</v>
      </c>
      <c r="D409" s="7">
        <v>558639899</v>
      </c>
      <c r="E409" s="8" t="s">
        <v>512</v>
      </c>
      <c r="F409" s="9">
        <v>46126</v>
      </c>
      <c r="G409" s="8" t="s">
        <v>377</v>
      </c>
      <c r="H409" s="8" t="s">
        <v>377</v>
      </c>
      <c r="I409" s="8" t="s">
        <v>69</v>
      </c>
      <c r="J409" s="8" t="s">
        <v>378</v>
      </c>
      <c r="K409" s="6">
        <f>IFERROR(IF(INDEX([4]US!$K$2:$K$23,MATCH($D409,[4]US!$D$2:$D$23,0))="","",INDEX([4]US!$K$2:$K$23,MATCH($D409,[4]US!$D$2:$D$23,0))),"")</f>
        <v>46245</v>
      </c>
      <c t="str" r="L409" s="11">
        <f ca="1">IF($O409="","",$O409-TODAY())</f>
        <v/>
      </c>
      <c t="str" r="M409" s="11">
        <f ca="1">IF(AND(TRIM($A409)="Finalized",$K409&lt;&gt;""),"",IF($C409="","",$C409+180-TODAY()))</f>
        <v/>
      </c>
      <c t="str" r="N409" s="11">
        <f ca="1">IF(AND(TRIM($A409)="Finalized",$K409&lt;&gt;""),"",IF($C409="","",$C409+180-TODAY()))</f>
        <v/>
      </c>
      <c t="str" r="O409" s="9">
        <f>IF(AND(TRIM($A409)="Finalized",$K409&lt;&gt;""),"",DATE(2026,8,12))</f>
        <v/>
      </c>
      <c r="P409" s="8" t="s">
        <v>208</v>
      </c>
      <c r="Q409" s="8" t="s">
        <v>379</v>
      </c>
      <c r="R409" s="8" t="s">
        <v>117</v>
      </c>
      <c r="S409" s="8" t="s">
        <v>74</v>
      </c>
      <c r="T409" s="8" t="s">
        <v>117</v>
      </c>
      <c r="U409" s="8" t="s">
        <v>74</v>
      </c>
      <c r="V409" s="8" t="s">
        <v>339</v>
      </c>
      <c r="W409" s="8" t="s">
        <v>129</v>
      </c>
      <c r="X409" s="8"/>
      <c r="Y409" s="8"/>
      <c r="Z409" s="8"/>
      <c r="AA409" s="8" t="s">
        <v>77</v>
      </c>
      <c r="AB409" s="10">
        <v>879.06</v>
      </c>
      <c r="AC409" s="10">
        <v>0</v>
      </c>
      <c r="AD409" s="10">
        <v>0</v>
      </c>
      <c r="AE409" s="9"/>
      <c r="AF409" s="10">
        <v>879.06</v>
      </c>
      <c r="AG409" s="7">
        <v>116</v>
      </c>
      <c r="AH409" s="8" t="s">
        <v>329</v>
      </c>
      <c r="AI409" s="8" t="s">
        <v>361</v>
      </c>
      <c r="AJ409" s="8" t="s">
        <v>175</v>
      </c>
      <c r="AK409" s="8"/>
      <c r="AL409" s="7"/>
      <c r="AM409" s="8" t="s">
        <v>157</v>
      </c>
      <c r="AN409" s="8" t="s">
        <v>158</v>
      </c>
      <c r="AO409" s="9">
        <v>46141</v>
      </c>
    </row>
    <row r="410" spans="1:41" x14ac:dyDescent="0.25">
      <c r="A410" s="5" t="str">
        <f>IFERROR(IF(INDEX([6]ORTHO!$A$2:$A$39,MATCH($D410,[6]ORTHO!$D$2:$D$39,0))="","",INDEX([6]ORTHO!$A$2:$A$39,MATCH($D410,[6]ORTHO!$D$2:$D$39,0))),"")</f>
        <v>Finalized</v>
      </c>
      <c r="B410" s="5" t="str">
        <f>IFERROR(IF(INDEX([6]ORTHO!$B$2:$B$39,MATCH($D410,[6]ORTHO!$D$2:$D$39,0))="","",INDEX([6]ORTHO!$B$2:$B$39,MATCH($D410,[6]ORTHO!$D$2:$D$39,0))),"")</f>
        <v>Bri resubmitted to Devoted</v>
      </c>
      <c r="C410" s="6">
        <f>IFERROR(IF(INDEX([6]ORTHO!$C$2:$C$39,MATCH($D410,[6]ORTHO!$D$2:$D$39,0))="","",INDEX([6]ORTHO!$C$2:$C$39,MATCH($D410,[6]ORTHO!$D$2:$D$39,0))),"")</f>
        <v>46232</v>
      </c>
      <c r="D410" s="7">
        <v>565931559</v>
      </c>
      <c r="E410" s="8" t="s">
        <v>524</v>
      </c>
      <c r="F410" s="9">
        <v>46190</v>
      </c>
      <c r="G410" s="8" t="s">
        <v>363</v>
      </c>
      <c r="H410" s="8" t="s">
        <v>363</v>
      </c>
      <c r="I410" s="8" t="s">
        <v>69</v>
      </c>
      <c r="J410" s="8" t="s">
        <v>344</v>
      </c>
      <c r="K410" s="6">
        <f>IFERROR(IF(INDEX([6]ORTHO!$K$2:$K$39,MATCH($D410,[6]ORTHO!$D$2:$D$39,0))="","",INDEX([6]ORTHO!$K$2:$K$39,MATCH($D410,[6]ORTHO!$D$2:$D$39,0))),"")</f>
        <v>46246</v>
      </c>
      <c t="str" r="L410" s="11">
        <f ca="1">IF($O410="","",$O410-TODAY())</f>
        <v/>
      </c>
      <c t="str" r="M410" s="11">
        <f ca="1">IF(AND(TRIM($A410)="Finalized",$K410&lt;&gt;""),"",IF($C410="","",$C410+365-TODAY()))</f>
        <v/>
      </c>
      <c t="str" r="N410" s="11">
        <f ca="1">IF(AND(TRIM($A410)="Finalized",$K410&lt;&gt;""),"",IF($C410="","",$C410+90-TODAY()))</f>
        <v/>
      </c>
      <c t="str" r="O410" s="9">
        <f>IF(AND(TRIM($A410)="Finalized",$K410&lt;&gt;""),"",DATE(2026,8,16))</f>
        <v/>
      </c>
      <c r="P410" s="8" t="s">
        <v>71</v>
      </c>
      <c r="Q410" s="8" t="s">
        <v>364</v>
      </c>
      <c r="R410" s="8" t="s">
        <v>73</v>
      </c>
      <c r="S410" s="8" t="s">
        <v>74</v>
      </c>
      <c r="T410" s="8" t="s">
        <v>86</v>
      </c>
      <c r="U410" s="8" t="s">
        <v>74</v>
      </c>
      <c r="V410" s="8" t="s">
        <v>455</v>
      </c>
      <c r="W410" s="8" t="s">
        <v>76</v>
      </c>
      <c r="X410" s="8"/>
      <c r="Y410" s="8"/>
      <c r="Z410" s="8"/>
      <c r="AA410" s="8" t="s">
        <v>77</v>
      </c>
      <c r="AB410" s="10">
        <v>9056.39</v>
      </c>
      <c r="AC410" s="10">
        <v>0</v>
      </c>
      <c r="AD410" s="10">
        <v>0</v>
      </c>
      <c r="AE410" s="9"/>
      <c r="AF410" s="10">
        <v>9056.39</v>
      </c>
      <c r="AG410" s="7">
        <v>52</v>
      </c>
      <c r="AH410" s="8" t="s">
        <v>145</v>
      </c>
      <c r="AI410" s="8"/>
      <c r="AJ410" s="8"/>
      <c r="AK410" s="8"/>
      <c r="AL410" s="7"/>
      <c r="AM410" s="8" t="s">
        <v>168</v>
      </c>
      <c r="AN410" s="8" t="s">
        <v>109</v>
      </c>
      <c r="AO410" s="9">
        <v>46210</v>
      </c>
    </row>
    <row r="411" spans="1:41" x14ac:dyDescent="0.25">
      <c r="A411" s="5" t="str">
        <f>IFERROR(IF(INDEX([5]ORTHO!$A$2:$A$24,MATCH($D411,[5]ORTHO!$D$2:$D$24,0))="","",INDEX([5]ORTHO!$A$2:$A$24,MATCH($D411,[5]ORTHO!$D$2:$D$24,0))),"")</f>
        <v>Finalized</v>
      </c>
      <c r="B411" s="5" t="str">
        <f>IFERROR(IF(INDEX([5]ORTHO!$B$2:$B$24,MATCH($D411,[5]ORTHO!$D$2:$D$24,0))="","",INDEX([5]ORTHO!$B$2:$B$24,MATCH($D411,[5]ORTHO!$D$2:$D$24,0))),"")</f>
        <v>Auth only included 63650 - Adjusted 63685</v>
      </c>
      <c r="C411" s="6">
        <f>IFERROR(IF(INDEX([5]ORTHO!$C$2:$C$24,MATCH($D411,[5]ORTHO!$D$2:$D$24,0))="","",INDEX([5]ORTHO!$C$2:$C$24,MATCH($D411,[5]ORTHO!$D$2:$D$24,0))),"")</f>
        <v>46170</v>
      </c>
      <c r="D411" s="7">
        <v>559340087</v>
      </c>
      <c r="E411" s="8" t="s">
        <v>527</v>
      </c>
      <c r="F411" s="9">
        <v>46157</v>
      </c>
      <c r="G411" s="8" t="s">
        <v>186</v>
      </c>
      <c r="H411" s="8" t="s">
        <v>186</v>
      </c>
      <c r="I411" s="8" t="s">
        <v>69</v>
      </c>
      <c r="J411" s="8" t="s">
        <v>70</v>
      </c>
      <c r="K411" s="6">
        <f>IFERROR(IF(INDEX([5]ORTHO!$K$2:$K$24,MATCH($D411,[5]ORTHO!$D$2:$D$24,0))="","",INDEX([5]ORTHO!$K$2:$K$24,MATCH($D411,[5]ORTHO!$D$2:$D$24,0))),"")</f>
        <v>46245</v>
      </c>
      <c t="str" r="L411" s="11">
        <f ca="1">IF($O411="","",$O411-TODAY())</f>
        <v/>
      </c>
      <c t="str" r="M411" s="11">
        <f ca="1">IF(AND(TRIM($A411)="Finalized",$K411&lt;&gt;""),"",IF($C411="","",$C411+90-TODAY()))</f>
        <v/>
      </c>
      <c t="str" r="N411" s="11">
        <f ca="1">IF(AND(TRIM($A411)="Finalized",$K411&lt;&gt;""),"",IF($C411="","",$C411+90-TODAY()))</f>
        <v/>
      </c>
      <c t="str" r="O411" s="9">
        <f>IF(AND(TRIM($A411)="Finalized",$K411&lt;&gt;""),"",DATE(2026,8,18))</f>
        <v/>
      </c>
      <c r="P411" s="8" t="s">
        <v>188</v>
      </c>
      <c r="Q411" s="8" t="s">
        <v>189</v>
      </c>
      <c r="R411" s="8" t="s">
        <v>86</v>
      </c>
      <c r="S411" s="8" t="s">
        <v>74</v>
      </c>
      <c r="T411" s="8" t="s">
        <v>86</v>
      </c>
      <c r="U411" s="8" t="s">
        <v>74</v>
      </c>
      <c r="V411" s="8" t="s">
        <v>365</v>
      </c>
      <c r="W411" s="8" t="s">
        <v>76</v>
      </c>
      <c r="X411" s="8"/>
      <c r="Y411" s="8"/>
      <c r="Z411" s="8"/>
      <c r="AA411" s="8" t="s">
        <v>77</v>
      </c>
      <c r="AB411" s="10">
        <v>2493.33</v>
      </c>
      <c r="AC411" s="10">
        <v>0</v>
      </c>
      <c r="AD411" s="10">
        <v>0</v>
      </c>
      <c r="AE411" s="9">
        <v>46170</v>
      </c>
      <c r="AF411" s="10">
        <v>2493.33</v>
      </c>
      <c r="AG411" s="7">
        <v>85</v>
      </c>
      <c r="AH411" s="8" t="s">
        <v>78</v>
      </c>
      <c r="AI411" s="8" t="s">
        <v>79</v>
      </c>
      <c r="AJ411" s="8" t="s">
        <v>92</v>
      </c>
      <c r="AK411" s="8"/>
      <c r="AL411" s="7"/>
      <c r="AM411" s="8" t="s">
        <v>146</v>
      </c>
      <c r="AN411" s="8" t="s">
        <v>109</v>
      </c>
      <c r="AO411" s="9">
        <v>46160</v>
      </c>
    </row>
    <row r="412" spans="1:41" x14ac:dyDescent="0.25">
      <c r="A412" s="5" t="str">
        <f>IFERROR(IF(INDEX([5]DME!$A$2:$A$35,MATCH($D412,[5]DME!$D$2:$D$35,0))="","",INDEX([5]DME!$A$2:$A$35,MATCH($D412,[5]DME!$D$2:$D$35,0))),"")</f>
        <v>Finalized</v>
      </c>
      <c r="B412" s="5" t="str">
        <f>IFERROR(IF(INDEX([5]DME!$B$2:$B$35,MATCH($D412,[5]DME!$D$2:$D$35,0))="","",INDEX([5]DME!$B$2:$B$35,MATCH($D412,[5]DME!$D$2:$D$35,0))),"")</f>
        <v>Billed PT according to ABN charges agreed.</v>
      </c>
      <c r="C412" s="6">
        <f>IFERROR(IF(INDEX([5]DME!$C$2:$C$35,MATCH($D412,[5]DME!$D$2:$D$35,0))="","",INDEX([5]DME!$C$2:$C$35,MATCH($D412,[5]DME!$D$2:$D$35,0))),"")</f>
        <v>46183</v>
      </c>
      <c r="D412" s="7">
        <v>561237046</v>
      </c>
      <c r="E412" s="8" t="s">
        <v>532</v>
      </c>
      <c r="F412" s="9">
        <v>46163</v>
      </c>
      <c r="G412" s="8" t="s">
        <v>148</v>
      </c>
      <c r="H412" s="8" t="s">
        <v>148</v>
      </c>
      <c r="I412" s="8" t="s">
        <v>533</v>
      </c>
      <c r="J412" s="8" t="s">
        <v>373</v>
      </c>
      <c r="K412" s="6">
        <f>IFERROR(IF(INDEX([5]DME!$K$2:$K$35,MATCH($D412,[5]DME!$D$2:$D$35,0))="","",INDEX([5]DME!$K$2:$K$35,MATCH($D412,[5]DME!$D$2:$D$35,0))),"")</f>
        <v>46245</v>
      </c>
      <c t="str" r="L412" s="11">
        <f ca="1">IF($O412="","",$O412-TODAY())</f>
        <v/>
      </c>
      <c t="str" r="M412" s="11">
        <f ca="1">IF(AND(TRIM($A412)="Finalized",$K412&lt;&gt;""),"",IF($C412="","",$C412+180-TODAY()))</f>
        <v/>
      </c>
      <c t="str" r="N412" s="11">
        <f ca="1">IF(AND(TRIM($A412)="Finalized",$K412&lt;&gt;""),"",IF($C412="","",$C412+365-TODAY()))</f>
        <v/>
      </c>
      <c t="str" r="O412" s="9">
        <f>IF(AND(TRIM($A412)="Finalized",$K412&lt;&gt;""),"",DATE(2026,8,19))</f>
        <v/>
      </c>
      <c r="P412" s="8" t="s">
        <v>86</v>
      </c>
      <c r="Q412" s="8" t="s">
        <v>152</v>
      </c>
      <c r="R412" s="8" t="s">
        <v>117</v>
      </c>
      <c r="S412" s="8" t="s">
        <v>74</v>
      </c>
      <c r="T412" s="8" t="s">
        <v>73</v>
      </c>
      <c r="U412" s="8" t="s">
        <v>74</v>
      </c>
      <c r="V412" s="8" t="s">
        <v>365</v>
      </c>
      <c r="W412" s="8" t="s">
        <v>89</v>
      </c>
      <c r="X412" s="8" t="s">
        <v>244</v>
      </c>
      <c r="Y412" s="8"/>
      <c r="Z412" s="8"/>
      <c r="AA412" s="8" t="s">
        <v>190</v>
      </c>
      <c r="AB412" s="10">
        <v>2958.2</v>
      </c>
      <c r="AC412" s="10">
        <v>0</v>
      </c>
      <c r="AD412" s="10">
        <v>0</v>
      </c>
      <c r="AE412" s="9">
        <v>46183</v>
      </c>
      <c r="AF412" s="10">
        <v>2958.2</v>
      </c>
      <c r="AG412" s="7">
        <v>79</v>
      </c>
      <c r="AH412" s="8" t="s">
        <v>430</v>
      </c>
      <c r="AI412" s="8" t="s">
        <v>308</v>
      </c>
      <c r="AJ412" s="8"/>
      <c r="AK412" s="8"/>
      <c r="AL412" s="7"/>
      <c r="AM412" s="8" t="s">
        <v>217</v>
      </c>
      <c r="AN412" s="8" t="s">
        <v>132</v>
      </c>
      <c r="AO412" s="9">
        <v>46177</v>
      </c>
    </row>
    <row r="413" spans="1:41" x14ac:dyDescent="0.25">
      <c r="A413" s="5" t="str">
        <f>IFERROR(IF(INDEX([5]US!$A$2:$A$19,MATCH($D413,[5]US!$D$2:$D$19,0))="","",INDEX([5]US!$A$2:$A$19,MATCH($D413,[5]US!$D$2:$D$19,0))),"")</f>
        <v>Finalized</v>
      </c>
      <c r="B413" s="5" t="str">
        <f>IFERROR(IF(INDEX([5]US!$B$2:$B$19,MATCH($D413,[5]US!$D$2:$D$19,0))="","",INDEX([5]US!$B$2:$B$19,MATCH($D413,[5]US!$D$2:$D$19,0))),"")</f>
        <v>Ordering provider Dr. Krause was notified of the dx issue - Continue with adjustments</v>
      </c>
      <c r="C413" s="6">
        <f>IFERROR(IF(INDEX([5]US!$C$2:$C$19,MATCH($D413,[5]US!$D$2:$D$19,0))="","",INDEX([5]US!$C$2:$C$19,MATCH($D413,[5]US!$D$2:$D$19,0))),"")</f>
        <v>46182</v>
      </c>
      <c r="D413" s="7">
        <v>560709048</v>
      </c>
      <c r="E413" s="8" t="s">
        <v>536</v>
      </c>
      <c r="F413" s="9">
        <v>46163</v>
      </c>
      <c r="G413" s="8" t="s">
        <v>174</v>
      </c>
      <c r="H413" s="8" t="s">
        <v>174</v>
      </c>
      <c r="I413" s="8" t="s">
        <v>69</v>
      </c>
      <c r="J413" s="8" t="s">
        <v>492</v>
      </c>
      <c r="K413" s="6">
        <f>IFERROR(IF(INDEX([5]US!$K$2:$K$19,MATCH($D413,[5]US!$D$2:$D$19,0))="","",INDEX([5]US!$K$2:$K$19,MATCH($D413,[5]US!$D$2:$D$19,0))),"")</f>
        <v>46246</v>
      </c>
      <c t="str" r="L413" s="11">
        <f ca="1">IF($O413="","",$O413-TODAY())</f>
        <v/>
      </c>
      <c t="str" r="M413" s="11">
        <f ca="1">IF(AND(TRIM($A413)="Finalized",$K413&lt;&gt;""),"",IF($F413="","",$F413+90-TODAY()))</f>
        <v/>
      </c>
      <c t="str" r="N413" s="11">
        <f ca="1">IF(AND(TRIM($A413)="Finalized",$K413&lt;&gt;""),"",IF($C413="","",$C413+180-TODAY()))</f>
        <v/>
      </c>
      <c t="str" r="O413" s="9">
        <f>IF(AND(TRIM($A413)="Finalized",$K413&lt;&gt;""),"",DATE(2026,8,19))</f>
        <v/>
      </c>
      <c r="P413" s="8" t="s">
        <v>86</v>
      </c>
      <c r="Q413" s="8" t="s">
        <v>144</v>
      </c>
      <c r="R413" s="8" t="s">
        <v>86</v>
      </c>
      <c r="S413" s="8" t="s">
        <v>88</v>
      </c>
      <c r="T413" s="8" t="s">
        <v>117</v>
      </c>
      <c r="U413" s="8" t="s">
        <v>74</v>
      </c>
      <c r="V413" s="8" t="s">
        <v>365</v>
      </c>
      <c r="W413" s="8" t="s">
        <v>129</v>
      </c>
      <c r="X413" s="8"/>
      <c r="Y413" s="8"/>
      <c r="Z413" s="8"/>
      <c r="AA413" s="8" t="s">
        <v>77</v>
      </c>
      <c r="AB413" s="10">
        <v>2528.2600000000002</v>
      </c>
      <c r="AC413" s="10">
        <v>0</v>
      </c>
      <c r="AD413" s="10">
        <v>0</v>
      </c>
      <c r="AE413" s="9">
        <v>46182</v>
      </c>
      <c r="AF413" s="10">
        <v>2528.2600000000002</v>
      </c>
      <c r="AG413" s="7">
        <v>79</v>
      </c>
      <c r="AH413" s="8" t="s">
        <v>537</v>
      </c>
      <c r="AI413" s="8"/>
      <c r="AJ413" s="8"/>
      <c r="AK413" s="8"/>
      <c r="AL413" s="7"/>
      <c r="AM413" s="8" t="s">
        <v>131</v>
      </c>
      <c r="AN413" s="8" t="s">
        <v>350</v>
      </c>
      <c r="AO413" s="9">
        <v>46171</v>
      </c>
    </row>
    <row r="414" spans="1:41" x14ac:dyDescent="0.25">
      <c r="A414" s="5" t="str">
        <f>IFERROR(IF(INDEX([5]DME!$A$2:$A$35,MATCH($D414,[5]DME!$D$2:$D$35,0))="","",INDEX([5]DME!$A$2:$A$35,MATCH($D414,[5]DME!$D$2:$D$35,0))),"")</f>
        <v>Finalized</v>
      </c>
      <c r="B414" s="5" t="str">
        <f>IFERROR(IF(INDEX([5]DME!$B$2:$B$35,MATCH($D414,[5]DME!$D$2:$D$35,0))="","",INDEX([5]DME!$B$2:$B$35,MATCH($D414,[5]DME!$D$2:$D$35,0))),"")</f>
        <v>No auth on file - Adjusted</v>
      </c>
      <c r="C414" s="6">
        <f>IFERROR(IF(INDEX([5]DME!$C$2:$C$35,MATCH($D414,[5]DME!$D$2:$D$35,0))="","",INDEX([5]DME!$C$2:$C$35,MATCH($D414,[5]DME!$D$2:$D$35,0))),"")</f>
        <v>46194</v>
      </c>
      <c r="D414" s="7">
        <v>561851402</v>
      </c>
      <c r="E414" s="8" t="s">
        <v>542</v>
      </c>
      <c r="F414" s="9">
        <v>46164</v>
      </c>
      <c r="G414" s="8" t="s">
        <v>134</v>
      </c>
      <c r="H414" s="8" t="s">
        <v>134</v>
      </c>
      <c r="I414" s="8" t="s">
        <v>69</v>
      </c>
      <c r="J414" s="8" t="s">
        <v>243</v>
      </c>
      <c r="K414" s="6">
        <f>IFERROR(IF(INDEX([5]DME!$K$2:$K$35,MATCH($D414,[5]DME!$D$2:$D$35,0))="","",INDEX([5]DME!$K$2:$K$35,MATCH($D414,[5]DME!$D$2:$D$35,0))),"")</f>
        <v>46245</v>
      </c>
      <c t="str" r="L414" s="11">
        <f ca="1">IF($O414="","",$O414-TODAY())</f>
        <v/>
      </c>
      <c t="str" r="M414" s="11">
        <f ca="1">IF(AND(TRIM($A414)="Finalized",$K414&lt;&gt;""),"",IF($C414="","",$C414+365-TODAY()))</f>
        <v/>
      </c>
      <c t="str" r="N414" s="11">
        <f ca="1">IF(AND(TRIM($A414)="Finalized",$K414&lt;&gt;""),"",IF($C414="","",$C414+365-TODAY()))</f>
        <v/>
      </c>
      <c t="str" r="O414" s="9">
        <f>IF(AND(TRIM($A414)="Finalized",$K414&lt;&gt;""),"",DATE(2026,8,20))</f>
        <v/>
      </c>
      <c r="P414" s="8" t="s">
        <v>86</v>
      </c>
      <c r="Q414" s="8" t="s">
        <v>136</v>
      </c>
      <c r="R414" s="8" t="s">
        <v>73</v>
      </c>
      <c r="S414" s="8" t="s">
        <v>74</v>
      </c>
      <c r="T414" s="8" t="s">
        <v>73</v>
      </c>
      <c r="U414" s="8" t="s">
        <v>74</v>
      </c>
      <c r="V414" s="8" t="s">
        <v>365</v>
      </c>
      <c r="W414" s="8" t="s">
        <v>89</v>
      </c>
      <c r="X414" s="8" t="s">
        <v>244</v>
      </c>
      <c r="Y414" s="8"/>
      <c r="Z414" s="8"/>
      <c r="AA414" s="8" t="s">
        <v>91</v>
      </c>
      <c r="AB414" s="10">
        <v>36353.800000000003</v>
      </c>
      <c r="AC414" s="10">
        <v>0</v>
      </c>
      <c r="AD414" s="10">
        <v>0</v>
      </c>
      <c r="AE414" s="9">
        <v>46194</v>
      </c>
      <c r="AF414" s="10">
        <v>36353.800000000003</v>
      </c>
      <c r="AG414" s="7">
        <v>78</v>
      </c>
      <c r="AH414" s="8" t="s">
        <v>92</v>
      </c>
      <c r="AI414" s="8" t="s">
        <v>182</v>
      </c>
      <c r="AJ414" s="8"/>
      <c r="AK414" s="8"/>
      <c r="AL414" s="7"/>
      <c r="AM414" s="8" t="s">
        <v>543</v>
      </c>
      <c r="AN414" s="8" t="s">
        <v>158</v>
      </c>
      <c r="AO414" s="9">
        <v>46183</v>
      </c>
    </row>
    <row r="415" spans="1:41" x14ac:dyDescent="0.25">
      <c r="A415" s="5" t="str">
        <f>IFERROR(IF(INDEX([5]ORTHO!$A$2:$A$24,MATCH($D415,[5]ORTHO!$D$2:$D$24,0))="","",INDEX([5]ORTHO!$A$2:$A$24,MATCH($D415,[5]ORTHO!$D$2:$D$24,0))),"")</f>
        <v>Finalized</v>
      </c>
      <c r="B415" s="5" t="str">
        <f>IFERROR(IF(INDEX([5]ORTHO!$B$2:$B$24,MATCH($D415,[5]ORTHO!$D$2:$D$24,0))="","",INDEX([5]ORTHO!$B$2:$B$24,MATCH($D415,[5]ORTHO!$D$2:$D$24,0))),"")</f>
        <v>Jess corrected member ID and resubmitted</v>
      </c>
      <c r="C415" s="6">
        <f>IFERROR(IF(INDEX([5]ORTHO!$C$2:$C$24,MATCH($D415,[5]ORTHO!$D$2:$D$24,0))="","",INDEX([5]ORTHO!$C$2:$C$24,MATCH($D415,[5]ORTHO!$D$2:$D$24,0))),"")</f>
        <v>46231</v>
      </c>
      <c r="D415" s="7">
        <v>565698268</v>
      </c>
      <c r="E415" s="8" t="s">
        <v>544</v>
      </c>
      <c r="F415" s="9">
        <v>46168</v>
      </c>
      <c r="G415" s="8" t="s">
        <v>174</v>
      </c>
      <c r="H415" s="8" t="s">
        <v>174</v>
      </c>
      <c r="I415" s="8" t="s">
        <v>69</v>
      </c>
      <c r="J415" s="8" t="s">
        <v>70</v>
      </c>
      <c r="K415" s="6">
        <f>IFERROR(IF(INDEX([5]ORTHO!$K$2:$K$24,MATCH($D415,[5]ORTHO!$D$2:$D$24,0))="","",INDEX([5]ORTHO!$K$2:$K$24,MATCH($D415,[5]ORTHO!$D$2:$D$24,0))),"")</f>
        <v>46245</v>
      </c>
      <c t="str" r="L415" s="11">
        <f ca="1">IF($O415="","",$O415-TODAY())</f>
        <v/>
      </c>
      <c t="str" r="M415" s="11">
        <f ca="1">IF(AND(TRIM($A415)="Finalized",$K415&lt;&gt;""),"",IF($F415="","",$F415+90-TODAY()))</f>
        <v/>
      </c>
      <c t="str" r="N415" s="11">
        <f ca="1">IF(AND(TRIM($A415)="Finalized",$K415&lt;&gt;""),"",IF($C415="","",$C415+180-TODAY()))</f>
        <v/>
      </c>
      <c t="str" r="O415" s="9">
        <f>IF(AND(TRIM($A415)="Finalized",$K415&lt;&gt;""),"",DATE(2026,8,24))</f>
        <v/>
      </c>
      <c r="P415" s="8" t="s">
        <v>86</v>
      </c>
      <c r="Q415" s="8" t="s">
        <v>144</v>
      </c>
      <c r="R415" s="8" t="s">
        <v>86</v>
      </c>
      <c r="S415" s="8" t="s">
        <v>88</v>
      </c>
      <c r="T415" s="8" t="s">
        <v>117</v>
      </c>
      <c r="U415" s="8" t="s">
        <v>74</v>
      </c>
      <c r="V415" s="8" t="s">
        <v>365</v>
      </c>
      <c r="W415" s="8" t="s">
        <v>76</v>
      </c>
      <c r="X415" s="8"/>
      <c r="Y415" s="8"/>
      <c r="Z415" s="8"/>
      <c r="AA415" s="8" t="s">
        <v>77</v>
      </c>
      <c r="AB415" s="10">
        <v>2493.33</v>
      </c>
      <c r="AC415" s="10">
        <v>0</v>
      </c>
      <c r="AD415" s="10">
        <v>0</v>
      </c>
      <c r="AE415" s="9"/>
      <c r="AF415" s="10">
        <v>2493.33</v>
      </c>
      <c r="AG415" s="7">
        <v>74</v>
      </c>
      <c r="AH415" s="8" t="s">
        <v>545</v>
      </c>
      <c r="AI415" s="8" t="s">
        <v>546</v>
      </c>
      <c r="AJ415" s="8"/>
      <c r="AK415" s="8"/>
      <c r="AL415" s="7"/>
      <c r="AM415" s="8" t="s">
        <v>157</v>
      </c>
      <c r="AN415" s="8" t="s">
        <v>81</v>
      </c>
      <c r="AO415" s="9">
        <v>46170</v>
      </c>
    </row>
    <row r="416" spans="1:41" x14ac:dyDescent="0.25">
      <c r="A416" s="5" t="str">
        <f>IFERROR(IF(INDEX([5]DME!$A$2:$A$35,MATCH($D416,[5]DME!$D$2:$D$35,0))="","",INDEX([5]DME!$A$2:$A$35,MATCH($D416,[5]DME!$D$2:$D$35,0))),"")</f>
        <v>Finalized</v>
      </c>
      <c r="B416" s="5" t="str">
        <f>IFERROR(IF(INDEX([5]DME!$B$2:$B$35,MATCH($D416,[5]DME!$D$2:$D$35,0))="","",INDEX([5]DME!$B$2:$B$35,MATCH($D416,[5]DME!$D$2:$D$35,0))),"")</f>
        <v>Shift to PR - ABN signed - No coverage</v>
      </c>
      <c r="C416" s="6">
        <f>IFERROR(IF(INDEX([5]DME!$C$2:$C$35,MATCH($D416,[5]DME!$D$2:$D$35,0))="","",INDEX([5]DME!$C$2:$C$35,MATCH($D416,[5]DME!$D$2:$D$35,0))),"")</f>
        <v>46191</v>
      </c>
      <c r="D416" s="7">
        <v>561860576</v>
      </c>
      <c r="E416" s="8" t="s">
        <v>140</v>
      </c>
      <c r="F416" s="9">
        <v>46168</v>
      </c>
      <c r="G416" s="8" t="s">
        <v>114</v>
      </c>
      <c r="H416" s="8" t="s">
        <v>114</v>
      </c>
      <c r="I416" s="8" t="s">
        <v>69</v>
      </c>
      <c r="J416" s="8" t="s">
        <v>547</v>
      </c>
      <c r="K416" s="6">
        <f>IFERROR(IF(INDEX([5]DME!$K$2:$K$35,MATCH($D416,[5]DME!$D$2:$D$35,0))="","",INDEX([5]DME!$K$2:$K$35,MATCH($D416,[5]DME!$D$2:$D$35,0))),"")</f>
        <v>46248</v>
      </c>
      <c t="str" r="L416" s="11">
        <f ca="1">IF($O416="","",$O416-TODAY())</f>
        <v/>
      </c>
      <c t="str" r="M416" s="11">
        <f ca="1">IF(AND(TRIM($A416)="Finalized",$K416&lt;&gt;""),"",IF($C416="","",$C416+180-TODAY()))</f>
        <v/>
      </c>
      <c t="str" r="N416" s="11">
        <f ca="1">IF(AND(TRIM($A416)="Finalized",$K416&lt;&gt;""),"",IF($C416="","",$C416+365-TODAY()))</f>
        <v/>
      </c>
      <c t="str" r="O416" s="9">
        <f>IF(AND(TRIM($A416)="Finalized",$K416&lt;&gt;""),"",DATE(2026,8,24))</f>
        <v/>
      </c>
      <c r="P416" s="8" t="s">
        <v>86</v>
      </c>
      <c r="Q416" s="8" t="s">
        <v>116</v>
      </c>
      <c r="R416" s="8" t="s">
        <v>117</v>
      </c>
      <c r="S416" s="8" t="s">
        <v>74</v>
      </c>
      <c r="T416" s="8" t="s">
        <v>73</v>
      </c>
      <c r="U416" s="8" t="s">
        <v>74</v>
      </c>
      <c r="V416" s="8" t="s">
        <v>365</v>
      </c>
      <c r="W416" s="8" t="s">
        <v>89</v>
      </c>
      <c r="X416" s="8" t="s">
        <v>90</v>
      </c>
      <c r="Y416" s="8"/>
      <c r="Z416" s="8"/>
      <c r="AA416" s="8" t="s">
        <v>190</v>
      </c>
      <c r="AB416" s="10">
        <v>2958.2</v>
      </c>
      <c r="AC416" s="10">
        <v>0</v>
      </c>
      <c r="AD416" s="10">
        <v>0</v>
      </c>
      <c r="AE416" s="9">
        <v>46191</v>
      </c>
      <c r="AF416" s="10">
        <v>2958.2</v>
      </c>
      <c r="AG416" s="7">
        <v>74</v>
      </c>
      <c r="AH416" s="8" t="s">
        <v>92</v>
      </c>
      <c r="AI416" s="8" t="s">
        <v>79</v>
      </c>
      <c r="AJ416" s="8" t="s">
        <v>105</v>
      </c>
      <c r="AK416" s="8"/>
      <c r="AL416" s="7"/>
      <c r="AM416" s="8" t="s">
        <v>321</v>
      </c>
      <c r="AN416" s="8" t="s">
        <v>325</v>
      </c>
      <c r="AO416" s="9">
        <v>46183</v>
      </c>
    </row>
    <row r="417" spans="1:41" x14ac:dyDescent="0.25">
      <c r="A417" s="5" t="str">
        <f>IFERROR(IF(INDEX([5]US!$A$2:$A$19,MATCH($D417,[5]US!$D$2:$D$19,0))="","",INDEX([5]US!$A$2:$A$19,MATCH($D417,[5]US!$D$2:$D$19,0))),"")</f>
        <v>Finalized</v>
      </c>
      <c r="B417" s="5" t="str">
        <f>IFERROR(IF(INDEX([5]US!$B$2:$B$19,MATCH($D417,[5]US!$D$2:$D$19,0))="","",INDEX([5]US!$B$2:$B$19,MATCH($D417,[5]US!$D$2:$D$19,0))),"")</f>
        <v xml:space="preserve">Jess reached out to our team to post payment </v>
      </c>
      <c r="C417" s="6">
        <f>IFERROR(IF(INDEX([5]US!$C$2:$C$19,MATCH($D417,[5]US!$D$2:$D$19,0))="","",INDEX([5]US!$C$2:$C$19,MATCH($D417,[5]US!$D$2:$D$19,0))),"")</f>
        <v>46175</v>
      </c>
      <c r="D417" s="7">
        <v>560711027</v>
      </c>
      <c r="E417" s="8" t="s">
        <v>549</v>
      </c>
      <c r="F417" s="9">
        <v>46168</v>
      </c>
      <c r="G417" s="8" t="s">
        <v>84</v>
      </c>
      <c r="H417" s="8" t="s">
        <v>84</v>
      </c>
      <c r="I417" s="8" t="s">
        <v>69</v>
      </c>
      <c r="J417" s="8" t="s">
        <v>135</v>
      </c>
      <c r="K417" s="6">
        <f>IFERROR(IF(INDEX([5]US!$K$2:$K$19,MATCH($D417,[5]US!$D$2:$D$19,0))="","",INDEX([5]US!$K$2:$K$19,MATCH($D417,[5]US!$D$2:$D$19,0))),"")</f>
        <v>46251</v>
      </c>
      <c t="str" r="L417" s="11">
        <f ca="1">IF($O417="","",$O417-TODAY())</f>
        <v/>
      </c>
      <c t="str" r="M417" s="11">
        <f ca="1">IF(AND(TRIM($A417)="Finalized",$K417&lt;&gt;""),"",IF($F417="","",$F417+90-TODAY()))</f>
        <v/>
      </c>
      <c t="str" r="N417" s="11">
        <f ca="1">IF(AND(TRIM($A417)="Finalized",$K417&lt;&gt;""),"",IF($C417="","",$C417+60-TODAY()))</f>
        <v/>
      </c>
      <c t="str" r="O417" s="9">
        <f>IF(AND(TRIM($A417)="Finalized",$K417&lt;&gt;""),"",DATE(2026,8,24))</f>
        <v/>
      </c>
      <c r="P417" s="8" t="s">
        <v>86</v>
      </c>
      <c r="Q417" s="8" t="s">
        <v>87</v>
      </c>
      <c r="R417" s="8" t="s">
        <v>86</v>
      </c>
      <c r="S417" s="8" t="s">
        <v>88</v>
      </c>
      <c r="T417" s="8" t="s">
        <v>71</v>
      </c>
      <c r="U417" s="8" t="s">
        <v>74</v>
      </c>
      <c r="V417" s="8" t="s">
        <v>365</v>
      </c>
      <c r="W417" s="8" t="s">
        <v>129</v>
      </c>
      <c r="X417" s="8"/>
      <c r="Y417" s="8"/>
      <c r="Z417" s="8"/>
      <c r="AA417" s="8" t="s">
        <v>77</v>
      </c>
      <c r="AB417" s="10">
        <v>1294.23</v>
      </c>
      <c r="AC417" s="10">
        <v>0</v>
      </c>
      <c r="AD417" s="10">
        <v>0</v>
      </c>
      <c r="AE417" s="9"/>
      <c r="AF417" s="10">
        <v>1294.23</v>
      </c>
      <c r="AG417" s="7">
        <v>74</v>
      </c>
      <c r="AH417" s="8" t="s">
        <v>550</v>
      </c>
      <c r="AI417" s="8" t="s">
        <v>175</v>
      </c>
      <c r="AJ417" s="8" t="s">
        <v>105</v>
      </c>
      <c r="AK417" s="8"/>
      <c r="AL417" s="7"/>
      <c r="AM417" s="8" t="s">
        <v>157</v>
      </c>
      <c r="AN417" s="8" t="s">
        <v>158</v>
      </c>
      <c r="AO417" s="9">
        <v>46171</v>
      </c>
    </row>
    <row r="418" spans="1:41" x14ac:dyDescent="0.25">
      <c r="A418" s="5" t="str">
        <f>IFERROR(IF(INDEX([4]DME!$A$2:$A$34,MATCH($D418,[4]DME!$D$2:$D$34,0))="","",INDEX([4]DME!$A$2:$A$34,MATCH($D418,[4]DME!$D$2:$D$34,0))),"")</f>
        <v>Finalized</v>
      </c>
      <c r="B418" s="5" t="str">
        <f>IFERROR(IF(INDEX([4]DME!$B$2:$B$34,MATCH($D418,[4]DME!$D$2:$D$34,0))="","",INDEX([4]DME!$B$2:$B$34,MATCH($D418,[4]DME!$D$2:$D$34,0))),"")</f>
        <v>Adjusted balance - Acodes not included in auth/referral</v>
      </c>
      <c r="C418" s="6">
        <f>IFERROR(IF(INDEX([4]DME!$C$2:$C$34,MATCH($D418,[4]DME!$D$2:$D$34,0))="","",INDEX([4]DME!$C$2:$C$34,MATCH($D418,[4]DME!$D$2:$D$34,0))),"")</f>
        <v>46170</v>
      </c>
      <c r="D418" s="7">
        <v>558742342</v>
      </c>
      <c r="E418" s="8" t="s">
        <v>557</v>
      </c>
      <c r="F418" s="9">
        <v>46140</v>
      </c>
      <c r="G418" s="8" t="s">
        <v>222</v>
      </c>
      <c r="H418" s="8" t="s">
        <v>222</v>
      </c>
      <c r="I418" s="8" t="s">
        <v>69</v>
      </c>
      <c r="J418" s="8" t="s">
        <v>478</v>
      </c>
      <c r="K418" s="6">
        <f>IFERROR(IF(INDEX([4]DME!$K$2:$K$34,MATCH($D418,[4]DME!$D$2:$D$34,0))="","",INDEX([4]DME!$K$2:$K$34,MATCH($D418,[4]DME!$D$2:$D$34,0))),"")</f>
        <v>46245</v>
      </c>
      <c t="str" r="L418" s="11">
        <f ca="1">IF($O418="","",$O418-TODAY())</f>
        <v/>
      </c>
      <c t="str" r="M418" s="11">
        <f ca="1">IF(AND(TRIM($A418)="Finalized",$K418&lt;&gt;""),"",IF($C418="","",$C418+365-TODAY()))</f>
        <v/>
      </c>
      <c t="str" r="N418" s="11">
        <f ca="1">IF(AND(TRIM($A418)="Finalized",$K418&lt;&gt;""),"",IF($C418="","",$C418+90-TODAY()))</f>
        <v/>
      </c>
      <c t="str" r="O418" s="9">
        <f>IF(AND(TRIM($A418)="Finalized",$K418&lt;&gt;""),"",DATE(2026,8,26))</f>
        <v/>
      </c>
      <c r="P418" s="8" t="s">
        <v>208</v>
      </c>
      <c r="Q418" s="8" t="s">
        <v>224</v>
      </c>
      <c r="R418" s="8" t="s">
        <v>73</v>
      </c>
      <c r="S418" s="8" t="s">
        <v>74</v>
      </c>
      <c r="T418" s="8" t="s">
        <v>86</v>
      </c>
      <c r="U418" s="8" t="s">
        <v>74</v>
      </c>
      <c r="V418" s="8" t="s">
        <v>339</v>
      </c>
      <c r="W418" s="8" t="s">
        <v>89</v>
      </c>
      <c r="X418" s="8" t="s">
        <v>90</v>
      </c>
      <c r="Y418" s="8"/>
      <c r="Z418" s="8"/>
      <c r="AA418" s="8" t="s">
        <v>479</v>
      </c>
      <c r="AB418" s="10">
        <v>72707.600000000006</v>
      </c>
      <c r="AC418" s="10">
        <v>0</v>
      </c>
      <c r="AD418" s="10">
        <v>0</v>
      </c>
      <c r="AE418" s="9">
        <v>46170</v>
      </c>
      <c r="AF418" s="10">
        <v>72707.600000000006</v>
      </c>
      <c r="AG418" s="7">
        <v>102</v>
      </c>
      <c r="AH418" s="8" t="s">
        <v>92</v>
      </c>
      <c r="AI418" s="8" t="s">
        <v>558</v>
      </c>
      <c r="AJ418" s="8" t="s">
        <v>546</v>
      </c>
      <c r="AK418" s="8"/>
      <c r="AL418" s="7"/>
      <c r="AM418" s="8" t="s">
        <v>157</v>
      </c>
      <c r="AN418" s="8" t="s">
        <v>158</v>
      </c>
      <c r="AO418" s="9">
        <v>46153</v>
      </c>
    </row>
    <row r="419" spans="1:41" x14ac:dyDescent="0.25">
      <c r="A419" s="5" t="str">
        <f>IFERROR(IF(INDEX([6]DME!$A$2:$A$51,MATCH($D419,[6]DME!$D$2:$D$51,0))="","",INDEX([6]DME!$A$2:$A$51,MATCH($D419,[6]DME!$D$2:$D$51,0))),"")</f>
        <v>Finalized</v>
      </c>
      <c r="B419" s="5" t="str">
        <f>IFERROR(IF(INDEX([6]DME!$B$2:$B$51,MATCH($D419,[6]DME!$D$2:$D$51,0))="","",INDEX([6]DME!$B$2:$B$51,MATCH($D419,[6]DME!$D$2:$D$51,0))),"")</f>
        <v>ABN signed - $0.00 charges listed for A6010 in case insurance didn't pay</v>
      </c>
      <c r="C419" s="6">
        <f>IFERROR(IF(INDEX([6]DME!$C$2:$C$51,MATCH($D419,[6]DME!$D$2:$D$51,0))="","",INDEX([6]DME!$C$2:$C$51,MATCH($D419,[6]DME!$D$2:$D$51,0))),"")</f>
        <v>46212</v>
      </c>
      <c r="D419" s="7">
        <v>562162337</v>
      </c>
      <c r="E419" s="8" t="s">
        <v>570</v>
      </c>
      <c r="F419" s="9">
        <v>46174</v>
      </c>
      <c r="G419" s="8" t="s">
        <v>114</v>
      </c>
      <c r="H419" s="8" t="s">
        <v>114</v>
      </c>
      <c r="I419" s="8" t="s">
        <v>69</v>
      </c>
      <c r="J419" s="8" t="s">
        <v>243</v>
      </c>
      <c r="K419" s="6">
        <f>IFERROR(IF(INDEX([6]DME!$K$2:$K$51,MATCH($D419,[6]DME!$D$2:$D$51,0))="","",INDEX([6]DME!$K$2:$K$51,MATCH($D419,[6]DME!$D$2:$D$51,0))),"")</f>
        <v>46272</v>
      </c>
      <c t="str" r="L419" s="11">
        <f ca="1">IF($O419="","",$O419-TODAY())</f>
        <v/>
      </c>
      <c t="str" r="M419" s="11">
        <f ca="1">IF(AND(TRIM($A419)="Finalized",$K419&lt;&gt;""),"",IF($C419="","",$C419+180-TODAY()))</f>
        <v/>
      </c>
      <c t="str" r="N419" s="11">
        <f ca="1">IF(AND(TRIM($A419)="Finalized",$K419&lt;&gt;""),"",IF($C419="","",$C419+365-TODAY()))</f>
        <v/>
      </c>
      <c t="str" r="O419" s="9">
        <f>IF(AND(TRIM($A419)="Finalized",$K419&lt;&gt;""),"",DATE(2026,8,30))</f>
        <v/>
      </c>
      <c r="P419" s="8" t="s">
        <v>86</v>
      </c>
      <c r="Q419" s="8" t="s">
        <v>116</v>
      </c>
      <c r="R419" s="8" t="s">
        <v>117</v>
      </c>
      <c r="S419" s="8" t="s">
        <v>74</v>
      </c>
      <c r="T419" s="8" t="s">
        <v>73</v>
      </c>
      <c r="U419" s="8" t="s">
        <v>74</v>
      </c>
      <c r="V419" s="8" t="s">
        <v>455</v>
      </c>
      <c r="W419" s="8" t="s">
        <v>89</v>
      </c>
      <c r="X419" s="8" t="s">
        <v>244</v>
      </c>
      <c r="Y419" s="8"/>
      <c r="Z419" s="8"/>
      <c r="AA419" s="8" t="s">
        <v>91</v>
      </c>
      <c r="AB419" s="10">
        <v>5916.4</v>
      </c>
      <c r="AC419" s="10">
        <v>0</v>
      </c>
      <c r="AD419" s="10">
        <v>0</v>
      </c>
      <c r="AE419" s="9">
        <v>46212</v>
      </c>
      <c r="AF419" s="10">
        <v>5916.4</v>
      </c>
      <c r="AG419" s="7">
        <v>68</v>
      </c>
      <c r="AH419" s="8" t="s">
        <v>92</v>
      </c>
      <c r="AI419" s="8"/>
      <c r="AJ419" s="8"/>
      <c r="AK419" s="8"/>
      <c r="AL419" s="7"/>
      <c r="AM419" s="8" t="s">
        <v>306</v>
      </c>
      <c r="AN419" s="8" t="s">
        <v>132</v>
      </c>
      <c r="AO419" s="9">
        <v>46185</v>
      </c>
    </row>
    <row r="420" spans="1:41" x14ac:dyDescent="0.25">
      <c r="A420" s="5" t="str">
        <f>IFERROR(IF(INDEX([6]DME!$A$2:$A$51,MATCH($D420,[6]DME!$D$2:$D$51,0))="","",INDEX([6]DME!$A$2:$A$51,MATCH($D420,[6]DME!$D$2:$D$51,0))),"")</f>
        <v>Finalized</v>
      </c>
      <c r="B420" s="5" t="str">
        <f>IFERROR(IF(INDEX([6]DME!$B$2:$B$51,MATCH($D420,[6]DME!$D$2:$D$51,0))="","",INDEX([6]DME!$B$2:$B$51,MATCH($D420,[6]DME!$D$2:$D$51,0))),"")</f>
        <v xml:space="preserve">Adjusted balance  - DND no auth </v>
      </c>
      <c r="C420" s="6">
        <f>IFERROR(IF(INDEX([6]DME!$C$2:$C$51,MATCH($D420,[6]DME!$D$2:$D$51,0))="","",INDEX([6]DME!$C$2:$C$51,MATCH($D420,[6]DME!$D$2:$D$51,0))),"")</f>
        <v>46224</v>
      </c>
      <c r="D420" s="7">
        <v>563985783</v>
      </c>
      <c r="E420" s="8" t="s">
        <v>572</v>
      </c>
      <c r="F420" s="9">
        <v>46174</v>
      </c>
      <c r="G420" s="8" t="s">
        <v>134</v>
      </c>
      <c r="H420" s="8" t="s">
        <v>134</v>
      </c>
      <c r="I420" s="8" t="s">
        <v>69</v>
      </c>
      <c r="J420" s="8" t="s">
        <v>243</v>
      </c>
      <c r="K420" s="6">
        <f>IFERROR(IF(INDEX([6]DME!$K$2:$K$51,MATCH($D420,[6]DME!$D$2:$D$51,0))="","",INDEX([6]DME!$K$2:$K$51,MATCH($D420,[6]DME!$D$2:$D$51,0))),"")</f>
        <v>46276</v>
      </c>
      <c t="str" r="L420" s="11">
        <f ca="1">IF($O420="","",$O420-TODAY())</f>
        <v/>
      </c>
      <c t="str" r="M420" s="11">
        <f ca="1">IF(AND(TRIM($A420)="Finalized",$K420&lt;&gt;""),"",IF($C420="","",$C420+365-TODAY()))</f>
        <v/>
      </c>
      <c t="str" r="N420" s="11">
        <f ca="1">IF(AND(TRIM($A420)="Finalized",$K420&lt;&gt;""),"",IF($C420="","",$C420+365-TODAY()))</f>
        <v/>
      </c>
      <c t="str" r="O420" s="9">
        <f>IF(AND(TRIM($A420)="Finalized",$K420&lt;&gt;""),"",DATE(2026,8,30))</f>
        <v/>
      </c>
      <c r="P420" s="8" t="s">
        <v>86</v>
      </c>
      <c r="Q420" s="8" t="s">
        <v>136</v>
      </c>
      <c r="R420" s="8" t="s">
        <v>73</v>
      </c>
      <c r="S420" s="8" t="s">
        <v>74</v>
      </c>
      <c r="T420" s="8" t="s">
        <v>73</v>
      </c>
      <c r="U420" s="8" t="s">
        <v>74</v>
      </c>
      <c r="V420" s="8" t="s">
        <v>455</v>
      </c>
      <c r="W420" s="8" t="s">
        <v>89</v>
      </c>
      <c r="X420" s="8" t="s">
        <v>244</v>
      </c>
      <c r="Y420" s="8"/>
      <c r="Z420" s="8"/>
      <c r="AA420" s="8" t="s">
        <v>91</v>
      </c>
      <c r="AB420" s="10">
        <v>5916.4</v>
      </c>
      <c r="AC420" s="10">
        <v>0</v>
      </c>
      <c r="AD420" s="10">
        <v>0</v>
      </c>
      <c r="AE420" s="9">
        <v>46224</v>
      </c>
      <c r="AF420" s="10">
        <v>5916.4</v>
      </c>
      <c r="AG420" s="7">
        <v>68</v>
      </c>
      <c r="AH420" s="8" t="s">
        <v>92</v>
      </c>
      <c r="AI420" s="8" t="s">
        <v>182</v>
      </c>
      <c r="AJ420" s="8"/>
      <c r="AK420" s="8"/>
      <c r="AL420" s="7"/>
      <c r="AM420" s="8" t="s">
        <v>573</v>
      </c>
      <c r="AN420" s="8" t="s">
        <v>191</v>
      </c>
      <c r="AO420" s="9">
        <v>46185</v>
      </c>
    </row>
    <row r="421" spans="1:41" x14ac:dyDescent="0.25">
      <c r="A421" s="5" t="str">
        <f>IFERROR(IF(INDEX([6]DME!$A$2:$A$51,MATCH($D421,[6]DME!$D$2:$D$51,0))="","",INDEX([6]DME!$A$2:$A$51,MATCH($D421,[6]DME!$D$2:$D$51,0))),"")</f>
        <v>Finalized</v>
      </c>
      <c r="B421" s="5" t="str">
        <f>IFERROR(IF(INDEX([6]DME!$B$2:$B$51,MATCH($D421,[6]DME!$D$2:$D$51,0))="","",INDEX([6]DME!$B$2:$B$51,MATCH($D421,[6]DME!$D$2:$D$51,0))),"")</f>
        <v>Adjusted balance - A-code not covered under M2K plan</v>
      </c>
      <c r="C421" s="6">
        <f>IFERROR(IF(INDEX([6]DME!$C$2:$C$51,MATCH($D421,[6]DME!$D$2:$D$51,0))="","",INDEX([6]DME!$C$2:$C$51,MATCH($D421,[6]DME!$D$2:$D$51,0))),"")</f>
        <v>46212</v>
      </c>
      <c r="D421" s="7">
        <v>562140119</v>
      </c>
      <c r="E421" s="8" t="s">
        <v>574</v>
      </c>
      <c r="F421" s="9">
        <v>46175</v>
      </c>
      <c r="G421" s="8" t="s">
        <v>134</v>
      </c>
      <c r="H421" s="8" t="s">
        <v>134</v>
      </c>
      <c r="I421" s="8" t="s">
        <v>69</v>
      </c>
      <c r="J421" s="8" t="s">
        <v>478</v>
      </c>
      <c r="K421" s="6">
        <f>IFERROR(IF(INDEX([6]DME!$K$2:$K$51,MATCH($D421,[6]DME!$D$2:$D$51,0))="","",INDEX([6]DME!$K$2:$K$51,MATCH($D421,[6]DME!$D$2:$D$51,0))),"")</f>
        <v>46272</v>
      </c>
      <c t="str" r="L421" s="11">
        <f ca="1">IF($O421="","",$O421-TODAY())</f>
        <v/>
      </c>
      <c t="str" r="M421" s="11">
        <f ca="1">IF(AND(TRIM($A421)="Finalized",$K421&lt;&gt;""),"",IF($C421="","",$C421+365-TODAY()))</f>
        <v/>
      </c>
      <c t="str" r="N421" s="11">
        <f ca="1">IF(AND(TRIM($A421)="Finalized",$K421&lt;&gt;""),"",IF($C421="","",$C421+365-TODAY()))</f>
        <v/>
      </c>
      <c t="str" r="O421" s="9">
        <f>IF(AND(TRIM($A421)="Finalized",$K421&lt;&gt;""),"",DATE(2026,8,31))</f>
        <v/>
      </c>
      <c r="P421" s="8" t="s">
        <v>86</v>
      </c>
      <c r="Q421" s="8" t="s">
        <v>136</v>
      </c>
      <c r="R421" s="8" t="s">
        <v>73</v>
      </c>
      <c r="S421" s="8" t="s">
        <v>74</v>
      </c>
      <c r="T421" s="8" t="s">
        <v>73</v>
      </c>
      <c r="U421" s="8" t="s">
        <v>74</v>
      </c>
      <c r="V421" s="8" t="s">
        <v>455</v>
      </c>
      <c r="W421" s="8" t="s">
        <v>89</v>
      </c>
      <c r="X421" s="8" t="s">
        <v>90</v>
      </c>
      <c r="Y421" s="8"/>
      <c r="Z421" s="8"/>
      <c r="AA421" s="8" t="s">
        <v>479</v>
      </c>
      <c r="AB421" s="10">
        <v>11832.8</v>
      </c>
      <c r="AC421" s="10">
        <v>0</v>
      </c>
      <c r="AD421" s="10">
        <v>0</v>
      </c>
      <c r="AE421" s="9">
        <v>46212</v>
      </c>
      <c r="AF421" s="10">
        <v>11832.8</v>
      </c>
      <c r="AG421" s="7">
        <v>67</v>
      </c>
      <c r="AH421" s="8" t="s">
        <v>92</v>
      </c>
      <c r="AI421" s="8" t="s">
        <v>575</v>
      </c>
      <c r="AJ421" s="8"/>
      <c r="AK421" s="8"/>
      <c r="AL421" s="7"/>
      <c r="AM421" s="8" t="s">
        <v>543</v>
      </c>
      <c r="AN421" s="8" t="s">
        <v>158</v>
      </c>
      <c r="AO421" s="9">
        <v>46185</v>
      </c>
    </row>
    <row r="422" spans="1:41" x14ac:dyDescent="0.25">
      <c r="A422" s="5" t="str">
        <f>IFERROR(IF(INDEX([5]DME!$A$2:$A$35,MATCH($D422,[5]DME!$D$2:$D$35,0))="","",INDEX([5]DME!$A$2:$A$35,MATCH($D422,[5]DME!$D$2:$D$35,0))),"")</f>
        <v>Finalized</v>
      </c>
      <c r="B422" s="5" t="str">
        <f>IFERROR(IF(INDEX([5]DME!$B$2:$B$35,MATCH($D422,[5]DME!$D$2:$D$35,0))="","",INDEX([5]DME!$B$2:$B$35,MATCH($D422,[5]DME!$D$2:$D$35,0))),"")</f>
        <v>Shift to PR - ABN signed - No auth</v>
      </c>
      <c r="C422" s="6">
        <f>IFERROR(IF(INDEX([5]DME!$C$2:$C$35,MATCH($D422,[5]DME!$D$2:$D$35,0))="","",INDEX([5]DME!$C$2:$C$35,MATCH($D422,[5]DME!$D$2:$D$35,0))),"")</f>
        <v>46223</v>
      </c>
      <c r="D422" s="7">
        <v>559770046</v>
      </c>
      <c r="E422" s="8" t="s">
        <v>576</v>
      </c>
      <c r="F422" s="9">
        <v>46146</v>
      </c>
      <c r="G422" s="8" t="s">
        <v>446</v>
      </c>
      <c r="H422" s="8" t="s">
        <v>446</v>
      </c>
      <c r="I422" s="8" t="s">
        <v>69</v>
      </c>
      <c r="J422" s="8" t="s">
        <v>373</v>
      </c>
      <c r="K422" s="6">
        <f>IFERROR(IF(INDEX([5]DME!$K$2:$K$35,MATCH($D422,[5]DME!$D$2:$D$35,0))="","",INDEX([5]DME!$K$2:$K$35,MATCH($D422,[5]DME!$D$2:$D$35,0))),"")</f>
        <v>46248</v>
      </c>
      <c t="str" r="L422" s="11">
        <f ca="1">IF($O422="","",$O422-TODAY())</f>
        <v/>
      </c>
      <c r="M422" s="11"/>
      <c t="str" r="N422" s="11">
        <f ca="1">IF(AND(TRIM($A422)="Finalized",$K422&lt;&gt;""),"",IF($C422="","",$C422+65-TODAY()))</f>
        <v/>
      </c>
      <c t="str" r="O422" s="9">
        <f>IF(AND(TRIM($A422)="Finalized",$K422&lt;&gt;""),"",DATE(2026,9,1))</f>
        <v/>
      </c>
      <c r="P422" s="8" t="s">
        <v>208</v>
      </c>
      <c r="Q422" s="8" t="s">
        <v>448</v>
      </c>
      <c r="R422" s="8"/>
      <c r="S422" s="8"/>
      <c r="T422" s="8" t="s">
        <v>449</v>
      </c>
      <c r="U422" s="8" t="s">
        <v>74</v>
      </c>
      <c r="V422" s="8" t="s">
        <v>365</v>
      </c>
      <c r="W422" s="8" t="s">
        <v>89</v>
      </c>
      <c r="X422" s="8" t="s">
        <v>244</v>
      </c>
      <c r="Y422" s="8"/>
      <c r="Z422" s="8"/>
      <c r="AA422" s="8" t="s">
        <v>190</v>
      </c>
      <c r="AB422" s="10">
        <v>2958.2</v>
      </c>
      <c r="AC422" s="10">
        <v>0</v>
      </c>
      <c r="AD422" s="10">
        <v>0</v>
      </c>
      <c r="AE422" s="9">
        <v>46223</v>
      </c>
      <c r="AF422" s="10">
        <v>2958.2</v>
      </c>
      <c r="AG422" s="7">
        <v>96</v>
      </c>
      <c r="AH422" s="8" t="s">
        <v>92</v>
      </c>
      <c r="AI422" s="8"/>
      <c r="AJ422" s="8"/>
      <c r="AK422" s="8"/>
      <c r="AL422" s="7"/>
      <c r="AM422" s="8" t="s">
        <v>321</v>
      </c>
      <c r="AN422" s="8" t="s">
        <v>132</v>
      </c>
      <c r="AO422" s="9">
        <v>46162</v>
      </c>
    </row>
    <row r="423" spans="1:41" x14ac:dyDescent="0.25">
      <c r="A423" s="5" t="str">
        <f>IFERROR(IF(INDEX([5]GAE!$A$2:$A$7,MATCH($D423,[5]GAE!$D$2:$D$7,0))="","",INDEX([5]GAE!$A$2:$A$7,MATCH($D423,[5]GAE!$D$2:$D$7,0))),"")</f>
        <v>Finalized</v>
      </c>
      <c r="B423" s="5" t="str">
        <f>IFERROR(IF(INDEX([5]GAE!$B$2:$B$7,MATCH($D423,[5]GAE!$D$2:$D$7,0))="","",INDEX([5]GAE!$B$2:$B$7,MATCH($D423,[5]GAE!$D$2:$D$7,0))),"")</f>
        <v>37242 not covered by Aetna - consider experimental when dealing with knee pain</v>
      </c>
      <c r="C423" s="6">
        <f>IFERROR(IF(INDEX([5]GAE!$C$2:$C$7,MATCH($D423,[5]GAE!$D$2:$D$7,0))="","",INDEX([5]GAE!$C$2:$C$7,MATCH($D423,[5]GAE!$D$2:$D$7,0))),"")</f>
        <v>46195</v>
      </c>
      <c r="D423" s="7">
        <v>561650229</v>
      </c>
      <c r="E423" s="8" t="s">
        <v>512</v>
      </c>
      <c r="F423" s="9">
        <v>46146</v>
      </c>
      <c r="G423" s="8" t="s">
        <v>377</v>
      </c>
      <c r="H423" s="8" t="s">
        <v>377</v>
      </c>
      <c r="I423" s="8" t="s">
        <v>69</v>
      </c>
      <c r="J423" s="8" t="s">
        <v>577</v>
      </c>
      <c r="K423" s="6">
        <f>IFERROR(IF(INDEX([5]GAE!$K$2:$K$7,MATCH($D423,[5]GAE!$D$2:$D$7,0))="","",INDEX([5]GAE!$K$2:$K$7,MATCH($D423,[5]GAE!$D$2:$D$7,0))),"")</f>
        <v>46248</v>
      </c>
      <c t="str" r="L423" s="11">
        <f ca="1">IF($O423="","",$O423-TODAY())</f>
        <v/>
      </c>
      <c t="str" r="M423" s="11">
        <f ca="1">IF(AND(TRIM($A423)="Finalized",$K423&lt;&gt;""),"",IF($C423="","",$C423+180-TODAY()))</f>
        <v/>
      </c>
      <c t="str" r="N423" s="11">
        <f ca="1">IF(AND(TRIM($A423)="Finalized",$K423&lt;&gt;""),"",IF($C423="","",$C423+180-TODAY()))</f>
        <v/>
      </c>
      <c t="str" r="O423" s="9">
        <f>IF(AND(TRIM($A423)="Finalized",$K423&lt;&gt;""),"",DATE(2026,9,1))</f>
        <v/>
      </c>
      <c r="P423" s="8" t="s">
        <v>208</v>
      </c>
      <c r="Q423" s="8" t="s">
        <v>379</v>
      </c>
      <c r="R423" s="8" t="s">
        <v>117</v>
      </c>
      <c r="S423" s="8" t="s">
        <v>74</v>
      </c>
      <c r="T423" s="8" t="s">
        <v>117</v>
      </c>
      <c r="U423" s="8" t="s">
        <v>74</v>
      </c>
      <c r="V423" s="8" t="s">
        <v>365</v>
      </c>
      <c r="W423" s="8" t="s">
        <v>101</v>
      </c>
      <c r="X423" s="8" t="s">
        <v>102</v>
      </c>
      <c r="Y423" s="8"/>
      <c r="Z423" s="8"/>
      <c r="AA423" s="8" t="s">
        <v>210</v>
      </c>
      <c r="AB423" s="10">
        <v>51585.59</v>
      </c>
      <c r="AC423" s="10">
        <v>0</v>
      </c>
      <c r="AD423" s="10">
        <v>0</v>
      </c>
      <c r="AE423" s="9">
        <v>46195</v>
      </c>
      <c r="AF423" s="10">
        <v>51585.59</v>
      </c>
      <c r="AG423" s="7">
        <v>96</v>
      </c>
      <c r="AH423" s="8" t="s">
        <v>329</v>
      </c>
      <c r="AI423" s="8" t="s">
        <v>106</v>
      </c>
      <c r="AJ423" s="8" t="s">
        <v>361</v>
      </c>
      <c r="AK423" s="8"/>
      <c r="AL423" s="7"/>
      <c r="AM423" s="8" t="s">
        <v>108</v>
      </c>
      <c r="AN423" s="8" t="s">
        <v>81</v>
      </c>
      <c r="AO423" s="9">
        <v>46182</v>
      </c>
    </row>
    <row r="424" spans="1:41" x14ac:dyDescent="0.25">
      <c r="A424" s="5" t="str">
        <f>IFERROR(IF(INDEX([6]US!$A$2:$A$22,MATCH($D424,[6]US!$D$2:$D$22,0))="","",INDEX([6]US!$A$2:$A$22,MATCH($D424,[6]US!$D$2:$D$22,0))),"")</f>
        <v>Finalized</v>
      </c>
      <c r="B424" s="5" t="str">
        <f>IFERROR(IF(INDEX([6]US!$B$2:$B$22,MATCH($D424,[6]US!$D$2:$D$22,0))="","",INDEX([6]US!$B$2:$B$22,MATCH($D424,[6]US!$D$2:$D$22,0))),"")</f>
        <v xml:space="preserve">PAID - Adjusted balance </v>
      </c>
      <c r="C424" s="6">
        <f>IFERROR(IF(INDEX([6]US!$C$2:$C$22,MATCH($D424,[6]US!$D$2:$D$22,0))="","",INDEX([6]US!$C$2:$C$22,MATCH($D424,[6]US!$D$2:$D$22,0))),"")</f>
        <v>46273</v>
      </c>
      <c r="D424" s="7">
        <v>563010537</v>
      </c>
      <c r="E424" s="8" t="s">
        <v>580</v>
      </c>
      <c r="F424" s="9">
        <v>46176</v>
      </c>
      <c r="G424" s="8" t="s">
        <v>237</v>
      </c>
      <c r="H424" s="8" t="s">
        <v>237</v>
      </c>
      <c r="I424" s="8" t="s">
        <v>69</v>
      </c>
      <c r="J424" s="8" t="s">
        <v>135</v>
      </c>
      <c r="K424" s="6">
        <f>IFERROR(IF(INDEX([6]US!$K$2:$K$22,MATCH($D424,[6]US!$D$2:$D$22,0))="","",INDEX([6]US!$K$2:$K$22,MATCH($D424,[6]US!$D$2:$D$22,0))),"")</f>
        <v>46284</v>
      </c>
      <c t="str" r="L424" s="11">
        <f ca="1">IF($O424="","",$O424-TODAY())</f>
        <v/>
      </c>
      <c t="str" r="M424" s="11">
        <f ca="1">IF(AND(TRIM($A424)="Finalized",$K424&lt;&gt;""),"",IF($C424="","",$C424+180-TODAY()))</f>
        <v/>
      </c>
      <c t="str" r="N424" s="11">
        <f ca="1">IF(AND(TRIM($A424)="Finalized",$K424&lt;&gt;""),"",IF($C424="","",$C424+365-TODAY()))</f>
        <v/>
      </c>
      <c t="str" r="O424" s="9">
        <f>IF(AND(TRIM($A424)="Finalized",$K424&lt;&gt;""),"",DATE(2026,9,1))</f>
        <v/>
      </c>
      <c r="P424" s="8" t="s">
        <v>86</v>
      </c>
      <c r="Q424" s="8" t="s">
        <v>239</v>
      </c>
      <c r="R424" s="8" t="s">
        <v>117</v>
      </c>
      <c r="S424" s="8" t="s">
        <v>74</v>
      </c>
      <c r="T424" s="8" t="s">
        <v>73</v>
      </c>
      <c r="U424" s="8" t="s">
        <v>74</v>
      </c>
      <c r="V424" s="8" t="s">
        <v>455</v>
      </c>
      <c r="W424" s="8" t="s">
        <v>129</v>
      </c>
      <c r="X424" s="8"/>
      <c r="Y424" s="8"/>
      <c r="Z424" s="8"/>
      <c r="AA424" s="8" t="s">
        <v>77</v>
      </c>
      <c r="AB424" s="10">
        <v>1294.23</v>
      </c>
      <c r="AC424" s="10">
        <v>1136.5999999999999</v>
      </c>
      <c r="AD424" s="10">
        <v>175.13</v>
      </c>
      <c r="AE424" s="9">
        <v>46273</v>
      </c>
      <c r="AF424" s="10">
        <v>-17.5</v>
      </c>
      <c r="AG424" s="7">
        <v>66</v>
      </c>
      <c r="AH424" s="8" t="s">
        <v>309</v>
      </c>
      <c r="AI424" s="8" t="s">
        <v>105</v>
      </c>
      <c r="AJ424" s="8" t="s">
        <v>329</v>
      </c>
      <c r="AK424" s="8"/>
      <c r="AL424" s="7"/>
      <c r="AM424" s="8" t="s">
        <v>165</v>
      </c>
      <c r="AN424" s="8" t="s">
        <v>95</v>
      </c>
      <c r="AO424" s="9">
        <v>46195</v>
      </c>
    </row>
    <row r="425" spans="1:41" x14ac:dyDescent="0.25">
      <c r="A425" s="5" t="str">
        <f>IFERROR(IF(INDEX([5]US!$A$2:$A$19,MATCH($D425,[5]US!$D$2:$D$19,0))="","",INDEX([5]US!$A$2:$A$19,MATCH($D425,[5]US!$D$2:$D$19,0))),"")</f>
        <v>Finalized</v>
      </c>
      <c r="B425" s="5" t="str">
        <f>IFERROR(IF(INDEX([5]US!$B$2:$B$19,MATCH($D425,[5]US!$D$2:$D$19,0))="","",INDEX([5]US!$B$2:$B$19,MATCH($D425,[5]US!$D$2:$D$19,0))),"")</f>
        <v>Adjusted balance - The ABI and TBI are not a standalone study. They're embedded inside the Arterial Duplex Lower Extremity report</v>
      </c>
      <c r="C425" s="6">
        <f>IFERROR(IF(INDEX([5]US!$C$2:$C$19,MATCH($D425,[5]US!$D$2:$D$19,0))="","",INDEX([5]US!$C$2:$C$19,MATCH($D425,[5]US!$D$2:$D$19,0))),"")</f>
        <v>46185</v>
      </c>
      <c r="D425" s="7">
        <v>560032270</v>
      </c>
      <c r="E425" s="8" t="s">
        <v>583</v>
      </c>
      <c r="F425" s="9">
        <v>46147</v>
      </c>
      <c r="G425" s="8" t="s">
        <v>405</v>
      </c>
      <c r="H425" s="8" t="s">
        <v>405</v>
      </c>
      <c r="I425" s="8" t="s">
        <v>69</v>
      </c>
      <c r="J425" s="8" t="s">
        <v>135</v>
      </c>
      <c r="K425" s="6">
        <f>IFERROR(IF(INDEX([5]US!$K$2:$K$19,MATCH($D425,[5]US!$D$2:$D$19,0))="","",INDEX([5]US!$K$2:$K$19,MATCH($D425,[5]US!$D$2:$D$19,0))),"")</f>
        <v>46252</v>
      </c>
      <c t="str" r="L425" s="11">
        <f ca="1">IF($O425="","",$O425-TODAY())</f>
        <v/>
      </c>
      <c t="str" r="M425" s="11">
        <f ca="1">IF(AND(TRIM($A425)="Finalized",$K425&lt;&gt;""),"",IF($C425="","",$C425+180-TODAY()))</f>
        <v/>
      </c>
      <c t="str" r="N425" s="11">
        <f ca="1">IF(AND(TRIM($A425)="Finalized",$K425&lt;&gt;""),"",IF($C425="","",$C425+180-TODAY()))</f>
        <v/>
      </c>
      <c t="str" r="O425" s="9">
        <f>IF(AND(TRIM($A425)="Finalized",$K425&lt;&gt;""),"",DATE(2026,9,2))</f>
        <v/>
      </c>
      <c r="P425" s="8" t="s">
        <v>208</v>
      </c>
      <c r="Q425" s="8" t="s">
        <v>209</v>
      </c>
      <c r="R425" s="8" t="s">
        <v>117</v>
      </c>
      <c r="S425" s="8" t="s">
        <v>74</v>
      </c>
      <c r="T425" s="8" t="s">
        <v>117</v>
      </c>
      <c r="U425" s="8" t="s">
        <v>74</v>
      </c>
      <c r="V425" s="8" t="s">
        <v>365</v>
      </c>
      <c r="W425" s="8" t="s">
        <v>129</v>
      </c>
      <c r="X425" s="8"/>
      <c r="Y425" s="8"/>
      <c r="Z425" s="8"/>
      <c r="AA425" s="8" t="s">
        <v>77</v>
      </c>
      <c r="AB425" s="10">
        <v>1294.23</v>
      </c>
      <c r="AC425" s="10">
        <v>0</v>
      </c>
      <c r="AD425" s="10">
        <v>0</v>
      </c>
      <c r="AE425" s="9">
        <v>46185</v>
      </c>
      <c r="AF425" s="10">
        <v>1294.23</v>
      </c>
      <c r="AG425" s="7">
        <v>95</v>
      </c>
      <c r="AH425" s="8" t="s">
        <v>137</v>
      </c>
      <c r="AI425" s="8"/>
      <c r="AJ425" s="8"/>
      <c r="AK425" s="8"/>
      <c r="AL425" s="7"/>
      <c r="AM425" s="8" t="s">
        <v>157</v>
      </c>
      <c r="AN425" s="8" t="s">
        <v>158</v>
      </c>
      <c r="AO425" s="9">
        <v>46164</v>
      </c>
    </row>
    <row r="426" spans="1:41" x14ac:dyDescent="0.25">
      <c r="A426" s="5" t="str">
        <f>IFERROR(IF(INDEX([6]BH!$A$2:$A$82,MATCH($D426,[6]BH!$D$2:$D$82,0))="","",INDEX([6]BH!$A$2:$A$82,MATCH($D426,[6]BH!$D$2:$D$82,0))),"")</f>
        <v>Finalized</v>
      </c>
      <c r="B426" s="5" t="str">
        <f>IFERROR(IF(INDEX([6]BH!$B$2:$B$82,MATCH($D426,[6]BH!$D$2:$D$82,0))="","",INDEX([6]BH!$B$2:$B$82,MATCH($D426,[6]BH!$D$2:$D$82,0))),"")</f>
        <v xml:space="preserve">secondary - VA doesn't cover BH services - Primary paid </v>
      </c>
      <c r="C426" s="6">
        <f>IFERROR(IF(INDEX([6]BH!$C$2:$C$82,MATCH($D426,[6]BH!$D$2:$D$82,0))="","",INDEX([6]BH!$C$2:$C$82,MATCH($D426,[6]BH!$D$2:$D$82,0))),"")</f>
        <v>46225</v>
      </c>
      <c r="D426" s="7">
        <v>561646907</v>
      </c>
      <c r="E426" s="8" t="s">
        <v>331</v>
      </c>
      <c r="F426" s="9">
        <v>46178</v>
      </c>
      <c r="G426" s="8" t="s">
        <v>332</v>
      </c>
      <c r="H426" s="8" t="s">
        <v>97</v>
      </c>
      <c r="I426" s="8" t="s">
        <v>332</v>
      </c>
      <c r="J426" s="8" t="s">
        <v>160</v>
      </c>
      <c r="K426" s="6">
        <f>IFERROR(IF(INDEX([6]BH!$K$2:$K$82,MATCH($D426,[6]BH!$D$2:$D$82,0))="","",INDEX([6]BH!$K$2:$K$82,MATCH($D426,[6]BH!$D$2:$D$82,0))),"")</f>
        <v>46284</v>
      </c>
      <c t="str" r="L426" s="11">
        <f ca="1">IF($O426="","",$O426-TODAY())</f>
        <v/>
      </c>
      <c t="str" r="M426" s="11">
        <f ca="1">IF(AND(TRIM($A426)="Finalized",$K426&lt;&gt;""),"",IF($F426="","",$F426+90-TODAY()))</f>
        <v/>
      </c>
      <c t="str" r="N426" s="11">
        <f ca="1">IF(AND(TRIM($A426)="Finalized",$K426&lt;&gt;""),"",IF($C426="","",$C426+540-TODAY()))</f>
        <v/>
      </c>
      <c t="str" r="O426" s="9">
        <f>IF(AND(TRIM($A426)="Finalized",$K426&lt;&gt;""),"",DATE(2026,9,3))</f>
        <v/>
      </c>
      <c r="P426" s="8" t="s">
        <v>86</v>
      </c>
      <c r="Q426" s="8" t="s">
        <v>99</v>
      </c>
      <c r="R426" s="8" t="s">
        <v>86</v>
      </c>
      <c r="S426" s="8" t="s">
        <v>88</v>
      </c>
      <c r="T426" s="8" t="s">
        <v>100</v>
      </c>
      <c r="U426" s="8" t="s">
        <v>74</v>
      </c>
      <c r="V426" s="8" t="s">
        <v>455</v>
      </c>
      <c r="W426" s="8" t="s">
        <v>118</v>
      </c>
      <c r="X426" s="8"/>
      <c r="Y426" s="8"/>
      <c r="Z426" s="8"/>
      <c r="AA426" s="8" t="s">
        <v>77</v>
      </c>
      <c r="AB426" s="10">
        <v>976.64</v>
      </c>
      <c r="AC426" s="10">
        <v>843.89</v>
      </c>
      <c r="AD426" s="10">
        <v>107.75</v>
      </c>
      <c r="AE426" s="9">
        <v>46225</v>
      </c>
      <c r="AF426" s="10">
        <v>25</v>
      </c>
      <c r="AG426" s="7">
        <v>64</v>
      </c>
      <c r="AH426" s="8" t="s">
        <v>201</v>
      </c>
      <c r="AI426" s="8"/>
      <c r="AJ426" s="8"/>
      <c r="AK426" s="8"/>
      <c r="AL426" s="7" t="s">
        <v>586</v>
      </c>
      <c r="AM426" s="8" t="s">
        <v>165</v>
      </c>
      <c r="AN426" s="8" t="s">
        <v>132</v>
      </c>
      <c r="AO426" s="9">
        <v>46217</v>
      </c>
    </row>
    <row r="427" spans="1:41" x14ac:dyDescent="0.25">
      <c r="A427" s="5" t="str">
        <f>IFERROR(IF(INDEX([6]US!$A$2:$A$22,MATCH($D427,[6]US!$D$2:$D$22,0))="","",INDEX([6]US!$A$2:$A$22,MATCH($D427,[6]US!$D$2:$D$22,0))),"")</f>
        <v>Finalized</v>
      </c>
      <c r="B427" s="5" t="str">
        <f>IFERROR(IF(INDEX([6]US!$B$2:$B$22,MATCH($D427,[6]US!$D$2:$D$22,0))="","",INDEX([6]US!$B$2:$B$22,MATCH($D427,[6]US!$D$2:$D$22,0))),"")</f>
        <v xml:space="preserve">PAID - Resubmitted to Optum - The claim was denied due to missrouted claim - Claim was initially submitted to SCAN Health Plan </v>
      </c>
      <c r="C427" s="6">
        <f>IFERROR(IF(INDEX([6]US!$C$2:$C$22,MATCH($D427,[6]US!$D$2:$D$22,0))="","",INDEX([6]US!$C$2:$C$22,MATCH($D427,[6]US!$D$2:$D$22,0))),"")</f>
        <v>46278</v>
      </c>
      <c r="D427" s="7">
        <v>571160597</v>
      </c>
      <c r="E427" s="8" t="s">
        <v>612</v>
      </c>
      <c r="F427" s="9">
        <v>46182</v>
      </c>
      <c r="G427" s="8" t="s">
        <v>134</v>
      </c>
      <c r="H427" s="8" t="s">
        <v>134</v>
      </c>
      <c r="I427" s="8" t="s">
        <v>69</v>
      </c>
      <c r="J427" s="8" t="s">
        <v>262</v>
      </c>
      <c r="K427" s="6">
        <f>IFERROR(IF(INDEX([6]US!$K$2:$K$22,MATCH($D427,[6]US!$D$2:$D$22,0))="","",INDEX([6]US!$K$2:$K$22,MATCH($D427,[6]US!$D$2:$D$22,0))),"")</f>
        <v>46288</v>
      </c>
      <c t="str" r="L427" s="11">
        <f ca="1">IF($O427="","",$O427-TODAY())</f>
        <v/>
      </c>
      <c t="str" r="M427" s="11">
        <f ca="1">IF(AND(TRIM($A427)="Finalized",$K427&lt;&gt;""),"",IF($C427="","",$C427+365-TODAY()))</f>
        <v/>
      </c>
      <c t="str" r="N427" s="11">
        <f ca="1">IF(AND(TRIM($A427)="Finalized",$K427&lt;&gt;""),"",IF($C427="","",$C427+365-TODAY()))</f>
        <v/>
      </c>
      <c t="str" r="O427" s="9">
        <f>IF(AND(TRIM($A427)="Finalized",$K427&lt;&gt;""),"",DATE(2026,9,7))</f>
        <v/>
      </c>
      <c r="P427" s="8" t="s">
        <v>86</v>
      </c>
      <c r="Q427" s="8" t="s">
        <v>136</v>
      </c>
      <c r="R427" s="8" t="s">
        <v>73</v>
      </c>
      <c r="S427" s="8" t="s">
        <v>74</v>
      </c>
      <c r="T427" s="8" t="s">
        <v>73</v>
      </c>
      <c r="U427" s="8" t="s">
        <v>74</v>
      </c>
      <c r="V427" s="8" t="s">
        <v>455</v>
      </c>
      <c r="W427" s="8" t="s">
        <v>129</v>
      </c>
      <c r="X427" s="8"/>
      <c r="Y427" s="8"/>
      <c r="Z427" s="8"/>
      <c r="AA427" s="8" t="s">
        <v>77</v>
      </c>
      <c r="AB427" s="10">
        <v>2173.29</v>
      </c>
      <c r="AC427" s="10">
        <v>0</v>
      </c>
      <c r="AD427" s="10">
        <v>0</v>
      </c>
      <c r="AE427" s="9">
        <v>46223</v>
      </c>
      <c r="AF427" s="10">
        <v>2173.29</v>
      </c>
      <c r="AG427" s="7">
        <v>60</v>
      </c>
      <c r="AH427" s="8" t="s">
        <v>175</v>
      </c>
      <c r="AI427" s="8"/>
      <c r="AJ427" s="8"/>
      <c r="AK427" s="8"/>
      <c r="AL427" s="7"/>
      <c r="AM427" s="8" t="s">
        <v>157</v>
      </c>
      <c r="AN427" s="8" t="s">
        <v>158</v>
      </c>
      <c r="AO427" s="9">
        <v>46195</v>
      </c>
    </row>
    <row r="428" spans="1:41" x14ac:dyDescent="0.25">
      <c r="A428" s="5" t="str">
        <f>IFERROR(IF(INDEX([5]ORTHO!$A$2:$A$24,MATCH($D428,[5]ORTHO!$D$2:$D$24,0))="","",INDEX([5]ORTHO!$A$2:$A$24,MATCH($D428,[5]ORTHO!$D$2:$D$24,0))),"")</f>
        <v>Finalized</v>
      </c>
      <c r="B428" s="5" t="str">
        <f>IFERROR(IF(INDEX([5]ORTHO!$B$2:$B$24,MATCH($D428,[5]ORTHO!$D$2:$D$24,0))="","",INDEX([5]ORTHO!$B$2:$B$24,MATCH($D428,[5]ORTHO!$D$2:$D$24,0))),"")</f>
        <v>Adjusted balance - Certificate Number 260506159813 was cancelled and it didn't say auth was not required - Auth for procedure 63030 and 63047 is required</v>
      </c>
      <c r="C428" s="6">
        <f>IFERROR(IF(INDEX([5]ORTHO!$C$2:$C$24,MATCH($D428,[5]ORTHO!$D$2:$D$24,0))="","",INDEX([5]ORTHO!$C$2:$C$24,MATCH($D428,[5]ORTHO!$D$2:$D$24,0))),"")</f>
        <v>46164</v>
      </c>
      <c r="D428" s="7">
        <v>559152456</v>
      </c>
      <c r="E428" s="8" t="s">
        <v>613</v>
      </c>
      <c r="F428" s="9">
        <v>46153</v>
      </c>
      <c r="G428" s="8" t="s">
        <v>462</v>
      </c>
      <c r="H428" s="8" t="s">
        <v>462</v>
      </c>
      <c r="I428" s="8" t="s">
        <v>69</v>
      </c>
      <c r="J428" s="8" t="s">
        <v>614</v>
      </c>
      <c r="K428" s="6">
        <f>IFERROR(IF(INDEX([5]ORTHO!$K$2:$K$24,MATCH($D428,[5]ORTHO!$D$2:$D$24,0))="","",INDEX([5]ORTHO!$K$2:$K$24,MATCH($D428,[5]ORTHO!$D$2:$D$24,0))),"")</f>
        <v>46250</v>
      </c>
      <c t="str" r="L428" s="11">
        <f ca="1">IF($O428="","",$O428-TODAY())</f>
        <v/>
      </c>
      <c t="str" r="M428" s="11">
        <f ca="1">IF(AND(TRIM($A428)="Finalized",$K428&lt;&gt;""),"",IF($C428="","",$C428+180-TODAY()))</f>
        <v/>
      </c>
      <c t="str" r="N428" s="11">
        <f ca="1">IF(AND(TRIM($A428)="Finalized",$K428&lt;&gt;""),"",IF($C428="","",$C428+180-TODAY()))</f>
        <v/>
      </c>
      <c t="str" r="O428" s="9">
        <f>IF(AND(TRIM($A428)="Finalized",$K428&lt;&gt;""),"",DATE(2026,9,8))</f>
        <v/>
      </c>
      <c r="P428" s="8" t="s">
        <v>208</v>
      </c>
      <c r="Q428" s="8" t="s">
        <v>209</v>
      </c>
      <c r="R428" s="8" t="s">
        <v>117</v>
      </c>
      <c r="S428" s="8" t="s">
        <v>74</v>
      </c>
      <c r="T428" s="8" t="s">
        <v>117</v>
      </c>
      <c r="U428" s="8" t="s">
        <v>74</v>
      </c>
      <c r="V428" s="8" t="s">
        <v>365</v>
      </c>
      <c r="W428" s="8" t="s">
        <v>76</v>
      </c>
      <c r="X428" s="8" t="s">
        <v>615</v>
      </c>
      <c r="Y428" s="8"/>
      <c r="Z428" s="8"/>
      <c r="AA428" s="8" t="s">
        <v>77</v>
      </c>
      <c r="AB428" s="10">
        <v>13920.34</v>
      </c>
      <c r="AC428" s="10">
        <v>0</v>
      </c>
      <c r="AD428" s="10">
        <v>0</v>
      </c>
      <c r="AE428" s="9">
        <v>46164</v>
      </c>
      <c r="AF428" s="10">
        <v>13920.34</v>
      </c>
      <c r="AG428" s="7">
        <v>89</v>
      </c>
      <c r="AH428" s="8" t="s">
        <v>145</v>
      </c>
      <c r="AI428" s="8" t="s">
        <v>79</v>
      </c>
      <c r="AJ428" s="8" t="s">
        <v>241</v>
      </c>
      <c r="AK428" s="8" t="s">
        <v>215</v>
      </c>
      <c r="AL428" s="7"/>
      <c r="AM428" s="8" t="s">
        <v>217</v>
      </c>
      <c r="AN428" s="8" t="s">
        <v>109</v>
      </c>
      <c r="AO428" s="9">
        <v>46156</v>
      </c>
    </row>
    <row r="429" spans="1:41" x14ac:dyDescent="0.25">
      <c r="A429" s="5" t="str">
        <f>IFERROR(IF(INDEX([6]ORTHO!$A$2:$A$39,MATCH($D429,[6]ORTHO!$D$2:$D$39,0))="","",INDEX([6]ORTHO!$A$2:$A$39,MATCH($D429,[6]ORTHO!$D$2:$D$39,0))),"")</f>
        <v>Finalized</v>
      </c>
      <c r="B429" s="5" t="str">
        <f>IFERROR(IF(INDEX([6]ORTHO!$B$2:$B$39,MATCH($D429,[6]ORTHO!$D$2:$D$39,0))="","",INDEX([6]ORTHO!$B$2:$B$39,MATCH($D429,[6]ORTHO!$D$2:$D$39,0))),"")</f>
        <v>Edited insured's info, and resubmitted - DND Remark: Patient/Insured health identification number and name do not match</v>
      </c>
      <c r="C429" s="6">
        <f>IFERROR(IF(INDEX([6]ORTHO!$C$2:$C$39,MATCH($D429,[6]ORTHO!$D$2:$D$39,0))="","",INDEX([6]ORTHO!$C$2:$C$39,MATCH($D429,[6]ORTHO!$D$2:$D$39,0))),"")</f>
        <v>46196</v>
      </c>
      <c r="D429" s="7">
        <v>570992620</v>
      </c>
      <c r="E429" s="8" t="s">
        <v>307</v>
      </c>
      <c r="F429" s="9">
        <v>46184</v>
      </c>
      <c r="G429" s="8" t="s">
        <v>123</v>
      </c>
      <c r="H429" s="8" t="s">
        <v>123</v>
      </c>
      <c r="I429" s="8" t="s">
        <v>123</v>
      </c>
      <c r="J429" s="8" t="s">
        <v>619</v>
      </c>
      <c r="K429" s="6">
        <f>IFERROR(IF(INDEX([6]ORTHO!$K$2:$K$39,MATCH($D429,[6]ORTHO!$D$2:$D$39,0))="","",INDEX([6]ORTHO!$K$2:$K$39,MATCH($D429,[6]ORTHO!$D$2:$D$39,0))),"")</f>
        <v>46271</v>
      </c>
      <c t="str" r="L429" s="11">
        <f ca="1">IF($O429="","",$O429-TODAY())</f>
        <v/>
      </c>
      <c t="str" r="M429" s="11">
        <f ca="1">IF(AND(TRIM($A429)="Finalized",$K429&lt;&gt;""),"",IF($F429="","",$F429+90-TODAY()))</f>
        <v/>
      </c>
      <c t="str" r="N429" s="11">
        <f ca="1">IF(AND(TRIM($A429)="Finalized",$K429&lt;&gt;""),"",IF($C429="","",$C429+365-TODAY()))</f>
        <v/>
      </c>
      <c t="str" r="O429" s="9">
        <f>IF(AND(TRIM($A429)="Finalized",$K429&lt;&gt;""),"",DATE(2026,9,9))</f>
        <v/>
      </c>
      <c r="P429" s="8" t="s">
        <v>86</v>
      </c>
      <c r="Q429" s="8" t="s">
        <v>125</v>
      </c>
      <c r="R429" s="8" t="s">
        <v>86</v>
      </c>
      <c r="S429" s="8" t="s">
        <v>88</v>
      </c>
      <c r="T429" s="8" t="s">
        <v>73</v>
      </c>
      <c r="U429" s="8" t="s">
        <v>74</v>
      </c>
      <c r="V429" s="8" t="s">
        <v>455</v>
      </c>
      <c r="W429" s="8" t="s">
        <v>76</v>
      </c>
      <c r="X429" s="8"/>
      <c r="Y429" s="8"/>
      <c r="Z429" s="8"/>
      <c r="AA429" s="8" t="s">
        <v>77</v>
      </c>
      <c r="AB429" s="10">
        <v>11094.23</v>
      </c>
      <c r="AC429" s="10">
        <v>0</v>
      </c>
      <c r="AD429" s="10">
        <v>0</v>
      </c>
      <c r="AE429" s="9">
        <v>46196</v>
      </c>
      <c r="AF429" s="10">
        <v>11094.23</v>
      </c>
      <c r="AG429" s="7">
        <v>58</v>
      </c>
      <c r="AH429" s="8" t="s">
        <v>249</v>
      </c>
      <c r="AI429" s="8" t="s">
        <v>324</v>
      </c>
      <c r="AJ429" s="8" t="s">
        <v>620</v>
      </c>
      <c r="AK429" s="8"/>
      <c r="AL429" s="7"/>
      <c r="AM429" s="8" t="s">
        <v>217</v>
      </c>
      <c r="AN429" s="8" t="s">
        <v>109</v>
      </c>
      <c r="AO429" s="9">
        <v>46190</v>
      </c>
    </row>
    <row r="430" spans="1:41" x14ac:dyDescent="0.25">
      <c r="A430" s="5" t="str">
        <f>IFERROR(IF(INDEX([5]ORTHO!$A$2:$A$24,MATCH($D430,[5]ORTHO!$D$2:$D$24,0))="","",INDEX([5]ORTHO!$A$2:$A$24,MATCH($D430,[5]ORTHO!$D$2:$D$24,0))),"")</f>
        <v>Finalized</v>
      </c>
      <c r="B430" s="5" t="str">
        <f>IFERROR(IF(INDEX([5]ORTHO!$B$2:$B$24,MATCH($D430,[5]ORTHO!$D$2:$D$24,0))="","",INDEX([5]ORTHO!$B$2:$B$24,MATCH($D430,[5]ORTHO!$D$2:$D$24,0))),"")</f>
        <v xml:space="preserve">Shifted to PR as per EOB </v>
      </c>
      <c r="C430" s="6">
        <f>IFERROR(IF(INDEX([5]ORTHO!$C$2:$C$24,MATCH($D430,[5]ORTHO!$D$2:$D$24,0))="","",INDEX([5]ORTHO!$C$2:$C$24,MATCH($D430,[5]ORTHO!$D$2:$D$24,0))),"")</f>
        <v>46171</v>
      </c>
      <c r="D430" s="7">
        <v>559655054</v>
      </c>
      <c r="E430" s="8" t="s">
        <v>626</v>
      </c>
      <c r="F430" s="9">
        <v>46156</v>
      </c>
      <c r="G430" s="8" t="s">
        <v>462</v>
      </c>
      <c r="H430" s="8" t="s">
        <v>462</v>
      </c>
      <c r="I430" s="8" t="s">
        <v>69</v>
      </c>
      <c r="J430" s="8" t="s">
        <v>143</v>
      </c>
      <c r="K430" s="6">
        <f>IFERROR(IF(INDEX([5]ORTHO!$K$2:$K$24,MATCH($D430,[5]ORTHO!$D$2:$D$24,0))="","",INDEX([5]ORTHO!$K$2:$K$24,MATCH($D430,[5]ORTHO!$D$2:$D$24,0))),"")</f>
        <v>46250</v>
      </c>
      <c t="str" r="L430" s="11">
        <f ca="1">IF($O430="","",$O430-TODAY())</f>
        <v/>
      </c>
      <c t="str" r="M430" s="11">
        <f ca="1">IF(AND(TRIM($A430)="Finalized",$K430&lt;&gt;""),"",IF($C430="","",$C430+180-TODAY()))</f>
        <v/>
      </c>
      <c t="str" r="N430" s="11">
        <f ca="1">IF(AND(TRIM($A430)="Finalized",$K430&lt;&gt;""),"",IF($C430="","",$C430+180-TODAY()))</f>
        <v/>
      </c>
      <c t="str" r="O430" s="9">
        <f>IF(AND(TRIM($A430)="Finalized",$K430&lt;&gt;""),"",DATE(2026,9,11))</f>
        <v/>
      </c>
      <c r="P430" s="8" t="s">
        <v>208</v>
      </c>
      <c r="Q430" s="8" t="s">
        <v>209</v>
      </c>
      <c r="R430" s="8" t="s">
        <v>117</v>
      </c>
      <c r="S430" s="8" t="s">
        <v>74</v>
      </c>
      <c r="T430" s="8" t="s">
        <v>117</v>
      </c>
      <c r="U430" s="8" t="s">
        <v>74</v>
      </c>
      <c r="V430" s="8" t="s">
        <v>365</v>
      </c>
      <c r="W430" s="8" t="s">
        <v>76</v>
      </c>
      <c r="X430" s="8"/>
      <c r="Y430" s="8"/>
      <c r="Z430" s="8"/>
      <c r="AA430" s="8" t="s">
        <v>77</v>
      </c>
      <c r="AB430" s="10">
        <v>7623.07</v>
      </c>
      <c r="AC430" s="10">
        <v>0</v>
      </c>
      <c r="AD430" s="10">
        <v>0</v>
      </c>
      <c r="AE430" s="9"/>
      <c r="AF430" s="10">
        <v>7623.07</v>
      </c>
      <c r="AG430" s="7">
        <v>86</v>
      </c>
      <c r="AH430" s="8" t="s">
        <v>145</v>
      </c>
      <c r="AI430" s="8" t="s">
        <v>79</v>
      </c>
      <c r="AJ430" s="8"/>
      <c r="AK430" s="8"/>
      <c r="AL430" s="7"/>
      <c r="AM430" s="8" t="s">
        <v>217</v>
      </c>
      <c r="AN430" s="8" t="s">
        <v>109</v>
      </c>
      <c r="AO430" s="9">
        <v>46161</v>
      </c>
    </row>
    <row r="431" spans="1:41" x14ac:dyDescent="0.25">
      <c r="A431" s="5" t="str">
        <f>IFERROR(IF(INDEX([3]BH!$A$2:$A$32,MATCH($D431,[3]BH!$D$2:$D$32,0))="","",INDEX([3]BH!$A$2:$A$32,MATCH($D431,[3]BH!$D$2:$D$32,0))),"")</f>
        <v>Finalized</v>
      </c>
      <c r="B431" s="5" t="str">
        <f>IFERROR(IF(INDEX([3]BH!$B$2:$B$32,MATCH($D431,[3]BH!$D$2:$D$32,0))="","",INDEX([3]BH!$B$2:$B$32,MATCH($D431,[3]BH!$D$2:$D$32,0))),"")</f>
        <v xml:space="preserve">Claim was adjusted - we should have billed this to Optum, and now we're out the 90 days we have to submit the claim </v>
      </c>
      <c r="C431" s="6">
        <f>IFERROR(IF(INDEX([3]BH!$C$2:$C$32,MATCH($D431,[3]BH!$D$2:$D$32,0))="","",INDEX([3]BH!$C$2:$C$32,MATCH($D431,[3]BH!$D$2:$D$32,0))),"")</f>
        <v>46126</v>
      </c>
      <c r="D431" s="7">
        <v>555140726</v>
      </c>
      <c r="E431" s="8" t="s">
        <v>627</v>
      </c>
      <c r="F431" s="9">
        <v>46098</v>
      </c>
      <c r="G431" s="8" t="s">
        <v>628</v>
      </c>
      <c r="H431" s="8" t="s">
        <v>628</v>
      </c>
      <c r="I431" s="8" t="s">
        <v>69</v>
      </c>
      <c r="J431" s="8" t="s">
        <v>220</v>
      </c>
      <c r="K431" s="6">
        <f>IFERROR(IF(INDEX([3]BH!$K$2:$K$32,MATCH($D431,[3]BH!$D$2:$D$32,0))="","",INDEX([3]BH!$K$2:$K$32,MATCH($D431,[3]BH!$D$2:$D$32,0))),"")</f>
        <v>46245</v>
      </c>
      <c t="str" r="L431" s="11">
        <f ca="1">IF($O431="","",$O431-TODAY())</f>
        <v/>
      </c>
      <c t="str" r="M431" s="11">
        <f ca="1">IF(AND(TRIM($A431)="Finalized",$K431&lt;&gt;""),"",IF($F431="","",$F431+180-TODAY()))</f>
        <v/>
      </c>
      <c t="str" r="N431" s="11">
        <f ca="1">IF(AND(TRIM($A431)="Finalized",$K431&lt;&gt;""),"",IF($C431="","",$C431+180-TODAY()))</f>
        <v/>
      </c>
      <c t="str" r="O431" s="9">
        <f>IF(AND(TRIM($A431)="Finalized",$K431&lt;&gt;""),"",DATE(2026,9,13))</f>
        <v/>
      </c>
      <c r="P431" s="8" t="s">
        <v>117</v>
      </c>
      <c r="Q431" s="8" t="s">
        <v>629</v>
      </c>
      <c r="R431" s="8" t="s">
        <v>117</v>
      </c>
      <c r="S431" s="8" t="s">
        <v>88</v>
      </c>
      <c r="T431" s="8" t="s">
        <v>117</v>
      </c>
      <c r="U431" s="8" t="s">
        <v>74</v>
      </c>
      <c r="V431" s="8" t="s">
        <v>256</v>
      </c>
      <c r="W431" s="8" t="s">
        <v>118</v>
      </c>
      <c r="X431" s="8"/>
      <c r="Y431" s="8"/>
      <c r="Z431" s="8"/>
      <c r="AA431" s="8" t="s">
        <v>77</v>
      </c>
      <c r="AB431" s="10">
        <v>1372.91</v>
      </c>
      <c r="AC431" s="10">
        <v>0</v>
      </c>
      <c r="AD431" s="10">
        <v>0</v>
      </c>
      <c r="AE431" s="9">
        <v>46126</v>
      </c>
      <c r="AF431" s="10">
        <v>1372.91</v>
      </c>
      <c r="AG431" s="7">
        <v>144</v>
      </c>
      <c r="AH431" s="8" t="s">
        <v>201</v>
      </c>
      <c r="AI431" s="8"/>
      <c r="AJ431" s="8"/>
      <c r="AK431" s="8"/>
      <c r="AL431" s="7"/>
      <c r="AM431" s="8" t="s">
        <v>630</v>
      </c>
      <c r="AN431" s="8" t="s">
        <v>121</v>
      </c>
      <c r="AO431" s="9">
        <v>46119</v>
      </c>
    </row>
    <row r="432" spans="1:41" x14ac:dyDescent="0.25">
      <c r="A432" s="5" t="str">
        <f>IFERROR(IF(INDEX([6]DME!$A$2:$A$51,MATCH($D432,[6]DME!$D$2:$D$51,0))="","",INDEX([6]DME!$A$2:$A$51,MATCH($D432,[6]DME!$D$2:$D$51,0))),"")</f>
        <v>Finalized</v>
      </c>
      <c r="B432" s="5" t="str">
        <f>IFERROR(IF(INDEX([6]DME!$B$2:$B$51,MATCH($D432,[6]DME!$D$2:$D$51,0))="","",INDEX([6]DME!$B$2:$B$51,MATCH($D432,[6]DME!$D$2:$D$51,0))),"")</f>
        <v>Shifted charges to PT - ABN signed - no cover Acodes</v>
      </c>
      <c r="C432" s="6">
        <f>IFERROR(IF(INDEX([6]DME!$C$2:$C$51,MATCH($D432,[6]DME!$D$2:$D$51,0))="","",INDEX([6]DME!$C$2:$C$51,MATCH($D432,[6]DME!$D$2:$D$51,0))),"")</f>
        <v>46202</v>
      </c>
      <c r="D432" s="7">
        <v>562729752</v>
      </c>
      <c r="E432" s="8" t="s">
        <v>408</v>
      </c>
      <c r="F432" s="9">
        <v>46189</v>
      </c>
      <c r="G432" s="8" t="s">
        <v>148</v>
      </c>
      <c r="H432" s="8" t="s">
        <v>148</v>
      </c>
      <c r="I432" s="8" t="s">
        <v>69</v>
      </c>
      <c r="J432" s="8" t="s">
        <v>373</v>
      </c>
      <c r="K432" s="6">
        <f>IFERROR(IF(INDEX([6]DME!$K$2:$K$51,MATCH($D432,[6]DME!$D$2:$D$51,0))="","",INDEX([6]DME!$K$2:$K$51,MATCH($D432,[6]DME!$D$2:$D$51,0))),"")</f>
        <v>46272</v>
      </c>
      <c t="str" r="L432" s="11">
        <f ca="1">IF($O432="","",$O432-TODAY())</f>
        <v/>
      </c>
      <c t="str" r="M432" s="11">
        <f ca="1">IF(AND(TRIM($A432)="Finalized",$K432&lt;&gt;""),"",IF($C432="","",$C432+180-TODAY()))</f>
        <v/>
      </c>
      <c t="str" r="N432" s="11">
        <f ca="1">IF(AND(TRIM($A432)="Finalized",$K432&lt;&gt;""),"",IF($C432="","",$C432+365-TODAY()))</f>
        <v/>
      </c>
      <c t="str" r="O432" s="9">
        <f>IF(AND(TRIM($A432)="Finalized",$K432&lt;&gt;""),"",DATE(2026,9,14))</f>
        <v/>
      </c>
      <c r="P432" s="8" t="s">
        <v>86</v>
      </c>
      <c r="Q432" s="8" t="s">
        <v>152</v>
      </c>
      <c r="R432" s="8" t="s">
        <v>117</v>
      </c>
      <c r="S432" s="8" t="s">
        <v>74</v>
      </c>
      <c r="T432" s="8" t="s">
        <v>73</v>
      </c>
      <c r="U432" s="8" t="s">
        <v>74</v>
      </c>
      <c r="V432" s="8" t="s">
        <v>455</v>
      </c>
      <c r="W432" s="8" t="s">
        <v>89</v>
      </c>
      <c r="X432" s="8" t="s">
        <v>244</v>
      </c>
      <c r="Y432" s="8"/>
      <c r="Z432" s="8"/>
      <c r="AA432" s="8" t="s">
        <v>190</v>
      </c>
      <c r="AB432" s="10">
        <v>2958.2</v>
      </c>
      <c r="AC432" s="10">
        <v>0</v>
      </c>
      <c r="AD432" s="10">
        <v>0</v>
      </c>
      <c r="AE432" s="9">
        <v>46202</v>
      </c>
      <c r="AF432" s="10">
        <v>2958.2</v>
      </c>
      <c r="AG432" s="7">
        <v>53</v>
      </c>
      <c r="AH432" s="8" t="s">
        <v>92</v>
      </c>
      <c r="AI432" s="8"/>
      <c r="AJ432" s="8"/>
      <c r="AK432" s="8"/>
      <c r="AL432" s="7"/>
      <c r="AM432" s="8" t="s">
        <v>399</v>
      </c>
      <c r="AN432" s="8" t="s">
        <v>132</v>
      </c>
      <c r="AO432" s="9">
        <v>46191</v>
      </c>
    </row>
    <row r="433" spans="1:41" x14ac:dyDescent="0.25">
      <c r="A433" s="5" t="str">
        <f>IFERROR(IF(INDEX([6]BH!$A$2:$A$82,MATCH($D433,[6]BH!$D$2:$D$82,0))="","",INDEX([6]BH!$A$2:$A$82,MATCH($D433,[6]BH!$D$2:$D$82,0))),"")</f>
        <v>Finalized</v>
      </c>
      <c r="B433" s="5" t="str">
        <f>IFERROR(IF(INDEX([6]BH!$B$2:$B$82,MATCH($D433,[6]BH!$D$2:$D$82,0))="","",INDEX([6]BH!$B$2:$B$82,MATCH($D433,[6]BH!$D$2:$D$82,0))),"")</f>
        <v>PAID - Resubmitted to Optum - This was submitted to SCAN Health Plan initially and denied</v>
      </c>
      <c r="C433" s="6">
        <f>IFERROR(IF(INDEX([6]BH!$C$2:$C$82,MATCH($D433,[6]BH!$D$2:$D$82,0))="","",INDEX([6]BH!$C$2:$C$82,MATCH($D433,[6]BH!$D$2:$D$82,0))),"")</f>
        <v>46282</v>
      </c>
      <c r="D433" s="7">
        <v>562803163</v>
      </c>
      <c r="E433" s="8" t="s">
        <v>541</v>
      </c>
      <c r="F433" s="9">
        <v>46190</v>
      </c>
      <c r="G433" s="8" t="s">
        <v>134</v>
      </c>
      <c r="H433" s="8" t="s">
        <v>134</v>
      </c>
      <c r="I433" s="8" t="s">
        <v>370</v>
      </c>
      <c r="J433" s="8" t="s">
        <v>220</v>
      </c>
      <c r="K433" s="6">
        <f>IFERROR(IF(INDEX([6]BH!$K$2:$K$82,MATCH($D433,[6]BH!$D$2:$D$82,0))="","",INDEX([6]BH!$K$2:$K$82,MATCH($D433,[6]BH!$D$2:$D$82,0))),"")</f>
        <v>46293</v>
      </c>
      <c t="str" r="L433" s="11">
        <f ca="1">IF($O433="","",$O433-TODAY())</f>
        <v/>
      </c>
      <c t="str" r="M433" s="11">
        <f ca="1">IF(AND(TRIM($A433)="Finalized",$K433&lt;&gt;""),"",IF($C433="","",$C433+365-TODAY()))</f>
        <v/>
      </c>
      <c t="str" r="N433" s="11">
        <f ca="1">IF(AND(TRIM($A433)="Finalized",$K433&lt;&gt;""),"",IF($C433="","",$C433+365-TODAY()))</f>
        <v/>
      </c>
      <c t="str" r="O433" s="9">
        <f>IF(AND(TRIM($A433)="Finalized",$K433&lt;&gt;""),"",DATE(2026,9,15))</f>
        <v/>
      </c>
      <c r="P433" s="8" t="s">
        <v>86</v>
      </c>
      <c r="Q433" s="8" t="s">
        <v>136</v>
      </c>
      <c r="R433" s="8" t="s">
        <v>73</v>
      </c>
      <c r="S433" s="8" t="s">
        <v>74</v>
      </c>
      <c r="T433" s="8" t="s">
        <v>73</v>
      </c>
      <c r="U433" s="8" t="s">
        <v>74</v>
      </c>
      <c r="V433" s="8" t="s">
        <v>455</v>
      </c>
      <c r="W433" s="8" t="s">
        <v>118</v>
      </c>
      <c r="X433" s="8"/>
      <c r="Y433" s="8"/>
      <c r="Z433" s="8"/>
      <c r="AA433" s="8" t="s">
        <v>77</v>
      </c>
      <c r="AB433" s="10">
        <v>1372.91</v>
      </c>
      <c r="AC433" s="10">
        <v>0</v>
      </c>
      <c r="AD433" s="10">
        <v>0</v>
      </c>
      <c r="AE433" s="9"/>
      <c r="AF433" s="10">
        <v>1372.91</v>
      </c>
      <c r="AG433" s="7">
        <v>52</v>
      </c>
      <c r="AH433" s="8" t="s">
        <v>197</v>
      </c>
      <c r="AI433" s="8" t="s">
        <v>179</v>
      </c>
      <c r="AJ433" s="8"/>
      <c r="AK433" s="8"/>
      <c r="AL433" s="7"/>
      <c r="AM433" s="8" t="s">
        <v>120</v>
      </c>
      <c r="AN433" s="8" t="s">
        <v>132</v>
      </c>
      <c r="AO433" s="9">
        <v>46217</v>
      </c>
    </row>
    <row r="434" spans="1:41" x14ac:dyDescent="0.25">
      <c r="A434" s="5" t="str">
        <f>IFERROR(IF(INDEX([6]US!$A$2:$A$22,MATCH($D434,[6]US!$D$2:$D$22,0))="","",INDEX([6]US!$A$2:$A$22,MATCH($D434,[6]US!$D$2:$D$22,0))),"")</f>
        <v>Finalized</v>
      </c>
      <c r="B434" s="5" t="str">
        <f>IFERROR(IF(INDEX([6]US!$B$2:$B$22,MATCH($D434,[6]US!$D$2:$D$22,0))="","",INDEX([6]US!$B$2:$B$22,MATCH($D434,[6]US!$D$2:$D$22,0))),"")</f>
        <v>PAID - Removed Dx I872, and resubmitted</v>
      </c>
      <c r="C434" s="6">
        <f>IFERROR(IF(INDEX([6]US!$C$2:$C$22,MATCH($D434,[6]US!$D$2:$D$22,0))="","",INDEX([6]US!$C$2:$C$22,MATCH($D434,[6]US!$D$2:$D$22,0))),"")</f>
        <v>46202</v>
      </c>
      <c r="D434" s="7">
        <v>570990107</v>
      </c>
      <c r="E434" s="8" t="s">
        <v>638</v>
      </c>
      <c r="F434" s="9">
        <v>46190</v>
      </c>
      <c r="G434" s="8" t="s">
        <v>174</v>
      </c>
      <c r="H434" s="8" t="s">
        <v>174</v>
      </c>
      <c r="I434" s="8" t="s">
        <v>69</v>
      </c>
      <c r="J434" s="8" t="s">
        <v>378</v>
      </c>
      <c r="K434" s="6">
        <f>IFERROR(IF(INDEX([6]US!$K$2:$K$22,MATCH($D434,[6]US!$D$2:$D$22,0))="","",INDEX([6]US!$K$2:$K$22,MATCH($D434,[6]US!$D$2:$D$22,0))),"")</f>
        <v>46282</v>
      </c>
      <c t="str" r="L434" s="11">
        <f ca="1">IF($O434="","",$O434-TODAY())</f>
        <v/>
      </c>
      <c t="str" r="M434" s="11">
        <f ca="1">IF(AND(TRIM($A434)="Finalized",$K434&lt;&gt;""),"",IF($F434="","",$F434+90-TODAY()))</f>
        <v/>
      </c>
      <c t="str" r="N434" s="11">
        <f ca="1">IF(AND(TRIM($A434)="Finalized",$K434&lt;&gt;""),"",IF($C434="","",$C434+180-TODAY()))</f>
        <v/>
      </c>
      <c t="str" r="O434" s="9">
        <f>IF(AND(TRIM($A434)="Finalized",$K434&lt;&gt;""),"",DATE(2026,9,15))</f>
        <v/>
      </c>
      <c r="P434" s="8" t="s">
        <v>86</v>
      </c>
      <c r="Q434" s="8" t="s">
        <v>144</v>
      </c>
      <c r="R434" s="8" t="s">
        <v>86</v>
      </c>
      <c r="S434" s="8" t="s">
        <v>88</v>
      </c>
      <c r="T434" s="8" t="s">
        <v>117</v>
      </c>
      <c r="U434" s="8" t="s">
        <v>74</v>
      </c>
      <c r="V434" s="8" t="s">
        <v>455</v>
      </c>
      <c r="W434" s="8" t="s">
        <v>129</v>
      </c>
      <c r="X434" s="8"/>
      <c r="Y434" s="8"/>
      <c r="Z434" s="8"/>
      <c r="AA434" s="8" t="s">
        <v>77</v>
      </c>
      <c r="AB434" s="10">
        <v>879.06</v>
      </c>
      <c r="AC434" s="10">
        <v>0</v>
      </c>
      <c r="AD434" s="10">
        <v>0</v>
      </c>
      <c r="AE434" s="9">
        <v>46202</v>
      </c>
      <c r="AF434" s="10">
        <v>879.06</v>
      </c>
      <c r="AG434" s="7">
        <v>52</v>
      </c>
      <c r="AH434" s="8" t="s">
        <v>175</v>
      </c>
      <c r="AI434" s="8" t="s">
        <v>130</v>
      </c>
      <c r="AJ434" s="8"/>
      <c r="AK434" s="8"/>
      <c r="AL434" s="7"/>
      <c r="AM434" s="8" t="s">
        <v>165</v>
      </c>
      <c r="AN434" s="8" t="s">
        <v>95</v>
      </c>
      <c r="AO434" s="9">
        <v>46195</v>
      </c>
    </row>
    <row r="435" spans="1:41" x14ac:dyDescent="0.25">
      <c r="A435" s="5" t="str">
        <f>IFERROR(IF(INDEX([6]DME!$A$2:$A$51,MATCH($D435,[6]DME!$D$2:$D$51,0))="","",INDEX([6]DME!$A$2:$A$51,MATCH($D435,[6]DME!$D$2:$D$51,0))),"")</f>
        <v>Finalized</v>
      </c>
      <c r="B435" s="5" t="str">
        <f>IFERROR(IF(INDEX([6]DME!$B$2:$B$51,MATCH($D435,[6]DME!$D$2:$D$51,0))="","",INDEX([6]DME!$B$2:$B$51,MATCH($D435,[6]DME!$D$2:$D$51,0))),"")</f>
        <v>Insurance paid - Edited insured's info, and resubmitted - DND Remark: Patient/Insured health identification number and name do not match</v>
      </c>
      <c r="C435" s="6">
        <f>IFERROR(IF(INDEX([6]DME!$C$2:$C$51,MATCH($D435,[6]DME!$D$2:$D$51,0))="","",INDEX([6]DME!$C$2:$C$51,MATCH($D435,[6]DME!$D$2:$D$51,0))),"")</f>
        <v>46203</v>
      </c>
      <c r="D435" s="7">
        <v>571030818</v>
      </c>
      <c r="E435" s="8" t="s">
        <v>307</v>
      </c>
      <c r="F435" s="9">
        <v>46191</v>
      </c>
      <c r="G435" s="8" t="s">
        <v>123</v>
      </c>
      <c r="H435" s="8" t="s">
        <v>123</v>
      </c>
      <c r="I435" s="8" t="s">
        <v>123</v>
      </c>
      <c r="J435" s="8" t="s">
        <v>373</v>
      </c>
      <c r="K435" s="6">
        <f>IFERROR(IF(INDEX([6]DME!$K$2:$K$51,MATCH($D435,[6]DME!$D$2:$D$51,0))="","",INDEX([6]DME!$K$2:$K$51,MATCH($D435,[6]DME!$D$2:$D$51,0))),"")</f>
        <v>46282</v>
      </c>
      <c t="str" r="L435" s="11">
        <f ca="1">IF($O435="","",$O435-TODAY())</f>
        <v/>
      </c>
      <c t="str" r="M435" s="11">
        <f ca="1">IF(AND(TRIM($A435)="Finalized",$K435&lt;&gt;""),"",IF($F435="","",$F435+90-TODAY()))</f>
        <v/>
      </c>
      <c t="str" r="N435" s="11">
        <f ca="1">IF(AND(TRIM($A435)="Finalized",$K435&lt;&gt;""),"",IF($C435="","",$C435+365-TODAY()))</f>
        <v/>
      </c>
      <c t="str" r="O435" s="9">
        <f>IF(AND(TRIM($A435)="Finalized",$K435&lt;&gt;""),"",DATE(2026,9,16))</f>
        <v/>
      </c>
      <c r="P435" s="8" t="s">
        <v>86</v>
      </c>
      <c r="Q435" s="8" t="s">
        <v>125</v>
      </c>
      <c r="R435" s="8" t="s">
        <v>86</v>
      </c>
      <c r="S435" s="8" t="s">
        <v>88</v>
      </c>
      <c r="T435" s="8" t="s">
        <v>73</v>
      </c>
      <c r="U435" s="8" t="s">
        <v>74</v>
      </c>
      <c r="V435" s="8" t="s">
        <v>455</v>
      </c>
      <c r="W435" s="8" t="s">
        <v>89</v>
      </c>
      <c r="X435" s="8" t="s">
        <v>244</v>
      </c>
      <c r="Y435" s="8"/>
      <c r="Z435" s="8"/>
      <c r="AA435" s="8" t="s">
        <v>190</v>
      </c>
      <c r="AB435" s="10">
        <v>2958.2</v>
      </c>
      <c r="AC435" s="10">
        <v>0</v>
      </c>
      <c r="AD435" s="10">
        <v>0</v>
      </c>
      <c r="AE435" s="9"/>
      <c r="AF435" s="10">
        <v>2958.2</v>
      </c>
      <c r="AG435" s="7">
        <v>51</v>
      </c>
      <c r="AH435" s="8" t="s">
        <v>92</v>
      </c>
      <c r="AI435" s="8"/>
      <c r="AJ435" s="8"/>
      <c r="AK435" s="8"/>
      <c r="AL435" s="7"/>
      <c r="AM435" s="8" t="s">
        <v>399</v>
      </c>
      <c r="AN435" s="8" t="s">
        <v>132</v>
      </c>
      <c r="AO435" s="9">
        <v>46196</v>
      </c>
    </row>
    <row r="436" spans="1:41" x14ac:dyDescent="0.25">
      <c r="A436" s="5" t="str">
        <f>IFERROR(IF(INDEX([6]DME!$A$2:$A$51,MATCH($D436,[6]DME!$D$2:$D$51,0))="","",INDEX([6]DME!$A$2:$A$51,MATCH($D436,[6]DME!$D$2:$D$51,0))),"")</f>
        <v>Finalized</v>
      </c>
      <c r="B436" s="5" t="str">
        <f>IFERROR(IF(INDEX([6]DME!$B$2:$B$51,MATCH($D436,[6]DME!$D$2:$D$51,0))="","",INDEX([6]DME!$B$2:$B$51,MATCH($D436,[6]DME!$D$2:$D$51,0))),"")</f>
        <v>Shifted to PT - ABN signed - No coverage - Policy Number: MP.009.35 - DND Acodes - PR_204 Patient Responsibility - This service/equipment/drug is not covered under the patient's current benefit plan</v>
      </c>
      <c r="C436" s="6">
        <f>IFERROR(IF(INDEX([6]DME!$C$2:$C$51,MATCH($D436,[6]DME!$D$2:$D$51,0))="","",INDEX([6]DME!$C$2:$C$51,MATCH($D436,[6]DME!$D$2:$D$51,0))),"")</f>
        <v>46204</v>
      </c>
      <c r="D436" s="7">
        <v>563159449</v>
      </c>
      <c r="E436" s="8" t="s">
        <v>642</v>
      </c>
      <c r="F436" s="9">
        <v>46195</v>
      </c>
      <c r="G436" s="8" t="s">
        <v>114</v>
      </c>
      <c r="H436" s="8" t="s">
        <v>114</v>
      </c>
      <c r="I436" s="8" t="s">
        <v>69</v>
      </c>
      <c r="J436" s="8" t="s">
        <v>243</v>
      </c>
      <c r="K436" s="6">
        <f>IFERROR(IF(INDEX([6]DME!$K$2:$K$51,MATCH($D436,[6]DME!$D$2:$D$51,0))="","",INDEX([6]DME!$K$2:$K$51,MATCH($D436,[6]DME!$D$2:$D$51,0))),"")</f>
        <v>46282</v>
      </c>
      <c t="str" r="L436" s="11">
        <f ca="1">IF($O436="","",$O436-TODAY())</f>
        <v/>
      </c>
      <c t="str" r="M436" s="11">
        <f ca="1">IF(AND(TRIM($A436)="Finalized",$K436&lt;&gt;""),"",IF($C436="","",$C436+180-TODAY()))</f>
        <v/>
      </c>
      <c t="str" r="N436" s="11">
        <f ca="1">IF(AND(TRIM($A436)="Finalized",$K436&lt;&gt;""),"",IF($C436="","",$C436+365-TODAY()))</f>
        <v/>
      </c>
      <c t="str" r="O436" s="9">
        <f>IF(AND(TRIM($A436)="Finalized",$K436&lt;&gt;""),"",DATE(2026,9,20))</f>
        <v/>
      </c>
      <c r="P436" s="8" t="s">
        <v>86</v>
      </c>
      <c r="Q436" s="8" t="s">
        <v>116</v>
      </c>
      <c r="R436" s="8" t="s">
        <v>117</v>
      </c>
      <c r="S436" s="8" t="s">
        <v>74</v>
      </c>
      <c r="T436" s="8" t="s">
        <v>73</v>
      </c>
      <c r="U436" s="8" t="s">
        <v>74</v>
      </c>
      <c r="V436" s="8" t="s">
        <v>455</v>
      </c>
      <c r="W436" s="8" t="s">
        <v>89</v>
      </c>
      <c r="X436" s="8" t="s">
        <v>244</v>
      </c>
      <c r="Y436" s="8"/>
      <c r="Z436" s="8"/>
      <c r="AA436" s="8" t="s">
        <v>91</v>
      </c>
      <c r="AB436" s="10">
        <v>5916.4</v>
      </c>
      <c r="AC436" s="10">
        <v>0</v>
      </c>
      <c r="AD436" s="10">
        <v>0</v>
      </c>
      <c r="AE436" s="9"/>
      <c r="AF436" s="10">
        <v>5916.4</v>
      </c>
      <c r="AG436" s="7">
        <v>47</v>
      </c>
      <c r="AH436" s="8" t="s">
        <v>92</v>
      </c>
      <c r="AI436" s="8" t="s">
        <v>517</v>
      </c>
      <c r="AJ436" s="8" t="s">
        <v>646</v>
      </c>
      <c r="AK436" s="8"/>
      <c r="AL436" s="7"/>
      <c r="AM436" s="8" t="s">
        <v>399</v>
      </c>
      <c r="AN436" s="8" t="s">
        <v>132</v>
      </c>
      <c r="AO436" s="9">
        <v>46196</v>
      </c>
    </row>
    <row r="437" spans="1:41" x14ac:dyDescent="0.25">
      <c r="A437" s="5" t="str">
        <f>IFERROR(IF(INDEX([6]DME!$A$2:$A$51,MATCH($D437,[6]DME!$D$2:$D$51,0))="","",INDEX([6]DME!$A$2:$A$51,MATCH($D437,[6]DME!$D$2:$D$51,0))),"")</f>
        <v>Finalized</v>
      </c>
      <c r="B437" s="5" t="str">
        <f>IFERROR(IF(INDEX([6]DME!$B$2:$B$51,MATCH($D437,[6]DME!$D$2:$D$51,0))="","",INDEX([6]DME!$B$2:$B$51,MATCH($D437,[6]DME!$D$2:$D$51,0))),"")</f>
        <v xml:space="preserve">Adjusted balance - no auth found - DND Acodes missing auth  </v>
      </c>
      <c r="C437" s="6">
        <f>IFERROR(IF(INDEX([6]DME!$C$2:$C$51,MATCH($D437,[6]DME!$D$2:$D$51,0))="","",INDEX([6]DME!$C$2:$C$51,MATCH($D437,[6]DME!$D$2:$D$51,0))),"")</f>
        <v>46222</v>
      </c>
      <c r="D437" s="7">
        <v>563166125</v>
      </c>
      <c r="E437" s="8" t="s">
        <v>647</v>
      </c>
      <c r="F437" s="9">
        <v>46195</v>
      </c>
      <c r="G437" s="8" t="s">
        <v>134</v>
      </c>
      <c r="H437" s="8" t="s">
        <v>134</v>
      </c>
      <c r="I437" s="8" t="s">
        <v>69</v>
      </c>
      <c r="J437" s="8" t="s">
        <v>243</v>
      </c>
      <c r="K437" s="6">
        <f>IFERROR(IF(INDEX([6]DME!$K$2:$K$51,MATCH($D437,[6]DME!$D$2:$D$51,0))="","",INDEX([6]DME!$K$2:$K$51,MATCH($D437,[6]DME!$D$2:$D$51,0))),"")</f>
        <v>46282</v>
      </c>
      <c t="str" r="L437" s="11">
        <f ca="1">IF($O437="","",$O437-TODAY())</f>
        <v/>
      </c>
      <c t="str" r="M437" s="11">
        <f ca="1">IF(AND(TRIM($A437)="Finalized",$K437&lt;&gt;""),"",IF($C437="","",$C437+365-TODAY()))</f>
        <v/>
      </c>
      <c t="str" r="N437" s="11">
        <f ca="1">IF(AND(TRIM($A437)="Finalized",$K437&lt;&gt;""),"",IF($C437="","",$C437+365-TODAY()))</f>
        <v/>
      </c>
      <c t="str" r="O437" s="9">
        <f>IF(AND(TRIM($A437)="Finalized",$K437&lt;&gt;""),"",DATE(2026,9,20))</f>
        <v/>
      </c>
      <c r="P437" s="8" t="s">
        <v>86</v>
      </c>
      <c r="Q437" s="8" t="s">
        <v>136</v>
      </c>
      <c r="R437" s="8" t="s">
        <v>73</v>
      </c>
      <c r="S437" s="8" t="s">
        <v>74</v>
      </c>
      <c r="T437" s="8" t="s">
        <v>73</v>
      </c>
      <c r="U437" s="8" t="s">
        <v>74</v>
      </c>
      <c r="V437" s="8" t="s">
        <v>455</v>
      </c>
      <c r="W437" s="8" t="s">
        <v>89</v>
      </c>
      <c r="X437" s="8" t="s">
        <v>244</v>
      </c>
      <c r="Y437" s="8"/>
      <c r="Z437" s="8"/>
      <c r="AA437" s="8" t="s">
        <v>91</v>
      </c>
      <c r="AB437" s="10">
        <v>5916.4</v>
      </c>
      <c r="AC437" s="10">
        <v>0</v>
      </c>
      <c r="AD437" s="10">
        <v>0</v>
      </c>
      <c r="AE437" s="9">
        <v>46222</v>
      </c>
      <c r="AF437" s="10">
        <v>5916.4</v>
      </c>
      <c r="AG437" s="7">
        <v>47</v>
      </c>
      <c r="AH437" s="8" t="s">
        <v>92</v>
      </c>
      <c r="AI437" s="8" t="s">
        <v>145</v>
      </c>
      <c r="AJ437" s="8"/>
      <c r="AK437" s="8"/>
      <c r="AL437" s="7"/>
      <c r="AM437" s="8" t="s">
        <v>120</v>
      </c>
      <c r="AN437" s="8" t="s">
        <v>121</v>
      </c>
      <c r="AO437" s="9">
        <v>46196</v>
      </c>
    </row>
    <row r="438" spans="1:41" x14ac:dyDescent="0.25">
      <c r="A438" s="5" t="str">
        <f>IFERROR(IF(INDEX([6]DME!$A$2:$A$51,MATCH($D438,[6]DME!$D$2:$D$51,0))="","",INDEX([6]DME!$A$2:$A$51,MATCH($D438,[6]DME!$D$2:$D$51,0))),"")</f>
        <v>Finalized</v>
      </c>
      <c r="B438" s="5" t="str">
        <f>IFERROR(IF(INDEX([6]DME!$B$2:$B$51,MATCH($D438,[6]DME!$D$2:$D$51,0))="","",INDEX([6]DME!$B$2:$B$51,MATCH($D438,[6]DME!$D$2:$D$51,0))),"")</f>
        <v xml:space="preserve">Adjusted balance - Acodes no covered with BCBS M2K - DND missing auth </v>
      </c>
      <c r="C438" s="6">
        <f>IFERROR(IF(INDEX([6]DME!$C$2:$C$51,MATCH($D438,[6]DME!$D$2:$D$51,0))="","",INDEX([6]DME!$C$2:$C$51,MATCH($D438,[6]DME!$D$2:$D$51,0))),"")</f>
        <v>46210</v>
      </c>
      <c r="D438" s="7">
        <v>563202959</v>
      </c>
      <c r="E438" s="8" t="s">
        <v>648</v>
      </c>
      <c r="F438" s="9">
        <v>46195</v>
      </c>
      <c r="G438" s="8" t="s">
        <v>123</v>
      </c>
      <c r="H438" s="8" t="s">
        <v>123</v>
      </c>
      <c r="I438" s="8" t="s">
        <v>69</v>
      </c>
      <c r="J438" s="8" t="s">
        <v>649</v>
      </c>
      <c r="K438" s="6">
        <f>IFERROR(IF(INDEX([6]DME!$K$2:$K$51,MATCH($D438,[6]DME!$D$2:$D$51,0))="","",INDEX([6]DME!$K$2:$K$51,MATCH($D438,[6]DME!$D$2:$D$51,0))),"")</f>
        <v>46282</v>
      </c>
      <c t="str" r="L438" s="11">
        <f ca="1">IF($O438="","",$O438-TODAY())</f>
        <v/>
      </c>
      <c t="str" r="M438" s="11">
        <f ca="1">IF(AND(TRIM($A438)="Finalized",$K438&lt;&gt;""),"",IF($F438="","",$F438+90-TODAY()))</f>
        <v/>
      </c>
      <c t="str" r="N438" s="11">
        <f ca="1">IF(AND(TRIM($A438)="Finalized",$K438&lt;&gt;""),"",IF($C438="","",$C438+365-TODAY()))</f>
        <v/>
      </c>
      <c t="str" r="O438" s="9">
        <f>IF(AND(TRIM($A438)="Finalized",$K438&lt;&gt;""),"",DATE(2026,9,20))</f>
        <v/>
      </c>
      <c r="P438" s="8" t="s">
        <v>86</v>
      </c>
      <c r="Q438" s="8" t="s">
        <v>125</v>
      </c>
      <c r="R438" s="8" t="s">
        <v>86</v>
      </c>
      <c r="S438" s="8" t="s">
        <v>88</v>
      </c>
      <c r="T438" s="8" t="s">
        <v>73</v>
      </c>
      <c r="U438" s="8" t="s">
        <v>74</v>
      </c>
      <c r="V438" s="8" t="s">
        <v>455</v>
      </c>
      <c r="W438" s="8" t="s">
        <v>89</v>
      </c>
      <c r="X438" s="8" t="s">
        <v>232</v>
      </c>
      <c r="Y438" s="8"/>
      <c r="Z438" s="8"/>
      <c r="AA438" s="8" t="s">
        <v>77</v>
      </c>
      <c r="AB438" s="10">
        <v>6392.96</v>
      </c>
      <c r="AC438" s="10">
        <v>0</v>
      </c>
      <c r="AD438" s="10">
        <v>0</v>
      </c>
      <c r="AE438" s="9">
        <v>46210</v>
      </c>
      <c r="AF438" s="10">
        <v>6392.96</v>
      </c>
      <c r="AG438" s="7">
        <v>47</v>
      </c>
      <c r="AH438" s="8" t="s">
        <v>650</v>
      </c>
      <c r="AI438" s="8"/>
      <c r="AJ438" s="8"/>
      <c r="AK438" s="8"/>
      <c r="AL438" s="7"/>
      <c r="AM438" s="8" t="s">
        <v>154</v>
      </c>
      <c r="AN438" s="8" t="s">
        <v>132</v>
      </c>
      <c r="AO438" s="9">
        <v>46196</v>
      </c>
    </row>
    <row r="439" spans="1:41" x14ac:dyDescent="0.25">
      <c r="A439" s="5" t="str">
        <f>IFERROR(IF(INDEX([6]BH!$A$2:$A$82,MATCH($D439,[6]BH!$D$2:$D$82,0))="","",INDEX([6]BH!$A$2:$A$82,MATCH($D439,[6]BH!$D$2:$D$82,0))),"")</f>
        <v>Finalized</v>
      </c>
      <c r="B439" s="5" t="str">
        <f>IFERROR(IF(INDEX([6]BH!$B$2:$B$82,MATCH($D439,[6]BH!$D$2:$D$82,0))="","",INDEX([6]BH!$B$2:$B$82,MATCH($D439,[6]BH!$D$2:$D$82,0))),"")</f>
        <v>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
      <c r="C439" s="6">
        <f>IFERROR(IF(INDEX([6]BH!$C$2:$C$82,MATCH($D439,[6]BH!$D$2:$D$82,0))="","",INDEX([6]BH!$C$2:$C$82,MATCH($D439,[6]BH!$D$2:$D$82,0))),"")</f>
        <v>46238</v>
      </c>
      <c r="D439" s="7">
        <v>563023433</v>
      </c>
      <c r="E439" s="8" t="s">
        <v>654</v>
      </c>
      <c r="F439" s="9">
        <v>46195</v>
      </c>
      <c r="G439" s="8" t="s">
        <v>123</v>
      </c>
      <c r="H439" s="8" t="s">
        <v>123</v>
      </c>
      <c r="I439" s="8" t="s">
        <v>69</v>
      </c>
      <c r="J439" s="8" t="s">
        <v>634</v>
      </c>
      <c r="K439" s="6">
        <f>IFERROR(IF(INDEX([6]BH!$K$2:$K$82,MATCH($D439,[6]BH!$D$2:$D$82,0))="","",INDEX([6]BH!$K$2:$K$82,MATCH($D439,[6]BH!$D$2:$D$82,0))),"")</f>
        <v>46283</v>
      </c>
      <c t="str" r="L439" s="11">
        <f ca="1">IF($O439="","",$O439-TODAY())</f>
        <v/>
      </c>
      <c t="str" r="M439" s="11">
        <f ca="1">IF(AND(TRIM($A439)="Finalized",$K439&lt;&gt;""),"",IF($F439="","",$F439+90-TODAY()))</f>
        <v/>
      </c>
      <c t="str" r="N439" s="11">
        <f ca="1">IF(AND(TRIM($A439)="Finalized",$K439&lt;&gt;""),"",IF($C439="","",$C439+365-TODAY()))</f>
        <v/>
      </c>
      <c t="str" r="O439" s="9">
        <f>IF(AND(TRIM($A439)="Finalized",$K439&lt;&gt;""),"",DATE(2026,9,20))</f>
        <v/>
      </c>
      <c r="P439" s="8" t="s">
        <v>86</v>
      </c>
      <c r="Q439" s="8" t="s">
        <v>125</v>
      </c>
      <c r="R439" s="8" t="s">
        <v>86</v>
      </c>
      <c r="S439" s="8" t="s">
        <v>88</v>
      </c>
      <c r="T439" s="8" t="s">
        <v>73</v>
      </c>
      <c r="U439" s="8" t="s">
        <v>74</v>
      </c>
      <c r="V439" s="8" t="s">
        <v>455</v>
      </c>
      <c r="W439" s="8" t="s">
        <v>118</v>
      </c>
      <c r="X439" s="8"/>
      <c r="Y439" s="8"/>
      <c r="Z439" s="8"/>
      <c r="AA439" s="8" t="s">
        <v>77</v>
      </c>
      <c r="AB439" s="10">
        <v>294.42</v>
      </c>
      <c r="AC439" s="10">
        <v>0</v>
      </c>
      <c r="AD439" s="10">
        <v>0</v>
      </c>
      <c r="AE439" s="9"/>
      <c r="AF439" s="10">
        <v>294.42</v>
      </c>
      <c r="AG439" s="7">
        <v>47</v>
      </c>
      <c r="AH439" s="8" t="s">
        <v>320</v>
      </c>
      <c r="AI439" s="8" t="s">
        <v>635</v>
      </c>
      <c r="AJ439" s="8"/>
      <c r="AK439" s="8"/>
      <c r="AL439" s="7"/>
      <c r="AM439" s="8" t="s">
        <v>636</v>
      </c>
      <c r="AN439" s="8" t="s">
        <v>637</v>
      </c>
      <c r="AO439" s="9">
        <v>46234</v>
      </c>
    </row>
    <row r="440" spans="1:41" x14ac:dyDescent="0.25">
      <c r="A440" s="5" t="str">
        <f>IFERROR(IF(INDEX([6]DME!$A$2:$A$51,MATCH($D440,[6]DME!$D$2:$D$51,0))="","",INDEX([6]DME!$A$2:$A$51,MATCH($D440,[6]DME!$D$2:$D$51,0))),"")</f>
        <v>Finalized</v>
      </c>
      <c r="B440" s="5" t="str">
        <f>IFERROR(IF(INDEX([6]DME!$B$2:$B$51,MATCH($D440,[6]DME!$D$2:$D$51,0))="","",INDEX([6]DME!$B$2:$B$51,MATCH($D440,[6]DME!$D$2:$D$51,0))),"")</f>
        <v xml:space="preserve">Adjusted balance - Acodes no covered with BCBS M2K - DND missing auth </v>
      </c>
      <c r="C440" s="6">
        <f>IFERROR(IF(INDEX([6]DME!$C$2:$C$51,MATCH($D440,[6]DME!$D$2:$D$51,0))="","",INDEX([6]DME!$C$2:$C$51,MATCH($D440,[6]DME!$D$2:$D$51,0))),"")</f>
        <v>46243</v>
      </c>
      <c r="D440" s="7">
        <v>564106567</v>
      </c>
      <c r="E440" s="8" t="s">
        <v>662</v>
      </c>
      <c r="F440" s="9">
        <v>46198</v>
      </c>
      <c r="G440" s="8" t="s">
        <v>123</v>
      </c>
      <c r="H440" s="8" t="s">
        <v>123</v>
      </c>
      <c r="I440" s="8" t="s">
        <v>69</v>
      </c>
      <c r="J440" s="8" t="s">
        <v>373</v>
      </c>
      <c r="K440" s="6">
        <f>IFERROR(IF(INDEX([6]DME!$K$2:$K$51,MATCH($D440,[6]DME!$D$2:$D$51,0))="","",INDEX([6]DME!$K$2:$K$51,MATCH($D440,[6]DME!$D$2:$D$51,0))),"")</f>
        <v>46243</v>
      </c>
      <c t="str" r="L440" s="11">
        <f ca="1">IF($O440="","",$O440-TODAY())</f>
        <v/>
      </c>
      <c t="str" r="M440" s="11">
        <f ca="1">IF(AND(TRIM($A440)="Finalized",$K440&lt;&gt;""),"",IF($F440="","",$F440+90-TODAY()))</f>
        <v/>
      </c>
      <c t="str" r="N440" s="11">
        <f ca="1">IF(AND(TRIM($A440)="Finalized",$K440&lt;&gt;""),"",IF($C440="","",$C440+365-TODAY()))</f>
        <v/>
      </c>
      <c t="str" r="O440" s="9">
        <f>IF(AND(TRIM($A440)="Finalized",$K440&lt;&gt;""),"",DATE(2026,9,23))</f>
        <v/>
      </c>
      <c r="P440" s="8" t="s">
        <v>86</v>
      </c>
      <c r="Q440" s="8" t="s">
        <v>125</v>
      </c>
      <c r="R440" s="8" t="s">
        <v>86</v>
      </c>
      <c r="S440" s="8" t="s">
        <v>88</v>
      </c>
      <c r="T440" s="8" t="s">
        <v>73</v>
      </c>
      <c r="U440" s="8" t="s">
        <v>74</v>
      </c>
      <c r="V440" s="8" t="s">
        <v>455</v>
      </c>
      <c r="W440" s="8" t="s">
        <v>89</v>
      </c>
      <c r="X440" s="8" t="s">
        <v>244</v>
      </c>
      <c r="Y440" s="8"/>
      <c r="Z440" s="8"/>
      <c r="AA440" s="8" t="s">
        <v>190</v>
      </c>
      <c r="AB440" s="10">
        <v>2958.2</v>
      </c>
      <c r="AC440" s="10">
        <v>0</v>
      </c>
      <c r="AD440" s="10">
        <v>0</v>
      </c>
      <c r="AE440" s="9"/>
      <c r="AF440" s="10">
        <v>2958.2</v>
      </c>
      <c r="AG440" s="7">
        <v>44</v>
      </c>
      <c r="AH440" s="8" t="s">
        <v>92</v>
      </c>
      <c r="AI440" s="8" t="s">
        <v>663</v>
      </c>
      <c r="AJ440" s="8"/>
      <c r="AK440" s="8"/>
      <c r="AL440" s="7"/>
      <c r="AM440" s="8" t="s">
        <v>94</v>
      </c>
      <c r="AN440" s="8" t="s">
        <v>121</v>
      </c>
      <c r="AO440" s="9">
        <v>46205</v>
      </c>
    </row>
    <row r="441" spans="1:41" x14ac:dyDescent="0.25">
      <c r="A441" s="5" t="str">
        <f>IFERROR(IF(INDEX([5]BH!$A$2:$A$33,MATCH($D441,[5]BH!$D$2:$D$33,0))="","",INDEX([5]BH!$A$2:$A$33,MATCH($D441,[5]BH!$D$2:$D$33,0))),"")</f>
        <v>Finalized</v>
      </c>
      <c r="B441" s="5" t="str">
        <f>IFERROR(IF(INDEX([5]BH!$B$2:$B$33,MATCH($D441,[5]BH!$D$2:$D$33,0))="","",INDEX([5]BH!$B$2:$B$33,MATCH($D441,[5]BH!$D$2:$D$33,0))),"")</f>
        <v>Adjusted balance - No BH documentation found for those 20+ mins</v>
      </c>
      <c r="C441" s="6">
        <f>IFERROR(IF(INDEX([5]BH!$C$2:$C$33,MATCH($D441,[5]BH!$D$2:$D$33,0))="","",INDEX([5]BH!$C$2:$C$33,MATCH($D441,[5]BH!$D$2:$D$33,0))),"")</f>
        <v>46252</v>
      </c>
      <c r="D441" s="7">
        <v>560608599</v>
      </c>
      <c r="E441" s="8" t="s">
        <v>673</v>
      </c>
      <c r="F441" s="9">
        <v>46169</v>
      </c>
      <c r="G441" s="8" t="s">
        <v>405</v>
      </c>
      <c r="H441" s="8" t="s">
        <v>405</v>
      </c>
      <c r="I441" s="8" t="s">
        <v>69</v>
      </c>
      <c r="J441" s="8" t="s">
        <v>674</v>
      </c>
      <c r="K441" s="6">
        <f>IFERROR(IF(INDEX([5]BH!$K$2:$K$33,MATCH($D441,[5]BH!$D$2:$D$33,0))="","",INDEX([5]BH!$K$2:$K$33,MATCH($D441,[5]BH!$D$2:$D$33,0))),"")</f>
        <v>46276</v>
      </c>
      <c t="str" r="L441" s="11">
        <f ca="1">IF($O441="","",$O441-TODAY())</f>
        <v/>
      </c>
      <c t="str" r="M441" s="11">
        <f ca="1">IF(AND(TRIM($A441)="Finalized",$K441&lt;&gt;""),"",IF($C441="","",$C441+180-TODAY()))</f>
        <v/>
      </c>
      <c t="str" r="N441" s="11">
        <f ca="1">IF(AND(TRIM($A441)="Finalized",$K441&lt;&gt;""),"",IF($C441="","",$C441+180-TODAY()))</f>
        <v/>
      </c>
      <c t="str" r="O441" s="9">
        <f>IF(AND(TRIM($A441)="Finalized",$K441&lt;&gt;""),"",DATE(2026,9,24))</f>
        <v/>
      </c>
      <c r="P441" s="8" t="s">
        <v>208</v>
      </c>
      <c r="Q441" s="8" t="s">
        <v>209</v>
      </c>
      <c r="R441" s="8" t="s">
        <v>117</v>
      </c>
      <c r="S441" s="8" t="s">
        <v>74</v>
      </c>
      <c r="T441" s="8" t="s">
        <v>117</v>
      </c>
      <c r="U441" s="8" t="s">
        <v>74</v>
      </c>
      <c r="V441" s="8" t="s">
        <v>365</v>
      </c>
      <c r="W441" s="8" t="s">
        <v>118</v>
      </c>
      <c r="X441" s="8" t="s">
        <v>675</v>
      </c>
      <c r="Y441" s="8"/>
      <c r="Z441" s="8"/>
      <c r="AA441" s="8" t="s">
        <v>77</v>
      </c>
      <c r="AB441" s="10">
        <v>294.42</v>
      </c>
      <c r="AC441" s="10">
        <v>0</v>
      </c>
      <c r="AD441" s="10">
        <v>0</v>
      </c>
      <c r="AE441" s="9"/>
      <c r="AF441" s="10">
        <v>294.42</v>
      </c>
      <c r="AG441" s="7">
        <v>73</v>
      </c>
      <c r="AH441" s="8" t="s">
        <v>663</v>
      </c>
      <c r="AI441" s="8" t="s">
        <v>676</v>
      </c>
      <c r="AJ441" s="8" t="s">
        <v>320</v>
      </c>
      <c r="AK441" s="8" t="s">
        <v>635</v>
      </c>
      <c r="AL441" s="7"/>
      <c r="AM441" s="8" t="s">
        <v>636</v>
      </c>
      <c r="AN441" s="8" t="s">
        <v>158</v>
      </c>
      <c r="AO441" s="9">
        <v>46234</v>
      </c>
    </row>
    <row r="442" spans="1:41" x14ac:dyDescent="0.25">
      <c r="A442" s="5" t="str">
        <f>IFERROR(IF(INDEX([6]DME!$A$2:$A$51,MATCH($D442,[6]DME!$D$2:$D$51,0))="","",INDEX([6]DME!$A$2:$A$51,MATCH($D442,[6]DME!$D$2:$D$51,0))),"")</f>
        <v>Finalized</v>
      </c>
      <c r="B442" s="5" t="str">
        <f>IFERROR(IF(INDEX([6]DME!$B$2:$B$51,MATCH($D442,[6]DME!$D$2:$D$51,0))="","",INDEX([6]DME!$B$2:$B$51,MATCH($D442,[6]DME!$D$2:$D$51,0))),"")</f>
        <v>Shifted to PT - ABN signed - No coverage - Policy Number: MP.009.35 - DND Acodes - PR_204 Patient Responsibility - This service/equipment/drug is not covered under the patient's current benefit plan</v>
      </c>
      <c r="C442" s="6">
        <f>IFERROR(IF(INDEX([6]DME!$C$2:$C$51,MATCH($D442,[6]DME!$D$2:$D$51,0))="","",INDEX([6]DME!$C$2:$C$51,MATCH($D442,[6]DME!$D$2:$D$51,0))),"")</f>
        <v>46210</v>
      </c>
      <c r="D442" s="7">
        <v>564118055</v>
      </c>
      <c r="E442" s="8" t="s">
        <v>671</v>
      </c>
      <c r="F442" s="9">
        <v>46202</v>
      </c>
      <c r="G442" s="8" t="s">
        <v>114</v>
      </c>
      <c r="H442" s="8" t="s">
        <v>114</v>
      </c>
      <c r="I442" s="8" t="s">
        <v>69</v>
      </c>
      <c r="J442" s="8" t="s">
        <v>373</v>
      </c>
      <c r="K442" s="6">
        <f>IFERROR(IF(INDEX([6]DME!$K$2:$K$51,MATCH($D442,[6]DME!$D$2:$D$51,0))="","",INDEX([6]DME!$K$2:$K$51,MATCH($D442,[6]DME!$D$2:$D$51,0))),"")</f>
        <v>46283</v>
      </c>
      <c t="str" r="L442" s="11">
        <f ca="1">IF($O442="","",$O442-TODAY())</f>
        <v/>
      </c>
      <c t="str" r="M442" s="11">
        <f ca="1">IF(AND(TRIM($A442)="Finalized",$K442&lt;&gt;""),"",IF($C442="","",$C442+180-TODAY()))</f>
        <v/>
      </c>
      <c t="str" r="N442" s="11">
        <f ca="1">IF(AND(TRIM($A442)="Finalized",$K442&lt;&gt;""),"",IF($C442="","",$C442+365-TODAY()))</f>
        <v/>
      </c>
      <c t="str" r="O442" s="9">
        <f>IF(AND(TRIM($A442)="Finalized",$K442&lt;&gt;""),"",DATE(2026,9,27))</f>
        <v/>
      </c>
      <c r="P442" s="8" t="s">
        <v>86</v>
      </c>
      <c r="Q442" s="8" t="s">
        <v>116</v>
      </c>
      <c r="R442" s="8" t="s">
        <v>117</v>
      </c>
      <c r="S442" s="8" t="s">
        <v>74</v>
      </c>
      <c r="T442" s="8" t="s">
        <v>73</v>
      </c>
      <c r="U442" s="8" t="s">
        <v>74</v>
      </c>
      <c r="V442" s="8" t="s">
        <v>455</v>
      </c>
      <c r="W442" s="8" t="s">
        <v>89</v>
      </c>
      <c r="X442" s="8" t="s">
        <v>244</v>
      </c>
      <c r="Y442" s="8"/>
      <c r="Z442" s="8"/>
      <c r="AA442" s="8" t="s">
        <v>190</v>
      </c>
      <c r="AB442" s="10">
        <v>2958.2</v>
      </c>
      <c r="AC442" s="10">
        <v>0</v>
      </c>
      <c r="AD442" s="10">
        <v>0</v>
      </c>
      <c r="AE442" s="9"/>
      <c r="AF442" s="10">
        <v>2958.2</v>
      </c>
      <c r="AG442" s="7">
        <v>40</v>
      </c>
      <c r="AH442" s="8" t="s">
        <v>92</v>
      </c>
      <c r="AI442" s="8"/>
      <c r="AJ442" s="8"/>
      <c r="AK442" s="8"/>
      <c r="AL442" s="7"/>
      <c r="AM442" s="8" t="s">
        <v>520</v>
      </c>
      <c r="AN442" s="8" t="s">
        <v>198</v>
      </c>
      <c r="AO442" s="9">
        <v>46205</v>
      </c>
    </row>
    <row r="443" spans="1:41" x14ac:dyDescent="0.25">
      <c r="A443" s="5" t="str">
        <f>IFERROR(IF(INDEX([6]DME!$A$2:$A$51,MATCH($D443,[6]DME!$D$2:$D$51,0))="","",INDEX([6]DME!$A$2:$A$51,MATCH($D443,[6]DME!$D$2:$D$51,0))),"")</f>
        <v>Finalized</v>
      </c>
      <c r="B443" s="5" t="str">
        <f>IFERROR(IF(INDEX([6]DME!$B$2:$B$51,MATCH($D443,[6]DME!$D$2:$D$51,0))="","",INDEX([6]DME!$B$2:$B$51,MATCH($D443,[6]DME!$D$2:$D$51,0))),"")</f>
        <v xml:space="preserve">Shifted to PT - ABN signed - DND Acodes not covered - Deleted referring provider, and resubmitted - Rejected due to invalid EDI </v>
      </c>
      <c r="C443" s="6">
        <f>IFERROR(IF(INDEX([6]DME!$C$2:$C$51,MATCH($D443,[6]DME!$D$2:$D$51,0))="","",INDEX([6]DME!$C$2:$C$51,MATCH($D443,[6]DME!$D$2:$D$51,0))),"")</f>
        <v>46289</v>
      </c>
      <c r="D443" s="7">
        <v>572251311</v>
      </c>
      <c r="E443" s="8" t="s">
        <v>668</v>
      </c>
      <c r="F443" s="9">
        <v>46202</v>
      </c>
      <c r="G443" s="8" t="s">
        <v>669</v>
      </c>
      <c r="H443" s="8" t="s">
        <v>669</v>
      </c>
      <c r="I443" s="8" t="s">
        <v>69</v>
      </c>
      <c r="J443" s="8" t="s">
        <v>243</v>
      </c>
      <c r="K443" s="6">
        <f>IFERROR(IF(INDEX([6]DME!$K$2:$K$51,MATCH($D443,[6]DME!$D$2:$D$51,0))="","",INDEX([6]DME!$K$2:$K$51,MATCH($D443,[6]DME!$D$2:$D$51,0))),"")</f>
        <v>46300</v>
      </c>
      <c t="str" r="L443" s="11">
        <f ca="1">IF($O443="","",$O443-TODAY())</f>
        <v/>
      </c>
      <c t="str" r="M443" s="11">
        <f ca="1">IF(AND(TRIM($A443)="Finalized",$K443&lt;&gt;""),"",IF($C443="","",$C443+180-TODAY()))</f>
        <v/>
      </c>
      <c t="str" r="N443" s="11">
        <f ca="1">IF(AND(TRIM($A443)="Finalized",$K443&lt;&gt;""),"",IF($C443="","",$C443+365-TODAY()))</f>
        <v/>
      </c>
      <c t="str" r="O443" s="9">
        <f>IF(AND(TRIM($A443)="Finalized",$K443&lt;&gt;""),"",DATE(2026,9,27))</f>
        <v/>
      </c>
      <c r="P443" s="8" t="s">
        <v>86</v>
      </c>
      <c r="Q443" s="8" t="s">
        <v>116</v>
      </c>
      <c r="R443" s="8" t="s">
        <v>117</v>
      </c>
      <c r="S443" s="8" t="s">
        <v>74</v>
      </c>
      <c r="T443" s="8" t="s">
        <v>73</v>
      </c>
      <c r="U443" s="8" t="s">
        <v>74</v>
      </c>
      <c r="V443" s="8" t="s">
        <v>455</v>
      </c>
      <c r="W443" s="8" t="s">
        <v>89</v>
      </c>
      <c r="X443" s="8" t="s">
        <v>244</v>
      </c>
      <c r="Y443" s="8"/>
      <c r="Z443" s="8"/>
      <c r="AA443" s="8" t="s">
        <v>91</v>
      </c>
      <c r="AB443" s="10">
        <v>5916.4</v>
      </c>
      <c r="AC443" s="10">
        <v>0</v>
      </c>
      <c r="AD443" s="10">
        <v>0</v>
      </c>
      <c r="AE443" s="9"/>
      <c r="AF443" s="10">
        <v>5916.4</v>
      </c>
      <c r="AG443" s="7">
        <v>40</v>
      </c>
      <c r="AH443" s="8" t="s">
        <v>92</v>
      </c>
      <c r="AI443" s="8"/>
      <c r="AJ443" s="8"/>
      <c r="AK443" s="8"/>
      <c r="AL443" s="7"/>
      <c r="AM443" s="8" t="s">
        <v>399</v>
      </c>
      <c r="AN443" s="8" t="s">
        <v>132</v>
      </c>
      <c r="AO443" s="9">
        <v>46217</v>
      </c>
    </row>
    <row r="444" spans="1:41" x14ac:dyDescent="0.25">
      <c r="A444" s="5" t="str">
        <f>IFERROR(IF(INDEX([6]BH!$A$2:$A$82,MATCH($D444,[6]BH!$D$2:$D$82,0))="","",INDEX([6]BH!$A$2:$A$82,MATCH($D444,[6]BH!$D$2:$D$82,0))),"")</f>
        <v>Finalized</v>
      </c>
      <c r="B444" s="5" t="str">
        <f>IFERROR(IF(INDEX([6]BH!$B$2:$B$82,MATCH($D444,[6]BH!$D$2:$D$82,0))="","",INDEX([6]BH!$B$2:$B$82,MATCH($D444,[6]BH!$D$2:$D$82,0))),"")</f>
        <v>Adjusted balance - BH no covered by VA - DND Service date outside of the approved treatment plan service dates</v>
      </c>
      <c r="C444" s="6">
        <f>IFERROR(IF(INDEX([6]BH!$C$2:$C$82,MATCH($D444,[6]BH!$D$2:$D$82,0))="","",INDEX([6]BH!$C$2:$C$82,MATCH($D444,[6]BH!$D$2:$D$82,0))),"")</f>
        <v>46265</v>
      </c>
      <c r="D444" s="7">
        <v>561204793</v>
      </c>
      <c r="E444" s="8" t="s">
        <v>694</v>
      </c>
      <c r="F444" s="9">
        <v>46176</v>
      </c>
      <c r="G444" s="8" t="s">
        <v>222</v>
      </c>
      <c r="H444" s="8" t="s">
        <v>222</v>
      </c>
      <c r="I444" s="8" t="s">
        <v>69</v>
      </c>
      <c r="J444" s="8" t="s">
        <v>124</v>
      </c>
      <c r="K444" s="6">
        <f>IFERROR(IF(INDEX([6]BH!$K$2:$K$82,MATCH($D444,[6]BH!$D$2:$D$82,0))="","",INDEX([6]BH!$K$2:$K$82,MATCH($D444,[6]BH!$D$2:$D$82,0))),"")</f>
        <v>46300</v>
      </c>
      <c t="str" r="L444" s="11">
        <f ca="1">IF($O444="","",$O444-TODAY())</f>
        <v/>
      </c>
      <c t="str" r="M444" s="11">
        <f ca="1">IF(AND(TRIM($A444)="Finalized",$K444&lt;&gt;""),"",IF($C444="","",$C444+365-TODAY()))</f>
        <v/>
      </c>
      <c t="str" r="N444" s="11">
        <f ca="1">IF(AND(TRIM($A444)="Finalized",$K444&lt;&gt;""),"",IF($C444="","",$C444+90-TODAY()))</f>
        <v/>
      </c>
      <c t="str" r="O444" s="9">
        <f>IF(AND(TRIM($A444)="Finalized",$K444&lt;&gt;""),"",DATE(2026,10,1))</f>
        <v/>
      </c>
      <c r="P444" s="8" t="s">
        <v>208</v>
      </c>
      <c r="Q444" s="8" t="s">
        <v>224</v>
      </c>
      <c r="R444" s="8" t="s">
        <v>73</v>
      </c>
      <c r="S444" s="8" t="s">
        <v>74</v>
      </c>
      <c r="T444" s="8" t="s">
        <v>86</v>
      </c>
      <c r="U444" s="8" t="s">
        <v>74</v>
      </c>
      <c r="V444" s="8" t="s">
        <v>455</v>
      </c>
      <c r="W444" s="8" t="s">
        <v>118</v>
      </c>
      <c r="X444" s="8"/>
      <c r="Y444" s="8"/>
      <c r="Z444" s="8"/>
      <c r="AA444" s="8" t="s">
        <v>77</v>
      </c>
      <c r="AB444" s="10">
        <v>1426.25</v>
      </c>
      <c r="AC444" s="10">
        <v>0</v>
      </c>
      <c r="AD444" s="10">
        <v>0</v>
      </c>
      <c r="AE444" s="9"/>
      <c r="AF444" s="10">
        <v>1426.25</v>
      </c>
      <c r="AG444" s="7">
        <v>66</v>
      </c>
      <c r="AH444" s="8" t="s">
        <v>276</v>
      </c>
      <c r="AI444" s="8"/>
      <c r="AJ444" s="8"/>
      <c r="AK444" s="8"/>
      <c r="AL444" s="7"/>
      <c r="AM444" s="8" t="s">
        <v>157</v>
      </c>
      <c r="AN444" s="8" t="s">
        <v>158</v>
      </c>
      <c r="AO444" s="9">
        <v>46217</v>
      </c>
    </row>
    <row r="445" spans="1:41" x14ac:dyDescent="0.25">
      <c r="A445" s="5" t="str">
        <f>IFERROR(IF(INDEX([6]GAE!$A$2:$A$23,MATCH($D445,[6]GAE!$D$2:$D$23,0))="","",INDEX([6]GAE!$A$2:$A$23,MATCH($D445,[6]GAE!$D$2:$D$23,0))),"")</f>
        <v>Finalized</v>
      </c>
      <c r="B445" s="5" t="str">
        <f>IFERROR(IF(INDEX([6]GAE!$B$2:$B$23,MATCH($D445,[6]GAE!$D$2:$D$23,0))="","",INDEX([6]GAE!$B$2:$B$23,MATCH($D445,[6]GAE!$D$2:$D$23,0))),"")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445" s="6">
        <f>IFERROR(IF(INDEX([6]GAE!$C$2:$C$23,MATCH($D445,[6]GAE!$D$2:$D$23,0))="","",INDEX([6]GAE!$C$2:$C$23,MATCH($D445,[6]GAE!$D$2:$D$23,0))),"")</f>
        <v>46238</v>
      </c>
      <c r="D445" s="7">
        <v>565101339</v>
      </c>
      <c r="E445" s="8" t="s">
        <v>695</v>
      </c>
      <c r="F445" s="9">
        <v>46181</v>
      </c>
      <c r="G445" s="8" t="s">
        <v>405</v>
      </c>
      <c r="H445" s="8" t="s">
        <v>405</v>
      </c>
      <c r="I445" s="8" t="s">
        <v>69</v>
      </c>
      <c r="J445" s="8" t="s">
        <v>696</v>
      </c>
      <c r="K445" s="6">
        <f>IFERROR(IF(INDEX([6]GAE!$K$2:$K$23,MATCH($D445,[6]GAE!$D$2:$D$23,0))="","",INDEX([6]GAE!$K$2:$K$23,MATCH($D445,[6]GAE!$D$2:$D$23,0))),"")</f>
        <v>46300</v>
      </c>
      <c t="str" r="L445" s="11">
        <f ca="1">IF($O445="","",$O445-TODAY())</f>
        <v/>
      </c>
      <c t="str" r="M445" s="11">
        <f ca="1">IF(AND(TRIM($A445)="Finalized",$K445&lt;&gt;""),"",IF($C445="","",$C445+180-TODAY()))</f>
        <v/>
      </c>
      <c t="str" r="N445" s="11">
        <f ca="1">IF(AND(TRIM($A445)="Finalized",$K445&lt;&gt;""),"",IF($C445="","",$C445+180-TODAY()))</f>
        <v/>
      </c>
      <c t="str" r="O445" s="9">
        <f>IF(AND(TRIM($A445)="Finalized",$K445&lt;&gt;""),"",DATE(2026,10,6))</f>
        <v/>
      </c>
      <c r="P445" s="8" t="s">
        <v>208</v>
      </c>
      <c r="Q445" s="8" t="s">
        <v>209</v>
      </c>
      <c r="R445" s="8" t="s">
        <v>117</v>
      </c>
      <c r="S445" s="8" t="s">
        <v>74</v>
      </c>
      <c r="T445" s="8" t="s">
        <v>117</v>
      </c>
      <c r="U445" s="8" t="s">
        <v>74</v>
      </c>
      <c r="V445" s="8" t="s">
        <v>455</v>
      </c>
      <c r="W445" s="8" t="s">
        <v>101</v>
      </c>
      <c r="X445" s="8" t="s">
        <v>359</v>
      </c>
      <c r="Y445" s="8" t="s">
        <v>258</v>
      </c>
      <c r="Z445" s="8" t="s">
        <v>103</v>
      </c>
      <c r="AA445" s="8" t="s">
        <v>490</v>
      </c>
      <c r="AB445" s="10">
        <v>70557.69</v>
      </c>
      <c r="AC445" s="10">
        <v>0</v>
      </c>
      <c r="AD445" s="10">
        <v>0</v>
      </c>
      <c r="AE445" s="9"/>
      <c r="AF445" s="10">
        <v>70557.69</v>
      </c>
      <c r="AG445" s="7">
        <v>61</v>
      </c>
      <c r="AH445" s="8" t="s">
        <v>105</v>
      </c>
      <c r="AI445" s="8" t="s">
        <v>106</v>
      </c>
      <c r="AJ445" s="8" t="s">
        <v>107</v>
      </c>
      <c r="AK445" s="8"/>
      <c r="AL445" s="7"/>
      <c r="AM445" s="8" t="s">
        <v>108</v>
      </c>
      <c r="AN445" s="8" t="s">
        <v>109</v>
      </c>
      <c r="AO445" s="9">
        <v>46216</v>
      </c>
    </row>
    <row r="446" spans="1:41" x14ac:dyDescent="0.25">
      <c r="A446" s="5" t="str">
        <f>IFERROR(IF(INDEX([6]GAE!$A$2:$A$23,MATCH($D446,[6]GAE!$D$2:$D$23,0))="","",INDEX([6]GAE!$A$2:$A$23,MATCH($D446,[6]GAE!$D$2:$D$23,0))),"")</f>
        <v>Finalized</v>
      </c>
      <c r="B446" s="5" t="str">
        <f>IFERROR(IF(INDEX([6]GAE!$B$2:$B$23,MATCH($D446,[6]GAE!$D$2:$D$23,0))="","",INDEX([6]GAE!$B$2:$B$23,MATCH($D446,[6]GAE!$D$2:$D$23,0))),"")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446" s="6">
        <f>IFERROR(IF(INDEX([6]GAE!$C$2:$C$23,MATCH($D446,[6]GAE!$D$2:$D$23,0))="","",INDEX([6]GAE!$C$2:$C$23,MATCH($D446,[6]GAE!$D$2:$D$23,0))),"")</f>
        <v>46238</v>
      </c>
      <c r="D446" s="7">
        <v>565104933</v>
      </c>
      <c r="E446" s="8" t="s">
        <v>700</v>
      </c>
      <c r="F446" s="9">
        <v>46188</v>
      </c>
      <c r="G446" s="8" t="s">
        <v>405</v>
      </c>
      <c r="H446" s="8" t="s">
        <v>405</v>
      </c>
      <c r="I446" s="8" t="s">
        <v>69</v>
      </c>
      <c r="J446" s="8" t="s">
        <v>701</v>
      </c>
      <c r="K446" s="6">
        <f>IFERROR(IF(INDEX([6]GAE!$K$2:$K$23,MATCH($D446,[6]GAE!$D$2:$D$23,0))="","",INDEX([6]GAE!$K$2:$K$23,MATCH($D446,[6]GAE!$D$2:$D$23,0))),"")</f>
        <v>46300</v>
      </c>
      <c t="str" r="L446" s="11">
        <f ca="1">IF($O446="","",$O446-TODAY())</f>
        <v/>
      </c>
      <c t="str" r="M446" s="11">
        <f ca="1">IF(AND(TRIM($A446)="Finalized",$K446&lt;&gt;""),"",IF($C446="","",$C446+180-TODAY()))</f>
        <v/>
      </c>
      <c t="str" r="N446" s="11">
        <f ca="1">IF(AND(TRIM($A446)="Finalized",$K446&lt;&gt;""),"",IF($C446="","",$C446+180-TODAY()))</f>
        <v/>
      </c>
      <c t="str" r="O446" s="9">
        <f>IF(AND(TRIM($A446)="Finalized",$K446&lt;&gt;""),"",DATE(2026,10,13))</f>
        <v/>
      </c>
      <c r="P446" s="8" t="s">
        <v>208</v>
      </c>
      <c r="Q446" s="8" t="s">
        <v>209</v>
      </c>
      <c r="R446" s="8" t="s">
        <v>117</v>
      </c>
      <c r="S446" s="8" t="s">
        <v>74</v>
      </c>
      <c r="T446" s="8" t="s">
        <v>117</v>
      </c>
      <c r="U446" s="8" t="s">
        <v>74</v>
      </c>
      <c r="V446" s="8" t="s">
        <v>455</v>
      </c>
      <c r="W446" s="8" t="s">
        <v>101</v>
      </c>
      <c r="X446" s="8" t="s">
        <v>359</v>
      </c>
      <c r="Y446" s="8" t="s">
        <v>456</v>
      </c>
      <c r="Z446" s="8" t="s">
        <v>103</v>
      </c>
      <c r="AA446" s="8" t="s">
        <v>457</v>
      </c>
      <c r="AB446" s="10">
        <v>70557.69</v>
      </c>
      <c r="AC446" s="10">
        <v>0</v>
      </c>
      <c r="AD446" s="10">
        <v>0</v>
      </c>
      <c r="AE446" s="9"/>
      <c r="AF446" s="10">
        <v>70557.69</v>
      </c>
      <c r="AG446" s="7">
        <v>54</v>
      </c>
      <c r="AH446" s="8" t="s">
        <v>105</v>
      </c>
      <c r="AI446" s="8" t="s">
        <v>106</v>
      </c>
      <c r="AJ446" s="8" t="s">
        <v>107</v>
      </c>
      <c r="AK446" s="8"/>
      <c r="AL446" s="7"/>
      <c r="AM446" s="8" t="s">
        <v>108</v>
      </c>
      <c r="AN446" s="8" t="s">
        <v>81</v>
      </c>
      <c r="AO446" s="9">
        <v>46216</v>
      </c>
    </row>
    <row r="447" spans="1:41" x14ac:dyDescent="0.25">
      <c r="A447" s="5" t="str">
        <f>IFERROR(IF(INDEX([6]US!$A$2:$A$22,MATCH($D447,[6]US!$D$2:$D$22,0))="","",INDEX([6]US!$A$2:$A$22,MATCH($D447,[6]US!$D$2:$D$22,0))),"")</f>
        <v>Finalized</v>
      </c>
      <c r="B447" s="5" t="str">
        <f>IFERROR(IF(INDEX([6]US!$B$2:$B$22,MATCH($D447,[6]US!$D$2:$D$22,0))="","",INDEX([6]US!$B$2:$B$22,MATCH($D447,[6]US!$D$2:$D$22,0))),"")</f>
        <v>Adjusted balance - The ABI and TBI are not a standalone study. They're embedded inside the Arterial Duplex Lower Extremity report - DND 93923 Remark Mutually exclusive procedures cannot be done in the same day/setting</v>
      </c>
      <c r="C447" s="6">
        <f>IFERROR(IF(INDEX([6]US!$C$2:$C$22,MATCH($D447,[6]US!$D$2:$D$22,0))="","",INDEX([6]US!$C$2:$C$22,MATCH($D447,[6]US!$D$2:$D$22,0))),"")</f>
        <v>46227</v>
      </c>
      <c r="D447" s="7">
        <v>563071059</v>
      </c>
      <c r="E447" s="8" t="s">
        <v>703</v>
      </c>
      <c r="F447" s="9">
        <v>46190</v>
      </c>
      <c r="G447" s="8" t="s">
        <v>402</v>
      </c>
      <c r="H447" s="8" t="s">
        <v>402</v>
      </c>
      <c r="I447" s="8" t="s">
        <v>69</v>
      </c>
      <c r="J447" s="8" t="s">
        <v>378</v>
      </c>
      <c r="K447" s="6">
        <f>IFERROR(IF(INDEX([6]US!$K$2:$K$22,MATCH($D447,[6]US!$D$2:$D$22,0))="","",INDEX([6]US!$K$2:$K$22,MATCH($D447,[6]US!$D$2:$D$22,0))),"")</f>
        <v>46300</v>
      </c>
      <c t="str" r="L447" s="11">
        <f ca="1">IF($O447="","",$O447-TODAY())</f>
        <v/>
      </c>
      <c t="str" r="M447" s="11">
        <f ca="1">IF(AND(TRIM($A447)="Finalized",$K447&lt;&gt;""),"",IF($C447="","",$C447+180-TODAY()))</f>
        <v/>
      </c>
      <c t="str" r="N447" s="11">
        <f ca="1">IF(AND(TRIM($A447)="Finalized",$K447&lt;&gt;""),"",IF($C447="","",$C447+180-TODAY()))</f>
        <v/>
      </c>
      <c t="str" r="O447" s="9">
        <f>IF(AND(TRIM($A447)="Finalized",$K447&lt;&gt;""),"",DATE(2026,10,15))</f>
        <v/>
      </c>
      <c r="P447" s="8" t="s">
        <v>208</v>
      </c>
      <c r="Q447" s="8" t="s">
        <v>379</v>
      </c>
      <c r="R447" s="8" t="s">
        <v>117</v>
      </c>
      <c r="S447" s="8" t="s">
        <v>74</v>
      </c>
      <c r="T447" s="8" t="s">
        <v>117</v>
      </c>
      <c r="U447" s="8" t="s">
        <v>74</v>
      </c>
      <c r="V447" s="8" t="s">
        <v>455</v>
      </c>
      <c r="W447" s="8" t="s">
        <v>129</v>
      </c>
      <c r="X447" s="8"/>
      <c r="Y447" s="8"/>
      <c r="Z447" s="8"/>
      <c r="AA447" s="8" t="s">
        <v>77</v>
      </c>
      <c r="AB447" s="10">
        <v>879.06</v>
      </c>
      <c r="AC447" s="10">
        <v>0</v>
      </c>
      <c r="AD447" s="10">
        <v>0</v>
      </c>
      <c r="AE447" s="9">
        <v>46227</v>
      </c>
      <c r="AF447" s="10">
        <v>879.06</v>
      </c>
      <c r="AG447" s="7">
        <v>52</v>
      </c>
      <c r="AH447" s="8" t="s">
        <v>137</v>
      </c>
      <c r="AI447" s="8"/>
      <c r="AJ447" s="8"/>
      <c r="AK447" s="8"/>
      <c r="AL447" s="7"/>
      <c r="AM447" s="8" t="s">
        <v>165</v>
      </c>
      <c r="AN447" s="8" t="s">
        <v>95</v>
      </c>
      <c r="AO447" s="9">
        <v>46195</v>
      </c>
    </row>
    <row r="448" spans="1:41" x14ac:dyDescent="0.25">
      <c r="A448" s="5" t="str">
        <f>IFERROR(IF(INDEX([4]GAE!$A$2:$A$8,MATCH($D448,[4]GAE!$D$2:$D$8,0))="","",INDEX([4]GAE!$A$2:$A$8,MATCH($D448,[4]GAE!$D$2:$D$8,0))),"")</f>
        <v>Finalized</v>
      </c>
      <c r="B448" s="5" t="str">
        <f>IFERROR(IF(INDEX([4]GAE!$B$2:$B$8,MATCH($D448,[4]GAE!$D$2:$D$8,0))="","",INDEX([4]GAE!$B$2:$B$8,MATCH($D448,[4]GAE!$D$2:$D$8,0))),"")</f>
        <v>Adjusted balance for 75710, 75774, 36245</v>
      </c>
      <c r="C448" s="6">
        <f>IFERROR(IF(INDEX([4]GAE!$C$2:$C$8,MATCH($D448,[4]GAE!$D$2:$D$8,0))="","",INDEX([4]GAE!$C$2:$C$8,MATCH($D448,[4]GAE!$D$2:$D$8,0))),"")</f>
        <v>46162</v>
      </c>
      <c r="D448" s="7">
        <v>558686908</v>
      </c>
      <c r="E448" s="8" t="s">
        <v>705</v>
      </c>
      <c r="F448" s="9">
        <v>46132</v>
      </c>
      <c r="G448" s="8" t="s">
        <v>426</v>
      </c>
      <c r="H448" s="8" t="s">
        <v>426</v>
      </c>
      <c r="I448" s="8" t="s">
        <v>69</v>
      </c>
      <c r="J448" s="8" t="s">
        <v>706</v>
      </c>
      <c r="K448" s="6">
        <f>IFERROR(IF(INDEX([4]GAE!$K$2:$K$8,MATCH($D448,[4]GAE!$D$2:$D$8,0))="","",INDEX([4]GAE!$K$2:$K$8,MATCH($D448,[4]GAE!$D$2:$D$8,0))),"")</f>
        <v>46278</v>
      </c>
      <c t="str" r="L448" s="11">
        <f ca="1">IF($O448="","",$O448-TODAY())</f>
        <v/>
      </c>
      <c t="str" r="M448" s="11">
        <f ca="1">IF(AND(TRIM($A448)="Finalized",$K448&lt;&gt;""),"",IF($F448="","",$F448+365-TODAY()))</f>
        <v/>
      </c>
      <c t="str" r="N448" s="11">
        <f ca="1">IF(AND(TRIM($A448)="Finalized",$K448&lt;&gt;""),"",IF($F448="","",$F448+365-TODAY()))</f>
        <v/>
      </c>
      <c t="str" r="O448" s="9">
        <f>IF(AND(TRIM($A448)="Finalized",$K448&lt;&gt;""),"",DATE(2026,10,17))</f>
        <v/>
      </c>
      <c r="P448" s="8" t="s">
        <v>117</v>
      </c>
      <c r="Q448" s="8" t="s">
        <v>427</v>
      </c>
      <c r="R448" s="8" t="s">
        <v>73</v>
      </c>
      <c r="S448" s="8" t="s">
        <v>88</v>
      </c>
      <c r="T448" s="8" t="s">
        <v>73</v>
      </c>
      <c r="U448" s="8" t="s">
        <v>88</v>
      </c>
      <c r="V448" s="8" t="s">
        <v>339</v>
      </c>
      <c r="W448" s="8" t="s">
        <v>101</v>
      </c>
      <c r="X448" s="8" t="s">
        <v>257</v>
      </c>
      <c r="Y448" s="8" t="s">
        <v>652</v>
      </c>
      <c r="Z448" s="8" t="s">
        <v>103</v>
      </c>
      <c r="AA448" s="8" t="s">
        <v>259</v>
      </c>
      <c r="AB448" s="10">
        <v>12959.73</v>
      </c>
      <c r="AC448" s="10">
        <v>0</v>
      </c>
      <c r="AD448" s="10">
        <v>0</v>
      </c>
      <c r="AE448" s="9">
        <v>46162</v>
      </c>
      <c r="AF448" s="10">
        <v>12959.73</v>
      </c>
      <c r="AG448" s="7">
        <v>110</v>
      </c>
      <c r="AH448" s="8" t="s">
        <v>105</v>
      </c>
      <c r="AI448" s="8" t="s">
        <v>106</v>
      </c>
      <c r="AJ448" s="8" t="s">
        <v>107</v>
      </c>
      <c r="AK448" s="8"/>
      <c r="AL448" s="7"/>
      <c r="AM448" s="8" t="s">
        <v>108</v>
      </c>
      <c r="AN448" s="8" t="s">
        <v>81</v>
      </c>
      <c r="AO448" s="9">
        <v>46152</v>
      </c>
    </row>
    <row r="449" spans="1:41" x14ac:dyDescent="0.25">
      <c r="A449" s="5" t="str">
        <f>IFERROR(IF(INDEX([6]ORTHO!$A$2:$A$39,MATCH($D449,[6]ORTHO!$D$2:$D$39,0))="","",INDEX([6]ORTHO!$A$2:$A$39,MATCH($D449,[6]ORTHO!$D$2:$D$39,0))),"")</f>
        <v>Finalized</v>
      </c>
      <c r="B449" s="5" t="str">
        <f>IFERROR(IF(INDEX([6]ORTHO!$B$2:$B$39,MATCH($D449,[6]ORTHO!$D$2:$D$39,0))="","",INDEX([6]ORTHO!$B$2:$B$39,MATCH($D449,[6]ORTHO!$D$2:$D$39,0))),"")</f>
        <v xml:space="preserve">Adjusted balance - No auth on file - DND no auth </v>
      </c>
      <c r="C449" s="6">
        <f>IFERROR(IF(INDEX([6]ORTHO!$C$2:$C$39,MATCH($D449,[6]ORTHO!$D$2:$D$39,0))="","",INDEX([6]ORTHO!$C$2:$C$39,MATCH($D449,[6]ORTHO!$D$2:$D$39,0))),"")</f>
        <v>46217</v>
      </c>
      <c r="D449" s="7">
        <v>563945778</v>
      </c>
      <c r="E449" s="8" t="s">
        <v>710</v>
      </c>
      <c r="F449" s="9">
        <v>46193</v>
      </c>
      <c r="G449" s="8" t="s">
        <v>405</v>
      </c>
      <c r="H449" s="8" t="s">
        <v>405</v>
      </c>
      <c r="I449" s="8" t="s">
        <v>69</v>
      </c>
      <c r="J449" s="8" t="s">
        <v>151</v>
      </c>
      <c r="K449" s="6">
        <f>IFERROR(IF(INDEX([6]ORTHO!$K$2:$K$39,MATCH($D449,[6]ORTHO!$D$2:$D$39,0))="","",INDEX([6]ORTHO!$K$2:$K$39,MATCH($D449,[6]ORTHO!$D$2:$D$39,0))),"")</f>
        <v>46300</v>
      </c>
      <c t="str" r="L449" s="11">
        <f ca="1">IF($O449="","",$O449-TODAY())</f>
        <v/>
      </c>
      <c t="str" r="M449" s="11">
        <f ca="1">IF(AND(TRIM($A449)="Finalized",$K449&lt;&gt;""),"",IF($C449="","",$C449+180-TODAY()))</f>
        <v/>
      </c>
      <c t="str" r="N449" s="11">
        <f ca="1">IF(AND(TRIM($A449)="Finalized",$K449&lt;&gt;""),"",IF($C449="","",$C449+180-TODAY()))</f>
        <v/>
      </c>
      <c t="str" r="O449" s="9">
        <f>IF(AND(TRIM($A449)="Finalized",$K449&lt;&gt;""),"",DATE(2026,10,18))</f>
        <v/>
      </c>
      <c r="P449" s="8" t="s">
        <v>208</v>
      </c>
      <c r="Q449" s="8" t="s">
        <v>209</v>
      </c>
      <c r="R449" s="8" t="s">
        <v>117</v>
      </c>
      <c r="S449" s="8" t="s">
        <v>74</v>
      </c>
      <c r="T449" s="8" t="s">
        <v>117</v>
      </c>
      <c r="U449" s="8" t="s">
        <v>74</v>
      </c>
      <c r="V449" s="8" t="s">
        <v>455</v>
      </c>
      <c r="W449" s="8" t="s">
        <v>76</v>
      </c>
      <c r="X449" s="8" t="s">
        <v>153</v>
      </c>
      <c r="Y449" s="8"/>
      <c r="Z449" s="8"/>
      <c r="AA449" s="8" t="s">
        <v>77</v>
      </c>
      <c r="AB449" s="10">
        <v>7623.07</v>
      </c>
      <c r="AC449" s="10">
        <v>0</v>
      </c>
      <c r="AD449" s="10">
        <v>0</v>
      </c>
      <c r="AE449" s="9">
        <v>46217</v>
      </c>
      <c r="AF449" s="10">
        <v>7623.07</v>
      </c>
      <c r="AG449" s="7">
        <v>49</v>
      </c>
      <c r="AH449" s="8" t="s">
        <v>145</v>
      </c>
      <c r="AI449" s="8"/>
      <c r="AJ449" s="8"/>
      <c r="AK449" s="8"/>
      <c r="AL449" s="7"/>
      <c r="AM449" s="8" t="s">
        <v>146</v>
      </c>
      <c r="AN449" s="8" t="s">
        <v>109</v>
      </c>
      <c r="AO449" s="9">
        <v>46205</v>
      </c>
    </row>
    <row r="450" spans="1:41" x14ac:dyDescent="0.25">
      <c r="A450" s="5" t="str">
        <f>IFERROR(IF(INDEX([6]GAE!$A$2:$A$23,MATCH($D450,[6]GAE!$D$2:$D$23,0))="","",INDEX([6]GAE!$A$2:$A$23,MATCH($D450,[6]GAE!$D$2:$D$23,0))),"")</f>
        <v>Finalized</v>
      </c>
      <c r="B450" s="5" t="str">
        <f>IFERROR(IF(INDEX([6]GAE!$B$2:$B$23,MATCH($D450,[6]GAE!$D$2:$D$23,0))="","",INDEX([6]GAE!$B$2:$B$23,MATCH($D450,[6]GAE!$D$2:$D$23,0))),"")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450" s="6">
        <f>IFERROR(IF(INDEX([6]GAE!$C$2:$C$23,MATCH($D450,[6]GAE!$D$2:$D$23,0))="","",INDEX([6]GAE!$C$2:$C$23,MATCH($D450,[6]GAE!$D$2:$D$23,0))),"")</f>
        <v>46238</v>
      </c>
      <c r="D450" s="7">
        <v>565098145</v>
      </c>
      <c r="E450" s="8" t="s">
        <v>713</v>
      </c>
      <c r="F450" s="9">
        <v>46202</v>
      </c>
      <c r="G450" s="8" t="s">
        <v>714</v>
      </c>
      <c r="H450" s="8" t="s">
        <v>714</v>
      </c>
      <c r="I450" s="8" t="s">
        <v>69</v>
      </c>
      <c r="J450" s="8" t="s">
        <v>715</v>
      </c>
      <c r="K450" s="6">
        <f>IFERROR(IF(INDEX([6]GAE!$K$2:$K$23,MATCH($D450,[6]GAE!$D$2:$D$23,0))="","",INDEX([6]GAE!$K$2:$K$23,MATCH($D450,[6]GAE!$D$2:$D$23,0))),"")</f>
        <v>46300</v>
      </c>
      <c t="str" r="L450" s="11">
        <f ca="1">IF($O450="","",$O450-TODAY())</f>
        <v/>
      </c>
      <c t="str" r="M450" s="11">
        <f ca="1">IF(AND(TRIM($A450)="Finalized",$K450&lt;&gt;""),"",IF($C450="","",$C450+180-TODAY()))</f>
        <v/>
      </c>
      <c t="str" r="N450" s="11">
        <f ca="1">IF(AND(TRIM($A450)="Finalized",$K450&lt;&gt;""),"",IF($C450="","",$C450+180-TODAY()))</f>
        <v/>
      </c>
      <c t="str" r="O450" s="9">
        <f>IF(AND(TRIM($A450)="Finalized",$K450&lt;&gt;""),"",DATE(2026,10,27))</f>
        <v/>
      </c>
      <c r="P450" s="8" t="s">
        <v>208</v>
      </c>
      <c r="Q450" s="8" t="s">
        <v>209</v>
      </c>
      <c r="R450" s="8" t="s">
        <v>117</v>
      </c>
      <c r="S450" s="8" t="s">
        <v>74</v>
      </c>
      <c r="T450" s="8" t="s">
        <v>117</v>
      </c>
      <c r="U450" s="8" t="s">
        <v>74</v>
      </c>
      <c r="V450" s="8" t="s">
        <v>455</v>
      </c>
      <c r="W450" s="8" t="s">
        <v>101</v>
      </c>
      <c r="X450" s="8" t="s">
        <v>257</v>
      </c>
      <c r="Y450" s="8" t="s">
        <v>652</v>
      </c>
      <c r="Z450" s="8" t="s">
        <v>103</v>
      </c>
      <c r="AA450" s="8" t="s">
        <v>716</v>
      </c>
      <c r="AB450" s="10">
        <v>96657.89</v>
      </c>
      <c r="AC450" s="10">
        <v>0</v>
      </c>
      <c r="AD450" s="10">
        <v>0</v>
      </c>
      <c r="AE450" s="9"/>
      <c r="AF450" s="10">
        <v>96657.89</v>
      </c>
      <c r="AG450" s="7">
        <v>40</v>
      </c>
      <c r="AH450" s="8" t="s">
        <v>105</v>
      </c>
      <c r="AI450" s="8" t="s">
        <v>106</v>
      </c>
      <c r="AJ450" s="8" t="s">
        <v>107</v>
      </c>
      <c r="AK450" s="8"/>
      <c r="AL450" s="7"/>
      <c r="AM450" s="8" t="s">
        <v>108</v>
      </c>
      <c r="AN450" s="8" t="s">
        <v>81</v>
      </c>
      <c r="AO450" s="9">
        <v>46216</v>
      </c>
    </row>
    <row r="451" spans="1:41" x14ac:dyDescent="0.25">
      <c r="A451" s="5" t="str">
        <f>IFERROR(IF(INDEX([5]ORTHO!$A$2:$A$24,MATCH($D451,[5]ORTHO!$D$2:$D$24,0))="","",INDEX([5]ORTHO!$A$2:$A$24,MATCH($D451,[5]ORTHO!$D$2:$D$24,0))),"")</f>
        <v>Finalized</v>
      </c>
      <c r="B451" s="5" t="str">
        <f>IFERROR(IF(INDEX([5]ORTHO!$B$2:$B$24,MATCH($D451,[5]ORTHO!$D$2:$D$24,0))="","",INDEX([5]ORTHO!$B$2:$B$24,MATCH($D451,[5]ORTHO!$D$2:$D$24,0))),"")</f>
        <v>Adjusted balance - AUTH# A273499577 approval only include 63650</v>
      </c>
      <c r="C451" s="6">
        <f>IFERROR(IF(INDEX([5]ORTHO!$C$2:$C$24,MATCH($D451,[5]ORTHO!$D$2:$D$24,0))="","",INDEX([5]ORTHO!$C$2:$C$24,MATCH($D451,[5]ORTHO!$D$2:$D$24,0))),"")</f>
        <v>46170</v>
      </c>
      <c r="D451" s="7">
        <v>559248529</v>
      </c>
      <c r="E451" s="8" t="s">
        <v>719</v>
      </c>
      <c r="F451" s="9">
        <v>46156</v>
      </c>
      <c r="G451" s="8" t="s">
        <v>628</v>
      </c>
      <c r="H451" s="8" t="s">
        <v>628</v>
      </c>
      <c r="I451" s="8" t="s">
        <v>69</v>
      </c>
      <c r="J451" s="8" t="s">
        <v>70</v>
      </c>
      <c r="K451" s="6">
        <f>IFERROR(IF(INDEX([5]ORTHO!$K$2:$K$24,MATCH($D451,[5]ORTHO!$D$2:$D$24,0))="","",INDEX([5]ORTHO!$K$2:$K$24,MATCH($D451,[5]ORTHO!$D$2:$D$24,0))),"")</f>
        <v>46252</v>
      </c>
      <c t="str" r="L451" s="11">
        <f ca="1">IF($O451="","",$O451-TODAY())</f>
        <v/>
      </c>
      <c t="str" r="M451" s="11">
        <f ca="1">IF(AND(TRIM($A451)="Finalized",$K451&lt;&gt;""),"",IF($F451="","",$F451+180-TODAY()))</f>
        <v/>
      </c>
      <c t="str" r="N451" s="11">
        <f ca="1">IF(AND(TRIM($A451)="Finalized",$K451&lt;&gt;""),"",IF($C451="","",$C451+180-TODAY()))</f>
        <v/>
      </c>
      <c t="str" r="O451" s="9">
        <f>IF(AND(TRIM($A451)="Finalized",$K451&lt;&gt;""),"",DATE(2026,11,10))</f>
        <v/>
      </c>
      <c r="P451" s="8" t="s">
        <v>117</v>
      </c>
      <c r="Q451" s="8" t="s">
        <v>629</v>
      </c>
      <c r="R451" s="8" t="s">
        <v>117</v>
      </c>
      <c r="S451" s="8" t="s">
        <v>88</v>
      </c>
      <c r="T451" s="8" t="s">
        <v>117</v>
      </c>
      <c r="U451" s="8" t="s">
        <v>74</v>
      </c>
      <c r="V451" s="8" t="s">
        <v>365</v>
      </c>
      <c r="W451" s="8" t="s">
        <v>76</v>
      </c>
      <c r="X451" s="8"/>
      <c r="Y451" s="8"/>
      <c r="Z451" s="8"/>
      <c r="AA451" s="8" t="s">
        <v>77</v>
      </c>
      <c r="AB451" s="10">
        <v>2493.33</v>
      </c>
      <c r="AC451" s="10">
        <v>0</v>
      </c>
      <c r="AD451" s="10">
        <v>0</v>
      </c>
      <c r="AE451" s="9">
        <v>46170</v>
      </c>
      <c r="AF451" s="10">
        <v>2493.33</v>
      </c>
      <c r="AG451" s="7">
        <v>86</v>
      </c>
      <c r="AH451" s="8" t="s">
        <v>149</v>
      </c>
      <c r="AI451" s="8"/>
      <c r="AJ451" s="8"/>
      <c r="AK451" s="8"/>
      <c r="AL451" s="7"/>
      <c r="AM451" s="8" t="s">
        <v>157</v>
      </c>
      <c r="AN451" s="8" t="s">
        <v>81</v>
      </c>
      <c r="AO451" s="9">
        <v>46157</v>
      </c>
    </row>
    <row r="452" spans="1:41" x14ac:dyDescent="0.25">
      <c r="A452" s="5" t="str">
        <f>IFERROR(IF(INDEX([1]DME!$A$2:$A$8,MATCH($D452,[1]DME!$D$2:$D$8,0))="","",INDEX([1]DME!$A$2:$A$8,MATCH($D452,[1]DME!$D$2:$D$8,0))),"")</f>
        <v>Finalized</v>
      </c>
      <c r="B452" s="5" t="str">
        <f>IFERROR(IF(INDEX([1]DME!$B$2:$B$8,MATCH($D452,[1]DME!$D$2:$D$8,0))="","",INDEX([1]DME!$B$2:$B$8,MATCH($D452,[1]DME!$D$2:$D$8,0))),"")</f>
        <v>PAID - Rep Paul - PTAN issue holding payment - Escalation to Recoupment Dept. so they can confirm EFT info update made on 06/18/2025 and close the PTAN alert dated 05/26/2023 - When solved, TAT for checks to be sent is 7-10 bd - Ref # 0634705-26</v>
      </c>
      <c r="C452" s="6">
        <f>IFERROR(IF(INDEX([1]DME!$C$2:$C$8,MATCH($D452,[1]DME!$D$2:$D$8,0))="","",INDEX([1]DME!$C$2:$C$8,MATCH($D452,[1]DME!$D$2:$D$8,0))),"")</f>
        <v>46160</v>
      </c>
      <c r="D452" s="7">
        <v>557650217</v>
      </c>
      <c r="E452" s="8" t="s">
        <v>744</v>
      </c>
      <c r="F452" s="9">
        <v>46031</v>
      </c>
      <c r="G452" s="8" t="s">
        <v>437</v>
      </c>
      <c r="H452" s="8" t="s">
        <v>437</v>
      </c>
      <c r="I452" s="8" t="s">
        <v>83</v>
      </c>
      <c r="J452" s="8" t="s">
        <v>231</v>
      </c>
      <c r="K452" s="6">
        <f>IFERROR(IF(INDEX([1]DME!$K$2:$K$8,MATCH($D452,[1]DME!$D$2:$D$8,0))="","",INDEX([1]DME!$K$2:$K$8,MATCH($D452,[1]DME!$D$2:$D$8,0))),"")</f>
        <v>46261</v>
      </c>
      <c t="str" r="L452" s="11">
        <f ca="1">IF($O452="","",$O452-TODAY())</f>
        <v/>
      </c>
      <c t="str" r="M452" s="11">
        <f ca="1">IF(AND(TRIM($A452)="Finalized",$K452&lt;&gt;""),"",IF($C452="","",$C452+365-TODAY()))</f>
        <v/>
      </c>
      <c t="str" r="N452" s="11">
        <f ca="1">IF(AND(TRIM($A452)="Finalized",$K452&lt;&gt;""),"",IF($C452="","",$C452+120-TODAY()))</f>
        <v/>
      </c>
      <c t="str" r="O452" s="9">
        <f>IF(AND(TRIM($A452)="Finalized",$K452&lt;&gt;""),"",DATE(2027,1,9))</f>
        <v/>
      </c>
      <c r="P452" s="8" t="s">
        <v>73</v>
      </c>
      <c r="Q452" s="8" t="s">
        <v>739</v>
      </c>
      <c r="R452" s="8" t="s">
        <v>73</v>
      </c>
      <c r="S452" s="8" t="s">
        <v>74</v>
      </c>
      <c r="T452" s="8" t="s">
        <v>208</v>
      </c>
      <c r="U452" s="8" t="s">
        <v>74</v>
      </c>
      <c r="V452" s="8" t="s">
        <v>75</v>
      </c>
      <c r="W452" s="8" t="s">
        <v>89</v>
      </c>
      <c r="X452" s="8" t="s">
        <v>232</v>
      </c>
      <c r="Y452" s="8"/>
      <c r="Z452" s="8"/>
      <c r="AA452" s="8" t="s">
        <v>77</v>
      </c>
      <c r="AB452" s="10">
        <v>5492.55</v>
      </c>
      <c r="AC452" s="10">
        <v>0</v>
      </c>
      <c r="AD452" s="10">
        <v>135.05000000000001</v>
      </c>
      <c r="AE452" s="9">
        <v>46160</v>
      </c>
      <c r="AF452" s="10">
        <v>5357.5</v>
      </c>
      <c r="AG452" s="7">
        <v>211</v>
      </c>
      <c r="AH452" s="8" t="s">
        <v>145</v>
      </c>
      <c r="AI452" s="8"/>
      <c r="AJ452" s="8"/>
      <c r="AK452" s="8"/>
      <c r="AL452" s="7"/>
      <c r="AM452" s="8" t="s">
        <v>745</v>
      </c>
      <c r="AN452" s="8" t="s">
        <v>746</v>
      </c>
      <c r="AO452" s="9">
        <v>46036</v>
      </c>
    </row>
    <row r="453" spans="1:41" x14ac:dyDescent="0.25">
      <c r="A453" s="5" t="str">
        <f>IFERROR(IF(INDEX([1]DME!$A$2:$A$8,MATCH($D453,[1]DME!$D$2:$D$8,0))="","",INDEX([1]DME!$A$2:$A$8,MATCH($D453,[1]DME!$D$2:$D$8,0))),"")</f>
        <v>Finalized</v>
      </c>
      <c r="B453" s="5" t="str">
        <f>IFERROR(IF(INDEX([1]DME!$B$2:$B$8,MATCH($D453,[1]DME!$D$2:$D$8,0))="","",INDEX([1]DME!$B$2:$B$8,MATCH($D453,[1]DME!$D$2:$D$8,0))),"")</f>
        <v>PAID - Rep Paul - PTAN issue holding payment - Escalation to Recoupment Dept. so they can confirm EFT info update made on 06/18/2025 and close the PTAN alert dated 05/26/2023 - When solved, TAT for checks to be sent is 7-10 bd - Ref # 0634705-26</v>
      </c>
      <c r="C453" s="6">
        <f>IFERROR(IF(INDEX([1]DME!$C$2:$C$8,MATCH($D453,[1]DME!$D$2:$D$8,0))="","",INDEX([1]DME!$C$2:$C$8,MATCH($D453,[1]DME!$D$2:$D$8,0))),"")</f>
        <v>46086</v>
      </c>
      <c r="D453" s="7">
        <v>546883608</v>
      </c>
      <c r="E453" s="8" t="s">
        <v>749</v>
      </c>
      <c r="F453" s="9">
        <v>46041</v>
      </c>
      <c r="G453" s="8" t="s">
        <v>437</v>
      </c>
      <c r="H453" s="8" t="s">
        <v>437</v>
      </c>
      <c r="I453" s="8" t="s">
        <v>750</v>
      </c>
      <c r="J453" s="8" t="s">
        <v>373</v>
      </c>
      <c r="K453" s="6">
        <f>IFERROR(IF(INDEX([1]DME!$K$2:$K$8,MATCH($D453,[1]DME!$D$2:$D$8,0))="","",INDEX([1]DME!$K$2:$K$8,MATCH($D453,[1]DME!$D$2:$D$8,0))),"")</f>
        <v>46261</v>
      </c>
      <c t="str" r="L453" s="11">
        <f ca="1">IF($O453="","",$O453-TODAY())</f>
        <v/>
      </c>
      <c t="str" r="M453" s="11">
        <f ca="1">IF(AND(TRIM($A453)="Finalized",$K453&lt;&gt;""),"",IF($C453="","",$C453+365-TODAY()))</f>
        <v/>
      </c>
      <c t="str" r="N453" s="11">
        <f ca="1">IF(AND(TRIM($A453)="Finalized",$K453&lt;&gt;""),"",IF($C453="","",$C453+120-TODAY()))</f>
        <v/>
      </c>
      <c t="str" r="O453" s="9">
        <f>IF(AND(TRIM($A453)="Finalized",$K453&lt;&gt;""),"",DATE(2027,1,19))</f>
        <v/>
      </c>
      <c r="P453" s="8" t="s">
        <v>73</v>
      </c>
      <c r="Q453" s="8" t="s">
        <v>739</v>
      </c>
      <c r="R453" s="8" t="s">
        <v>73</v>
      </c>
      <c r="S453" s="8" t="s">
        <v>74</v>
      </c>
      <c r="T453" s="8" t="s">
        <v>208</v>
      </c>
      <c r="U453" s="8" t="s">
        <v>74</v>
      </c>
      <c r="V453" s="8" t="s">
        <v>75</v>
      </c>
      <c r="W453" s="8" t="s">
        <v>89</v>
      </c>
      <c r="X453" s="8" t="s">
        <v>244</v>
      </c>
      <c r="Y453" s="8"/>
      <c r="Z453" s="8"/>
      <c r="AA453" s="8" t="s">
        <v>190</v>
      </c>
      <c r="AB453" s="10">
        <v>2958.2</v>
      </c>
      <c r="AC453" s="10">
        <v>0</v>
      </c>
      <c r="AD453" s="10">
        <v>31.68</v>
      </c>
      <c r="AE453" s="9">
        <v>46086</v>
      </c>
      <c r="AF453" s="10">
        <v>2926.52</v>
      </c>
      <c r="AG453" s="7">
        <v>201</v>
      </c>
      <c r="AH453" s="8" t="s">
        <v>92</v>
      </c>
      <c r="AI453" s="8" t="s">
        <v>79</v>
      </c>
      <c r="AJ453" s="8"/>
      <c r="AK453" s="8"/>
      <c r="AL453" s="7"/>
      <c r="AM453" s="8" t="s">
        <v>745</v>
      </c>
      <c r="AN453" s="8" t="s">
        <v>746</v>
      </c>
      <c r="AO453" s="9">
        <v>46043</v>
      </c>
    </row>
    <row r="454" spans="1:41" x14ac:dyDescent="0.25">
      <c r="A454" s="5" t="str">
        <f>IFERROR(IF(INDEX([1]DME!$A$2:$A$8,MATCH($D454,[1]DME!$D$2:$D$8,0))="","",INDEX([1]DME!$A$2:$A$8,MATCH($D454,[1]DME!$D$2:$D$8,0))),"")</f>
        <v>Finalized</v>
      </c>
      <c r="B454" s="5" t="str">
        <f>IFERROR(IF(INDEX([1]DME!$B$2:$B$8,MATCH($D454,[1]DME!$D$2:$D$8,0))="","",INDEX([1]DME!$B$2:$B$8,MATCH($D454,[1]DME!$D$2:$D$8,0))),"")</f>
        <v>PAID - Rep Paul - PTAN issue holding payment - Escalation to Recoupment Dept. so they can confirm EFT info update made on 06/18/2025 and close the PTAN alert dated 05/26/2023 - When solved, TAT for checks to be sent is 7-10 bd - Ref # 0634705-26</v>
      </c>
      <c r="C454" s="6">
        <f>IFERROR(IF(INDEX([1]DME!$C$2:$C$8,MATCH($D454,[1]DME!$D$2:$D$8,0))="","",INDEX([1]DME!$C$2:$C$8,MATCH($D454,[1]DME!$D$2:$D$8,0))),"")</f>
        <v>46071</v>
      </c>
      <c r="D454" s="7">
        <v>546884583</v>
      </c>
      <c r="E454" s="8" t="s">
        <v>751</v>
      </c>
      <c r="F454" s="9">
        <v>46041</v>
      </c>
      <c r="G454" s="8" t="s">
        <v>437</v>
      </c>
      <c r="H454" s="8" t="s">
        <v>437</v>
      </c>
      <c r="I454" s="8" t="s">
        <v>123</v>
      </c>
      <c r="J454" s="8" t="s">
        <v>373</v>
      </c>
      <c r="K454" s="6">
        <f>IFERROR(IF(INDEX([1]DME!$K$2:$K$8,MATCH($D454,[1]DME!$D$2:$D$8,0))="","",INDEX([1]DME!$K$2:$K$8,MATCH($D454,[1]DME!$D$2:$D$8,0))),"")</f>
        <v>46261</v>
      </c>
      <c t="str" r="L454" s="11">
        <f ca="1">IF($O454="","",$O454-TODAY())</f>
        <v/>
      </c>
      <c t="str" r="M454" s="11">
        <f ca="1">IF(AND(TRIM($A454)="Finalized",$K454&lt;&gt;""),"",IF($C454="","",$C454+365-TODAY()))</f>
        <v/>
      </c>
      <c t="str" r="N454" s="11">
        <f ca="1">IF(AND(TRIM($A454)="Finalized",$K454&lt;&gt;""),"",IF($C454="","",$C454+120-TODAY()))</f>
        <v/>
      </c>
      <c t="str" r="O454" s="9">
        <f>IF(AND(TRIM($A454)="Finalized",$K454&lt;&gt;""),"",DATE(2027,1,19))</f>
        <v/>
      </c>
      <c r="P454" s="8" t="s">
        <v>73</v>
      </c>
      <c r="Q454" s="8" t="s">
        <v>739</v>
      </c>
      <c r="R454" s="8" t="s">
        <v>73</v>
      </c>
      <c r="S454" s="8" t="s">
        <v>74</v>
      </c>
      <c r="T454" s="8" t="s">
        <v>208</v>
      </c>
      <c r="U454" s="8" t="s">
        <v>74</v>
      </c>
      <c r="V454" s="8" t="s">
        <v>75</v>
      </c>
      <c r="W454" s="8" t="s">
        <v>89</v>
      </c>
      <c r="X454" s="8" t="s">
        <v>244</v>
      </c>
      <c r="Y454" s="8"/>
      <c r="Z454" s="8"/>
      <c r="AA454" s="8" t="s">
        <v>190</v>
      </c>
      <c r="AB454" s="10">
        <v>2958.2</v>
      </c>
      <c r="AC454" s="10">
        <v>0</v>
      </c>
      <c r="AD454" s="10">
        <v>80.84</v>
      </c>
      <c r="AE454" s="9">
        <v>46071</v>
      </c>
      <c r="AF454" s="10">
        <v>2877.36</v>
      </c>
      <c r="AG454" s="7">
        <v>201</v>
      </c>
      <c r="AH454" s="8" t="s">
        <v>92</v>
      </c>
      <c r="AI454" s="8" t="s">
        <v>752</v>
      </c>
      <c r="AJ454" s="8"/>
      <c r="AK454" s="8"/>
      <c r="AL454" s="7"/>
      <c r="AM454" s="8" t="s">
        <v>745</v>
      </c>
      <c r="AN454" s="8" t="s">
        <v>746</v>
      </c>
      <c r="AO454" s="9">
        <v>46043</v>
      </c>
    </row>
    <row r="455" spans="1:41" x14ac:dyDescent="0.25">
      <c r="A455" s="5" t="str">
        <f>IFERROR(IF(INDEX([2]DME!$A$2:$A$12,MATCH($D455,[2]DME!$D$2:$D$12,0))="","",INDEX([2]DME!$A$2:$A$12,MATCH($D455,[2]DME!$D$2:$D$12,0))),"")</f>
        <v>Finalized</v>
      </c>
      <c r="B455" s="5" t="str">
        <f>IFERROR(IF(INDEX([2]DME!$B$2:$B$12,MATCH($D455,[2]DME!$D$2:$D$12,0))="","",INDEX([2]DME!$B$2:$B$12,MATCH($D455,[2]DME!$D$2:$D$12,0))),"")</f>
        <v>Adjusted balance - DND Bundling with Home Health (NPI 1154898542) claim - Inpatient from 02/06/2026 till 03/07/2026</v>
      </c>
      <c r="C455" s="6">
        <f>IFERROR(IF(INDEX([2]DME!$C$2:$C$12,MATCH($D455,[2]DME!$D$2:$D$12,0))="","",INDEX([2]DME!$C$2:$C$12,MATCH($D455,[2]DME!$D$2:$D$12,0))),"")</f>
        <v>46133</v>
      </c>
      <c r="D455" s="7">
        <v>553677900</v>
      </c>
      <c r="E455" s="8" t="s">
        <v>786</v>
      </c>
      <c r="F455" s="9">
        <v>46063</v>
      </c>
      <c r="G455" s="8" t="s">
        <v>437</v>
      </c>
      <c r="H455" s="8" t="s">
        <v>437</v>
      </c>
      <c r="I455" s="8" t="s">
        <v>123</v>
      </c>
      <c r="J455" s="8" t="s">
        <v>381</v>
      </c>
      <c r="K455" s="6">
        <f>IFERROR(IF(INDEX([2]DME!$K$2:$K$12,MATCH($D455,[2]DME!$D$2:$D$12,0))="","",INDEX([2]DME!$K$2:$K$12,MATCH($D455,[2]DME!$D$2:$D$12,0))),"")</f>
        <v>46300</v>
      </c>
      <c t="str" r="L455" s="11">
        <f ca="1">IF($O455="","",$O455-TODAY())</f>
        <v/>
      </c>
      <c t="str" r="M455" s="11">
        <f ca="1">IF(AND(TRIM($A455)="Finalized",$K455&lt;&gt;""),"",IF($C455="","",$C455+365-TODAY()))</f>
        <v/>
      </c>
      <c t="str" r="N455" s="11">
        <f ca="1">IF(AND(TRIM($A455)="Finalized",$K455&lt;&gt;""),"",IF($C455="","",$C455+120-TODAY()))</f>
        <v/>
      </c>
      <c t="str" r="O455" s="9">
        <f>IF(AND(TRIM($A455)="Finalized",$K455&lt;&gt;""),"",DATE(2027,2,10))</f>
        <v/>
      </c>
      <c r="P455" s="8" t="s">
        <v>73</v>
      </c>
      <c r="Q455" s="8" t="s">
        <v>739</v>
      </c>
      <c r="R455" s="8" t="s">
        <v>73</v>
      </c>
      <c r="S455" s="8" t="s">
        <v>74</v>
      </c>
      <c r="T455" s="8" t="s">
        <v>208</v>
      </c>
      <c r="U455" s="8" t="s">
        <v>74</v>
      </c>
      <c r="V455" s="8" t="s">
        <v>204</v>
      </c>
      <c r="W455" s="8" t="s">
        <v>89</v>
      </c>
      <c r="X455" s="8" t="s">
        <v>90</v>
      </c>
      <c r="Y455" s="8"/>
      <c r="Z455" s="8"/>
      <c r="AA455" s="8" t="s">
        <v>91</v>
      </c>
      <c r="AB455" s="10">
        <v>5916.4</v>
      </c>
      <c r="AC455" s="10">
        <v>0</v>
      </c>
      <c r="AD455" s="10">
        <v>0</v>
      </c>
      <c r="AE455" s="9">
        <v>46133</v>
      </c>
      <c r="AF455" s="10">
        <v>5916.4</v>
      </c>
      <c r="AG455" s="7">
        <v>179</v>
      </c>
      <c r="AH455" s="8" t="s">
        <v>92</v>
      </c>
      <c r="AI455" s="8"/>
      <c r="AJ455" s="8"/>
      <c r="AK455" s="8"/>
      <c r="AL455" s="7"/>
      <c r="AM455" s="8" t="s">
        <v>742</v>
      </c>
      <c r="AN455" s="8" t="s">
        <v>743</v>
      </c>
      <c r="AO455" s="9">
        <v>46105</v>
      </c>
    </row>
    <row r="456" spans="1:41" x14ac:dyDescent="0.25">
      <c r="A456" s="5" t="str">
        <f>IFERROR(IF(INDEX([2]DME!$A$2:$A$12,MATCH($D456,[2]DME!$D$2:$D$12,0))="","",INDEX([2]DME!$A$2:$A$12,MATCH($D456,[2]DME!$D$2:$D$12,0))),"")</f>
        <v>Finalized</v>
      </c>
      <c r="B456" s="5" t="str">
        <f>IFERROR(IF(INDEX([2]DME!$B$2:$B$12,MATCH($D456,[2]DME!$D$2:$D$12,0))="","",INDEX([2]DME!$B$2:$B$12,MATCH($D456,[2]DME!$D$2:$D$12,0))),"")</f>
        <v xml:space="preserve">PAID - Surprise Reems - Pending check secondary - Waiting on PTAN issue to be solved - Payment on hold </v>
      </c>
      <c r="C456" s="6">
        <f>IFERROR(IF(INDEX([2]DME!$C$2:$C$12,MATCH($D456,[2]DME!$D$2:$D$12,0))="","",INDEX([2]DME!$C$2:$C$12,MATCH($D456,[2]DME!$D$2:$D$12,0))),"")</f>
        <v>46121</v>
      </c>
      <c r="D456" s="7">
        <v>553095408</v>
      </c>
      <c r="E456" s="8" t="s">
        <v>793</v>
      </c>
      <c r="F456" s="9">
        <v>46069</v>
      </c>
      <c r="G456" s="8" t="s">
        <v>794</v>
      </c>
      <c r="H456" s="8" t="s">
        <v>437</v>
      </c>
      <c r="I456" s="8" t="s">
        <v>794</v>
      </c>
      <c r="J456" s="8" t="s">
        <v>187</v>
      </c>
      <c r="K456" s="6">
        <f>IFERROR(IF(INDEX([2]DME!$K$2:$K$12,MATCH($D456,[2]DME!$D$2:$D$12,0))="","",INDEX([2]DME!$K$2:$K$12,MATCH($D456,[2]DME!$D$2:$D$12,0))),"")</f>
        <v>46246</v>
      </c>
      <c t="str" r="L456" s="11">
        <f ca="1">IF($O456="","",$O456-TODAY())</f>
        <v/>
      </c>
      <c t="str" r="M456" s="11">
        <f ca="1">IF(AND(TRIM($A456)="Finalized",$K456&lt;&gt;""),"",IF($C456="","",$C456+365-TODAY()))</f>
        <v/>
      </c>
      <c t="str" r="N456" s="11">
        <f ca="1">IF(AND(TRIM($A456)="Finalized",$K456&lt;&gt;""),"",IF($C456="","",$C456+120-TODAY()))</f>
        <v/>
      </c>
      <c t="str" r="O456" s="9">
        <f>IF(AND(TRIM($A456)="Finalized",$K456&lt;&gt;""),"",DATE(2027,2,16))</f>
        <v/>
      </c>
      <c r="P456" s="8" t="s">
        <v>73</v>
      </c>
      <c r="Q456" s="8" t="s">
        <v>739</v>
      </c>
      <c r="R456" s="8" t="s">
        <v>73</v>
      </c>
      <c r="S456" s="8" t="s">
        <v>74</v>
      </c>
      <c r="T456" s="8" t="s">
        <v>208</v>
      </c>
      <c r="U456" s="8" t="s">
        <v>74</v>
      </c>
      <c r="V456" s="8" t="s">
        <v>204</v>
      </c>
      <c r="W456" s="8" t="s">
        <v>89</v>
      </c>
      <c r="X456" s="8" t="s">
        <v>90</v>
      </c>
      <c r="Y456" s="8"/>
      <c r="Z456" s="8"/>
      <c r="AA456" s="8" t="s">
        <v>190</v>
      </c>
      <c r="AB456" s="10">
        <v>18176.900000000001</v>
      </c>
      <c r="AC456" s="10">
        <v>15508.1</v>
      </c>
      <c r="AD456" s="10">
        <v>542.44000000000005</v>
      </c>
      <c r="AE456" s="9">
        <v>46121</v>
      </c>
      <c r="AF456" s="10">
        <v>2126.36</v>
      </c>
      <c r="AG456" s="7">
        <v>173</v>
      </c>
      <c r="AH456" s="8" t="s">
        <v>92</v>
      </c>
      <c r="AI456" s="8" t="s">
        <v>78</v>
      </c>
      <c r="AJ456" s="8"/>
      <c r="AK456" s="8"/>
      <c r="AL456" s="7">
        <v>557144068</v>
      </c>
      <c r="AM456" s="8" t="s">
        <v>745</v>
      </c>
      <c r="AN456" s="8" t="s">
        <v>746</v>
      </c>
      <c r="AO456" s="9">
        <v>46099</v>
      </c>
    </row>
    <row r="457" spans="1:41" x14ac:dyDescent="0.25">
      <c r="A457" s="5" t="str">
        <f>IFERROR(IF(INDEX([2]DME!$A$2:$A$12,MATCH($D457,[2]DME!$D$2:$D$12,0))="","",INDEX([2]DME!$A$2:$A$12,MATCH($D457,[2]DME!$D$2:$D$12,0))),"")</f>
        <v>Finalized</v>
      </c>
      <c r="B457" s="5" t="str">
        <f>IFERROR(IF(INDEX([2]DME!$B$2:$B$12,MATCH($D457,[2]DME!$D$2:$D$12,0))="","",INDEX([2]DME!$B$2:$B$12,MATCH($D457,[2]DME!$D$2:$D$12,0))),"")</f>
        <v>Shifted to PT - ABN signed - L0637 dispensed on 01/16/2023 supplier ARIZONA SPINE AND PAIN SPECIALISTS LLC - DND L0650 - Remark M3 Equipment is the same or similar to equipment already being used.</v>
      </c>
      <c r="C457" s="6">
        <f>IFERROR(IF(INDEX([2]DME!$C$2:$C$12,MATCH($D457,[2]DME!$D$2:$D$12,0))="","",INDEX([2]DME!$C$2:$C$12,MATCH($D457,[2]DME!$D$2:$D$12,0))),"")</f>
        <v>46101</v>
      </c>
      <c r="D457" s="7">
        <v>550127169</v>
      </c>
      <c r="E457" s="8" t="s">
        <v>804</v>
      </c>
      <c r="F457" s="9">
        <v>46071</v>
      </c>
      <c r="G457" s="8" t="s">
        <v>437</v>
      </c>
      <c r="H457" s="8" t="s">
        <v>437</v>
      </c>
      <c r="I457" s="8" t="s">
        <v>370</v>
      </c>
      <c r="J457" s="8" t="s">
        <v>649</v>
      </c>
      <c r="K457" s="6">
        <f>IFERROR(IF(INDEX([2]DME!$K$2:$K$12,MATCH($D457,[2]DME!$D$2:$D$12,0))="","",INDEX([2]DME!$K$2:$K$12,MATCH($D457,[2]DME!$D$2:$D$12,0))),"")</f>
        <v>46300</v>
      </c>
      <c t="str" r="L457" s="11">
        <f ca="1">IF($O457="","",$O457-TODAY())</f>
        <v/>
      </c>
      <c t="str" r="M457" s="11">
        <f ca="1">IF(AND(TRIM($A457)="Finalized",$K457&lt;&gt;""),"",IF($C457="","",$C457+365-TODAY()))</f>
        <v/>
      </c>
      <c t="str" r="N457" s="11">
        <f ca="1">IF(AND(TRIM($A457)="Finalized",$K457&lt;&gt;""),"",IF($C457="","",$C457+120-TODAY()))</f>
        <v/>
      </c>
      <c t="str" r="O457" s="9">
        <f>IF(AND(TRIM($A457)="Finalized",$K457&lt;&gt;""),"",DATE(2027,2,18))</f>
        <v/>
      </c>
      <c r="P457" s="8" t="s">
        <v>73</v>
      </c>
      <c r="Q457" s="8" t="s">
        <v>739</v>
      </c>
      <c r="R457" s="8" t="s">
        <v>73</v>
      </c>
      <c r="S457" s="8" t="s">
        <v>74</v>
      </c>
      <c r="T457" s="8" t="s">
        <v>208</v>
      </c>
      <c r="U457" s="8" t="s">
        <v>74</v>
      </c>
      <c r="V457" s="8" t="s">
        <v>204</v>
      </c>
      <c r="W457" s="8" t="s">
        <v>89</v>
      </c>
      <c r="X457" s="8" t="s">
        <v>232</v>
      </c>
      <c r="Y457" s="8"/>
      <c r="Z457" s="8"/>
      <c r="AA457" s="8" t="s">
        <v>77</v>
      </c>
      <c r="AB457" s="10">
        <v>6392.96</v>
      </c>
      <c r="AC457" s="10">
        <v>0</v>
      </c>
      <c r="AD457" s="10">
        <v>0</v>
      </c>
      <c r="AE457" s="9">
        <v>46101</v>
      </c>
      <c r="AF457" s="10">
        <v>6392.96</v>
      </c>
      <c r="AG457" s="7">
        <v>171</v>
      </c>
      <c r="AH457" s="8" t="s">
        <v>805</v>
      </c>
      <c r="AI457" s="8"/>
      <c r="AJ457" s="8"/>
      <c r="AK457" s="8"/>
      <c r="AL457" s="7"/>
      <c r="AM457" s="8" t="s">
        <v>806</v>
      </c>
      <c r="AN457" s="8" t="s">
        <v>807</v>
      </c>
      <c r="AO457" s="9">
        <v>46093</v>
      </c>
    </row>
    <row r="458" spans="1:41" x14ac:dyDescent="0.25">
      <c r="A458" s="5" t="str">
        <f>IFERROR(IF(INDEX([3]BH!$A$2:$A$32,MATCH($D458,[3]BH!$D$2:$D$32,0))="","",INDEX([3]BH!$A$2:$A$32,MATCH($D458,[3]BH!$D$2:$D$32,0))),"")</f>
        <v>Finalized</v>
      </c>
      <c r="B458" s="5" t="str">
        <f>IFERROR(IF(INDEX([3]BH!$B$2:$B$32,MATCH($D458,[3]BH!$D$2:$D$32,0))="","",INDEX([3]BH!$B$2:$B$32,MATCH($D458,[3]BH!$D$2:$D$32,0))),"")</f>
        <v>Adjusted balance - Paid accordingly</v>
      </c>
      <c r="C458" s="6">
        <f>IFERROR(IF(INDEX([3]BH!$C$2:$C$32,MATCH($D458,[3]BH!$D$2:$D$32,0))="","",INDEX([3]BH!$C$2:$C$32,MATCH($D458,[3]BH!$D$2:$D$32,0))),"")</f>
        <v>46141</v>
      </c>
      <c r="D458" s="7">
        <v>551389428</v>
      </c>
      <c r="E458" s="8" t="s">
        <v>817</v>
      </c>
      <c r="F458" s="9">
        <v>46083</v>
      </c>
      <c r="G458" s="8" t="s">
        <v>818</v>
      </c>
      <c r="H458" s="8" t="s">
        <v>171</v>
      </c>
      <c r="I458" s="8" t="s">
        <v>818</v>
      </c>
      <c r="J458" s="8" t="s">
        <v>124</v>
      </c>
      <c r="K458" s="6">
        <f>IFERROR(IF(INDEX([3]BH!$K$2:$K$32,MATCH($D458,[3]BH!$D$2:$D$32,0))="","",INDEX([3]BH!$K$2:$K$32,MATCH($D458,[3]BH!$D$2:$D$32,0))),"")</f>
        <v>46268</v>
      </c>
      <c t="str" r="L458" s="11">
        <f ca="1">IF($O458="","",$O458-TODAY())</f>
        <v/>
      </c>
      <c t="str" r="M458" s="11">
        <f ca="1">IF(AND(TRIM($A458)="Finalized",$K458&lt;&gt;""),"",IF($C458="","",$C458+365-TODAY()))</f>
        <v/>
      </c>
      <c t="str" r="N458" s="11">
        <f ca="1">IF(AND(TRIM($A458)="Finalized",$K458&lt;&gt;""),"",IF($C458="","",$C458+120-TODAY()))</f>
        <v/>
      </c>
      <c t="str" r="O458" s="9">
        <f>IF(AND(TRIM($A458)="Finalized",$K458&lt;&gt;""),"",DATE(2027,3,2))</f>
        <v/>
      </c>
      <c r="P458" s="8" t="s">
        <v>73</v>
      </c>
      <c r="Q458" s="8" t="s">
        <v>739</v>
      </c>
      <c r="R458" s="8" t="s">
        <v>73</v>
      </c>
      <c r="S458" s="8" t="s">
        <v>74</v>
      </c>
      <c r="T458" s="8" t="s">
        <v>208</v>
      </c>
      <c r="U458" s="8" t="s">
        <v>74</v>
      </c>
      <c r="V458" s="8" t="s">
        <v>256</v>
      </c>
      <c r="W458" s="8" t="s">
        <v>118</v>
      </c>
      <c r="X458" s="8"/>
      <c r="Y458" s="8"/>
      <c r="Z458" s="8"/>
      <c r="AA458" s="8" t="s">
        <v>77</v>
      </c>
      <c r="AB458" s="10">
        <v>1426.25</v>
      </c>
      <c r="AC458" s="10">
        <v>1184.69</v>
      </c>
      <c r="AD458" s="10">
        <v>198.17</v>
      </c>
      <c r="AE458" s="9">
        <v>46141</v>
      </c>
      <c r="AF458" s="10">
        <v>43.39</v>
      </c>
      <c r="AG458" s="7">
        <v>159</v>
      </c>
      <c r="AH458" s="8" t="s">
        <v>119</v>
      </c>
      <c r="AI458" s="8"/>
      <c r="AJ458" s="8"/>
      <c r="AK458" s="8"/>
      <c r="AL458" s="7">
        <v>559119307</v>
      </c>
      <c r="AM458" s="8" t="s">
        <v>131</v>
      </c>
      <c r="AN458" s="8" t="s">
        <v>121</v>
      </c>
      <c r="AO458" s="9">
        <v>46119</v>
      </c>
    </row>
    <row r="459" spans="1:41" x14ac:dyDescent="0.25">
      <c r="A459" s="5" t="str">
        <f>IFERROR(IF(INDEX([3]DME!$A$2:$A$11,MATCH($D459,[3]DME!$D$2:$D$11,0))="","",INDEX([3]DME!$A$2:$A$11,MATCH($D459,[3]DME!$D$2:$D$11,0))),"")</f>
        <v>Finalized</v>
      </c>
      <c r="B459" s="5" t="str">
        <f>IFERROR(IF(INDEX([3]DME!$B$2:$B$11,MATCH($D459,[3]DME!$D$2:$D$11,0))="","",INDEX([3]DME!$B$2:$B$11,MATCH($D459,[3]DME!$D$2:$D$11,0))),"")</f>
        <v>Adjusted balanced - No auth on file - DND no auth</v>
      </c>
      <c r="C459" s="6">
        <f>IFERROR(IF(INDEX([3]DME!$C$2:$C$11,MATCH($D459,[3]DME!$D$2:$D$11,0))="","",INDEX([3]DME!$C$2:$C$11,MATCH($D459,[3]DME!$D$2:$D$11,0))),"")</f>
        <v>46141</v>
      </c>
      <c r="D459" s="7">
        <v>551735634</v>
      </c>
      <c r="E459" s="8" t="s">
        <v>822</v>
      </c>
      <c r="F459" s="9">
        <v>46085</v>
      </c>
      <c r="G459" s="8" t="s">
        <v>437</v>
      </c>
      <c r="H459" s="8" t="s">
        <v>437</v>
      </c>
      <c r="I459" s="8" t="s">
        <v>823</v>
      </c>
      <c r="J459" s="8" t="s">
        <v>824</v>
      </c>
      <c r="K459" s="6">
        <f>IFERROR(IF(INDEX([3]DME!$K$2:$K$11,MATCH($D459,[3]DME!$D$2:$D$11,0))="","",INDEX([3]DME!$K$2:$K$11,MATCH($D459,[3]DME!$D$2:$D$11,0))),"")</f>
        <v>46300</v>
      </c>
      <c t="str" r="L459" s="11">
        <f ca="1">IF($O459="","",$O459-TODAY())</f>
        <v/>
      </c>
      <c t="str" r="M459" s="11">
        <f ca="1">IF(AND(TRIM($A459)="Finalized",$K459&lt;&gt;""),"",IF($C459="","",$C459+365-TODAY()))</f>
        <v/>
      </c>
      <c t="str" r="N459" s="11">
        <f ca="1">IF(AND(TRIM($A459)="Finalized",$K459&lt;&gt;""),"",IF($C459="","",$C459+120-TODAY()))</f>
        <v/>
      </c>
      <c t="str" r="O459" s="9">
        <f>IF(AND(TRIM($A459)="Finalized",$K459&lt;&gt;""),"",DATE(2027,3,4))</f>
        <v/>
      </c>
      <c r="P459" s="8" t="s">
        <v>73</v>
      </c>
      <c r="Q459" s="8" t="s">
        <v>739</v>
      </c>
      <c r="R459" s="8" t="s">
        <v>73</v>
      </c>
      <c r="S459" s="8" t="s">
        <v>74</v>
      </c>
      <c r="T459" s="8" t="s">
        <v>208</v>
      </c>
      <c r="U459" s="8" t="s">
        <v>74</v>
      </c>
      <c r="V459" s="8" t="s">
        <v>256</v>
      </c>
      <c r="W459" s="8" t="s">
        <v>89</v>
      </c>
      <c r="X459" s="8" t="s">
        <v>232</v>
      </c>
      <c r="Y459" s="8"/>
      <c r="Z459" s="8"/>
      <c r="AA459" s="8" t="s">
        <v>77</v>
      </c>
      <c r="AB459" s="10">
        <v>4520.1099999999997</v>
      </c>
      <c r="AC459" s="10">
        <v>0</v>
      </c>
      <c r="AD459" s="10">
        <v>0</v>
      </c>
      <c r="AE459" s="9">
        <v>46141</v>
      </c>
      <c r="AF459" s="10">
        <v>4520.1099999999997</v>
      </c>
      <c r="AG459" s="7">
        <v>157</v>
      </c>
      <c r="AH459" s="8" t="s">
        <v>105</v>
      </c>
      <c r="AI459" s="8"/>
      <c r="AJ459" s="8"/>
      <c r="AK459" s="8"/>
      <c r="AL459" s="7"/>
      <c r="AM459" s="8" t="s">
        <v>806</v>
      </c>
      <c r="AN459" s="8" t="s">
        <v>746</v>
      </c>
      <c r="AO459" s="9">
        <v>46099</v>
      </c>
    </row>
    <row r="460" spans="1:41" x14ac:dyDescent="0.25">
      <c r="A460" s="5" t="str">
        <f>IFERROR(IF(INDEX([3]BH!$A$2:$A$32,MATCH($D460,[3]BH!$D$2:$D$32,0))="","",INDEX([3]BH!$A$2:$A$32,MATCH($D460,[3]BH!$D$2:$D$32,0))),"")</f>
        <v>Finalized</v>
      </c>
      <c r="B460" s="5" t="str">
        <f>IFERROR(IF(INDEX([3]BH!$B$2:$B$32,MATCH($D460,[3]BH!$D$2:$D$32,0))="","",INDEX([3]BH!$B$2:$B$32,MATCH($D460,[3]BH!$D$2:$D$32,0))),"")</f>
        <v>Adjusted balance - Paid accordingly</v>
      </c>
      <c r="C460" s="6">
        <f>IFERROR(IF(INDEX([3]BH!$C$2:$C$32,MATCH($D460,[3]BH!$D$2:$D$32,0))="","",INDEX([3]BH!$C$2:$C$32,MATCH($D460,[3]BH!$D$2:$D$32,0))),"")</f>
        <v>46141</v>
      </c>
      <c r="D460" s="7">
        <v>552404210</v>
      </c>
      <c r="E460" s="8" t="s">
        <v>826</v>
      </c>
      <c r="F460" s="9">
        <v>46092</v>
      </c>
      <c r="G460" s="8" t="s">
        <v>123</v>
      </c>
      <c r="H460" s="8" t="s">
        <v>171</v>
      </c>
      <c r="I460" s="8" t="s">
        <v>123</v>
      </c>
      <c r="J460" s="8" t="s">
        <v>220</v>
      </c>
      <c r="K460" s="6">
        <f>IFERROR(IF(INDEX([3]BH!$K$2:$K$32,MATCH($D460,[3]BH!$D$2:$D$32,0))="","",INDEX([3]BH!$K$2:$K$32,MATCH($D460,[3]BH!$D$2:$D$32,0))),"")</f>
        <v>46268</v>
      </c>
      <c t="str" r="L460" s="11">
        <f ca="1">IF($O460="","",$O460-TODAY())</f>
        <v/>
      </c>
      <c t="str" r="M460" s="11">
        <f ca="1">IF(AND(TRIM($A460)="Finalized",$K460&lt;&gt;""),"",IF($C460="","",$C460+365-TODAY()))</f>
        <v/>
      </c>
      <c t="str" r="N460" s="11">
        <f ca="1">IF(AND(TRIM($A460)="Finalized",$K460&lt;&gt;""),"",IF($C460="","",$C460+120-TODAY()))</f>
        <v/>
      </c>
      <c t="str" r="O460" s="9">
        <f>IF(AND(TRIM($A460)="Finalized",$K460&lt;&gt;""),"",DATE(2027,3,11))</f>
        <v/>
      </c>
      <c r="P460" s="8" t="s">
        <v>73</v>
      </c>
      <c r="Q460" s="8" t="s">
        <v>739</v>
      </c>
      <c r="R460" s="8" t="s">
        <v>73</v>
      </c>
      <c r="S460" s="8" t="s">
        <v>74</v>
      </c>
      <c r="T460" s="8" t="s">
        <v>208</v>
      </c>
      <c r="U460" s="8" t="s">
        <v>74</v>
      </c>
      <c r="V460" s="8" t="s">
        <v>256</v>
      </c>
      <c r="W460" s="8" t="s">
        <v>118</v>
      </c>
      <c r="X460" s="8"/>
      <c r="Y460" s="8"/>
      <c r="Z460" s="8"/>
      <c r="AA460" s="8" t="s">
        <v>77</v>
      </c>
      <c r="AB460" s="10">
        <v>1372.91</v>
      </c>
      <c r="AC460" s="10">
        <v>1147.73</v>
      </c>
      <c r="AD460" s="10">
        <v>184.73</v>
      </c>
      <c r="AE460" s="9">
        <v>46141</v>
      </c>
      <c r="AF460" s="10">
        <v>40.450000000000003</v>
      </c>
      <c r="AG460" s="7">
        <v>150</v>
      </c>
      <c r="AH460" s="8" t="s">
        <v>172</v>
      </c>
      <c r="AI460" s="8"/>
      <c r="AJ460" s="8"/>
      <c r="AK460" s="8"/>
      <c r="AL460" s="7">
        <v>559120113</v>
      </c>
      <c r="AM460" s="8" t="s">
        <v>131</v>
      </c>
      <c r="AN460" s="8" t="s">
        <v>132</v>
      </c>
      <c r="AO460" s="9">
        <v>46119</v>
      </c>
    </row>
    <row r="461" spans="1:41" x14ac:dyDescent="0.25">
      <c r="A461" s="5" t="str">
        <f>IFERROR(IF(INDEX([3]BH!$A$2:$A$32,MATCH($D461,[3]BH!$D$2:$D$32,0))="","",INDEX([3]BH!$A$2:$A$32,MATCH($D461,[3]BH!$D$2:$D$32,0))),"")</f>
        <v>Finalized</v>
      </c>
      <c r="B461" s="5" t="str">
        <f>IFERROR(IF(INDEX([3]BH!$B$2:$B$32,MATCH($D461,[3]BH!$D$2:$D$32,0))="","",INDEX([3]BH!$B$2:$B$32,MATCH($D461,[3]BH!$D$2:$D$32,0))),"")</f>
        <v>Adjusted balance - Paid accordingly</v>
      </c>
      <c r="C461" s="6">
        <f>IFERROR(IF(INDEX([3]BH!$C$2:$C$32,MATCH($D461,[3]BH!$D$2:$D$32,0))="","",INDEX([3]BH!$C$2:$C$32,MATCH($D461,[3]BH!$D$2:$D$32,0))),"")</f>
        <v>46141</v>
      </c>
      <c r="D461" s="7">
        <v>552606577</v>
      </c>
      <c r="E461" s="8" t="s">
        <v>828</v>
      </c>
      <c r="F461" s="9">
        <v>46094</v>
      </c>
      <c r="G461" s="8" t="s">
        <v>766</v>
      </c>
      <c r="H461" s="8" t="s">
        <v>171</v>
      </c>
      <c r="I461" s="8" t="s">
        <v>766</v>
      </c>
      <c r="J461" s="8" t="s">
        <v>124</v>
      </c>
      <c r="K461" s="6">
        <f>IFERROR(IF(INDEX([3]BH!$K$2:$K$32,MATCH($D461,[3]BH!$D$2:$D$32,0))="","",INDEX([3]BH!$K$2:$K$32,MATCH($D461,[3]BH!$D$2:$D$32,0))),"")</f>
        <v>46268</v>
      </c>
      <c t="str" r="L461" s="11">
        <f ca="1">IF($O461="","",$O461-TODAY())</f>
        <v/>
      </c>
      <c t="str" r="M461" s="11">
        <f ca="1">IF(AND(TRIM($A461)="Finalized",$K461&lt;&gt;""),"",IF($C461="","",$C461+365-TODAY()))</f>
        <v/>
      </c>
      <c t="str" r="N461" s="11">
        <f ca="1">IF(AND(TRIM($A461)="Finalized",$K461&lt;&gt;""),"",IF($C461="","",$C461+120-TODAY()))</f>
        <v/>
      </c>
      <c t="str" r="O461" s="9">
        <f>IF(AND(TRIM($A461)="Finalized",$K461&lt;&gt;""),"",DATE(2027,3,13))</f>
        <v/>
      </c>
      <c r="P461" s="8" t="s">
        <v>73</v>
      </c>
      <c r="Q461" s="8" t="s">
        <v>739</v>
      </c>
      <c r="R461" s="8" t="s">
        <v>73</v>
      </c>
      <c r="S461" s="8" t="s">
        <v>74</v>
      </c>
      <c r="T461" s="8" t="s">
        <v>208</v>
      </c>
      <c r="U461" s="8" t="s">
        <v>74</v>
      </c>
      <c r="V461" s="8" t="s">
        <v>256</v>
      </c>
      <c r="W461" s="8" t="s">
        <v>118</v>
      </c>
      <c r="X461" s="8"/>
      <c r="Y461" s="8"/>
      <c r="Z461" s="8"/>
      <c r="AA461" s="8" t="s">
        <v>77</v>
      </c>
      <c r="AB461" s="10">
        <v>1426.25</v>
      </c>
      <c r="AC461" s="10">
        <v>1184.69</v>
      </c>
      <c r="AD461" s="10">
        <v>198.17</v>
      </c>
      <c r="AE461" s="9">
        <v>46141</v>
      </c>
      <c r="AF461" s="10">
        <v>43.39</v>
      </c>
      <c r="AG461" s="7">
        <v>148</v>
      </c>
      <c r="AH461" s="8" t="s">
        <v>276</v>
      </c>
      <c r="AI461" s="8"/>
      <c r="AJ461" s="8"/>
      <c r="AK461" s="8"/>
      <c r="AL461" s="7">
        <v>559120100</v>
      </c>
      <c r="AM461" s="8" t="s">
        <v>157</v>
      </c>
      <c r="AN461" s="8" t="s">
        <v>158</v>
      </c>
      <c r="AO461" s="9">
        <v>46119</v>
      </c>
    </row>
    <row r="462" spans="1:41" x14ac:dyDescent="0.25">
      <c r="A462" s="5" t="str">
        <f>IFERROR(IF(INDEX([3]BH!$A$2:$A$32,MATCH($D462,[3]BH!$D$2:$D$32,0))="","",INDEX([3]BH!$A$2:$A$32,MATCH($D462,[3]BH!$D$2:$D$32,0))),"")</f>
        <v>Finalized</v>
      </c>
      <c r="B462" s="5" t="str">
        <f>IFERROR(IF(INDEX([3]BH!$B$2:$B$32,MATCH($D462,[3]BH!$D$2:$D$32,0))="","",INDEX([3]BH!$B$2:$B$32,MATCH($D462,[3]BH!$D$2:$D$32,0))),"")</f>
        <v>Shifted balance to PR as per EOB - ChampVA doesn't cover BH</v>
      </c>
      <c r="C462" s="6">
        <f>IFERROR(IF(INDEX([3]BH!$C$2:$C$32,MATCH($D462,[3]BH!$D$2:$D$32,0))="","",INDEX([3]BH!$C$2:$C$32,MATCH($D462,[3]BH!$D$2:$D$32,0))),"")</f>
        <v>46210</v>
      </c>
      <c r="D462" s="7">
        <v>552857208</v>
      </c>
      <c r="E462" s="8" t="s">
        <v>829</v>
      </c>
      <c r="F462" s="9">
        <v>46094</v>
      </c>
      <c r="G462" s="8" t="s">
        <v>332</v>
      </c>
      <c r="H462" s="8" t="s">
        <v>171</v>
      </c>
      <c r="I462" s="8" t="s">
        <v>332</v>
      </c>
      <c r="J462" s="8" t="s">
        <v>195</v>
      </c>
      <c r="K462" s="6">
        <f>IFERROR(IF(INDEX([3]BH!$K$2:$K$32,MATCH($D462,[3]BH!$D$2:$D$32,0))="","",INDEX([3]BH!$K$2:$K$32,MATCH($D462,[3]BH!$D$2:$D$32,0))),"")</f>
        <v>46268</v>
      </c>
      <c t="str" r="L462" s="11">
        <f ca="1">IF($O462="","",$O462-TODAY())</f>
        <v/>
      </c>
      <c t="str" r="M462" s="11">
        <f ca="1">IF(AND(TRIM($A462)="Finalized",$K462&lt;&gt;""),"",IF($C462="","",$C462+365-TODAY()))</f>
        <v/>
      </c>
      <c t="str" r="N462" s="11">
        <f ca="1">IF(AND(TRIM($A462)="Finalized",$K462&lt;&gt;""),"",IF($C462="","",$C462+120-TODAY()))</f>
        <v/>
      </c>
      <c t="str" r="O462" s="9">
        <f>IF(AND(TRIM($A462)="Finalized",$K462&lt;&gt;""),"",DATE(2027,3,13))</f>
        <v/>
      </c>
      <c r="P462" s="8" t="s">
        <v>73</v>
      </c>
      <c r="Q462" s="8" t="s">
        <v>739</v>
      </c>
      <c r="R462" s="8" t="s">
        <v>73</v>
      </c>
      <c r="S462" s="8" t="s">
        <v>74</v>
      </c>
      <c r="T462" s="8" t="s">
        <v>208</v>
      </c>
      <c r="U462" s="8" t="s">
        <v>74</v>
      </c>
      <c r="V462" s="8" t="s">
        <v>256</v>
      </c>
      <c r="W462" s="8" t="s">
        <v>118</v>
      </c>
      <c r="X462" s="8"/>
      <c r="Y462" s="8"/>
      <c r="Z462" s="8"/>
      <c r="AA462" s="8" t="s">
        <v>77</v>
      </c>
      <c r="AB462" s="10">
        <v>1426.25</v>
      </c>
      <c r="AC462" s="10">
        <v>1223.6600000000001</v>
      </c>
      <c r="AD462" s="10">
        <v>159.19999999999999</v>
      </c>
      <c r="AE462" s="9">
        <v>46210</v>
      </c>
      <c r="AF462" s="10">
        <v>43.39</v>
      </c>
      <c r="AG462" s="7">
        <v>148</v>
      </c>
      <c r="AH462" s="8" t="s">
        <v>119</v>
      </c>
      <c r="AI462" s="8"/>
      <c r="AJ462" s="8"/>
      <c r="AK462" s="8"/>
      <c r="AL462" s="7">
        <v>559120090</v>
      </c>
      <c r="AM462" s="8" t="s">
        <v>146</v>
      </c>
      <c r="AN462" s="8" t="s">
        <v>132</v>
      </c>
      <c r="AO462" s="9">
        <v>46119</v>
      </c>
    </row>
    <row r="463" spans="1:41" x14ac:dyDescent="0.25">
      <c r="A463" s="5" t="str">
        <f>IFERROR(IF(INDEX([3]DME!$A$2:$A$11,MATCH($D463,[3]DME!$D$2:$D$11,0))="","",INDEX([3]DME!$A$2:$A$11,MATCH($D463,[3]DME!$D$2:$D$11,0))),"")</f>
        <v>Finalized</v>
      </c>
      <c r="B463" s="5" t="str">
        <f>IFERROR(IF(INDEX([3]DME!$B$2:$B$11,MATCH($D463,[3]DME!$D$2:$D$11,0))="","",INDEX([3]DME!$B$2:$B$11,MATCH($D463,[3]DME!$D$2:$D$11,0))),"")</f>
        <v>Adjusted balanced - No auth on file - DND no auth</v>
      </c>
      <c r="C463" s="6">
        <f>IFERROR(IF(INDEX([3]DME!$C$2:$C$11,MATCH($D463,[3]DME!$D$2:$D$11,0))="","",INDEX([3]DME!$C$2:$C$11,MATCH($D463,[3]DME!$D$2:$D$11,0))),"")</f>
        <v>46121</v>
      </c>
      <c r="D463" s="7">
        <v>553103783</v>
      </c>
      <c r="E463" s="8" t="s">
        <v>830</v>
      </c>
      <c r="F463" s="9">
        <v>46097</v>
      </c>
      <c r="G463" s="8" t="s">
        <v>437</v>
      </c>
      <c r="H463" s="8" t="s">
        <v>437</v>
      </c>
      <c r="I463" s="8" t="s">
        <v>84</v>
      </c>
      <c r="J463" s="8" t="s">
        <v>649</v>
      </c>
      <c r="K463" s="6">
        <f>IFERROR(IF(INDEX([3]DME!$K$2:$K$11,MATCH($D463,[3]DME!$D$2:$D$11,0))="","",INDEX([3]DME!$K$2:$K$11,MATCH($D463,[3]DME!$D$2:$D$11,0))),"")</f>
        <v>46300</v>
      </c>
      <c t="str" r="L463" s="11">
        <f ca="1">IF($O463="","",$O463-TODAY())</f>
        <v/>
      </c>
      <c t="str" r="M463" s="11">
        <f ca="1">IF(AND(TRIM($A463)="Finalized",$K463&lt;&gt;""),"",IF($C463="","",$C463+365-TODAY()))</f>
        <v/>
      </c>
      <c t="str" r="N463" s="11">
        <f ca="1">IF(AND(TRIM($A463)="Finalized",$K463&lt;&gt;""),"",IF($C463="","",$C463+120-TODAY()))</f>
        <v/>
      </c>
      <c t="str" r="O463" s="9">
        <f>IF(AND(TRIM($A463)="Finalized",$K463&lt;&gt;""),"",DATE(2027,3,16))</f>
        <v/>
      </c>
      <c r="P463" s="8" t="s">
        <v>73</v>
      </c>
      <c r="Q463" s="8" t="s">
        <v>739</v>
      </c>
      <c r="R463" s="8" t="s">
        <v>73</v>
      </c>
      <c r="S463" s="8" t="s">
        <v>74</v>
      </c>
      <c r="T463" s="8" t="s">
        <v>208</v>
      </c>
      <c r="U463" s="8" t="s">
        <v>74</v>
      </c>
      <c r="V463" s="8" t="s">
        <v>256</v>
      </c>
      <c r="W463" s="8" t="s">
        <v>89</v>
      </c>
      <c r="X463" s="8" t="s">
        <v>232</v>
      </c>
      <c r="Y463" s="8"/>
      <c r="Z463" s="8"/>
      <c r="AA463" s="8" t="s">
        <v>77</v>
      </c>
      <c r="AB463" s="10">
        <v>6392.96</v>
      </c>
      <c r="AC463" s="10">
        <v>0</v>
      </c>
      <c r="AD463" s="10">
        <v>0</v>
      </c>
      <c r="AE463" s="9">
        <v>46121</v>
      </c>
      <c r="AF463" s="10">
        <v>6392.96</v>
      </c>
      <c r="AG463" s="7">
        <v>145</v>
      </c>
      <c r="AH463" s="8" t="s">
        <v>79</v>
      </c>
      <c r="AI463" s="8" t="s">
        <v>145</v>
      </c>
      <c r="AJ463" s="8"/>
      <c r="AK463" s="8"/>
      <c r="AL463" s="7"/>
      <c r="AM463" s="8" t="s">
        <v>806</v>
      </c>
      <c r="AN463" s="8" t="s">
        <v>807</v>
      </c>
      <c r="AO463" s="9">
        <v>46099</v>
      </c>
    </row>
    <row r="464" spans="1:41" x14ac:dyDescent="0.25">
      <c r="A464" s="5" t="str">
        <f>IFERROR(IF(INDEX([3]DME!$A$2:$A$11,MATCH($D464,[3]DME!$D$2:$D$11,0))="","",INDEX([3]DME!$A$2:$A$11,MATCH($D464,[3]DME!$D$2:$D$11,0))),"")</f>
        <v>Finalized</v>
      </c>
      <c r="B464" s="5" t="str">
        <f>IFERROR(IF(INDEX([3]DME!$B$2:$B$11,MATCH($D464,[3]DME!$D$2:$D$11,0))="","",INDEX([3]DME!$B$2:$B$11,MATCH($D464,[3]DME!$D$2:$D$11,0))),"")</f>
        <v>Shifted to PT - Surgical Dressing: not separately payable if incident to a physician's service - Palmetto GBA July 2026 DMEPOS_Jurisdiction_List article - DND A6023 Not covered</v>
      </c>
      <c r="C464" s="6">
        <f>IFERROR(IF(INDEX([3]DME!$C$2:$C$11,MATCH($D464,[3]DME!$D$2:$D$11,0))="","",INDEX([3]DME!$C$2:$C$11,MATCH($D464,[3]DME!$D$2:$D$11,0))),"")</f>
        <v>46156</v>
      </c>
      <c r="D464" s="7">
        <v>556757813</v>
      </c>
      <c r="E464" s="8" t="s">
        <v>842</v>
      </c>
      <c r="F464" s="9">
        <v>46104</v>
      </c>
      <c r="G464" s="8" t="s">
        <v>843</v>
      </c>
      <c r="H464" s="8" t="s">
        <v>843</v>
      </c>
      <c r="I464" s="8" t="s">
        <v>750</v>
      </c>
      <c r="J464" s="8" t="s">
        <v>382</v>
      </c>
      <c r="K464" s="6">
        <f>IFERROR(IF(INDEX([3]DME!$K$2:$K$11,MATCH($D464,[3]DME!$D$2:$D$11,0))="","",INDEX([3]DME!$K$2:$K$11,MATCH($D464,[3]DME!$D$2:$D$11,0))),"")</f>
        <v>46300</v>
      </c>
      <c t="str" r="L464" s="11">
        <f ca="1">IF($O464="","",$O464-TODAY())</f>
        <v/>
      </c>
      <c t="str" r="M464" s="11">
        <f ca="1">IF(AND(TRIM($A464)="Finalized",$K464&lt;&gt;""),"",IF($C464="","",$C464+365-TODAY()))</f>
        <v/>
      </c>
      <c t="str" r="N464" s="11">
        <f ca="1">IF(AND(TRIM($A464)="Finalized",$K464&lt;&gt;""),"",IF($C464="","",$C464+120-TODAY()))</f>
        <v/>
      </c>
      <c t="str" r="O464" s="9">
        <f>IF(AND(TRIM($A464)="Finalized",$K464&lt;&gt;""),"",DATE(2027,3,23))</f>
        <v/>
      </c>
      <c r="P464" s="8" t="s">
        <v>73</v>
      </c>
      <c r="Q464" s="8" t="s">
        <v>739</v>
      </c>
      <c r="R464" s="8" t="s">
        <v>73</v>
      </c>
      <c r="S464" s="8" t="s">
        <v>74</v>
      </c>
      <c r="T464" s="8" t="s">
        <v>208</v>
      </c>
      <c r="U464" s="8" t="s">
        <v>74</v>
      </c>
      <c r="V464" s="8" t="s">
        <v>256</v>
      </c>
      <c r="W464" s="8" t="s">
        <v>89</v>
      </c>
      <c r="X464" s="8" t="s">
        <v>244</v>
      </c>
      <c r="Y464" s="8"/>
      <c r="Z464" s="8"/>
      <c r="AA464" s="8" t="s">
        <v>91</v>
      </c>
      <c r="AB464" s="10">
        <v>36353.800000000003</v>
      </c>
      <c r="AC464" s="10">
        <v>0</v>
      </c>
      <c r="AD464" s="10">
        <v>0</v>
      </c>
      <c r="AE464" s="9">
        <v>46156</v>
      </c>
      <c r="AF464" s="10">
        <v>36353.800000000003</v>
      </c>
      <c r="AG464" s="7">
        <v>138</v>
      </c>
      <c r="AH464" s="8" t="s">
        <v>92</v>
      </c>
      <c r="AI464" s="8" t="s">
        <v>145</v>
      </c>
      <c r="AJ464" s="8"/>
      <c r="AK464" s="8"/>
      <c r="AL464" s="7"/>
      <c r="AM464" s="8" t="s">
        <v>146</v>
      </c>
      <c r="AN464" s="8" t="s">
        <v>198</v>
      </c>
      <c r="AO464" s="9">
        <v>46133</v>
      </c>
    </row>
    <row r="465" spans="1:41" x14ac:dyDescent="0.25">
      <c r="A465" s="5" t="str">
        <f>IFERROR(IF(INDEX([3]DME!$A$2:$A$11,MATCH($D465,[3]DME!$D$2:$D$11,0))="","",INDEX([3]DME!$A$2:$A$11,MATCH($D465,[3]DME!$D$2:$D$11,0))),"")</f>
        <v>Finalized</v>
      </c>
      <c r="B465" s="5" t="str">
        <f>IFERROR(IF(INDEX([3]DME!$B$2:$B$11,MATCH($D465,[3]DME!$D$2:$D$11,0))="","",INDEX([3]DME!$B$2:$B$11,MATCH($D465,[3]DME!$D$2:$D$11,0))),"")</f>
        <v>Shifted to PT - ABN signed - Another L0650 was dispensed in the last 5 years - DND L0650 M3 Equipment is the same or similar to equipment already being used</v>
      </c>
      <c r="C465" s="6">
        <f>IFERROR(IF(INDEX([3]DME!$C$2:$C$11,MATCH($D465,[3]DME!$D$2:$D$11,0))="","",INDEX([3]DME!$C$2:$C$11,MATCH($D465,[3]DME!$D$2:$D$11,0))),"")</f>
        <v>46121</v>
      </c>
      <c r="D465" s="7">
        <v>554941943</v>
      </c>
      <c r="E465" s="8" t="s">
        <v>851</v>
      </c>
      <c r="F465" s="9">
        <v>46112</v>
      </c>
      <c r="G465" s="8" t="s">
        <v>437</v>
      </c>
      <c r="H465" s="8" t="s">
        <v>437</v>
      </c>
      <c r="I465" s="8" t="s">
        <v>754</v>
      </c>
      <c r="J465" s="8" t="s">
        <v>649</v>
      </c>
      <c r="K465" s="6">
        <f>IFERROR(IF(INDEX([3]DME!$K$2:$K$11,MATCH($D465,[3]DME!$D$2:$D$11,0))="","",INDEX([3]DME!$K$2:$K$11,MATCH($D465,[3]DME!$D$2:$D$11,0))),"")</f>
        <v>46300</v>
      </c>
      <c t="str" r="L465" s="11">
        <f ca="1">IF($O465="","",$O465-TODAY())</f>
        <v/>
      </c>
      <c t="str" r="M465" s="11">
        <f ca="1">IF(AND(TRIM($A465)="Finalized",$K465&lt;&gt;""),"",IF($C465="","",$C465+365-TODAY()))</f>
        <v/>
      </c>
      <c t="str" r="N465" s="11">
        <f ca="1">IF(AND(TRIM($A465)="Finalized",$K465&lt;&gt;""),"",IF($C465="","",$C465+120-TODAY()))</f>
        <v/>
      </c>
      <c t="str" r="O465" s="9">
        <f>IF(AND(TRIM($A465)="Finalized",$K465&lt;&gt;""),"",DATE(2027,3,31))</f>
        <v/>
      </c>
      <c r="P465" s="8" t="s">
        <v>73</v>
      </c>
      <c r="Q465" s="8" t="s">
        <v>739</v>
      </c>
      <c r="R465" s="8" t="s">
        <v>73</v>
      </c>
      <c r="S465" s="8" t="s">
        <v>74</v>
      </c>
      <c r="T465" s="8" t="s">
        <v>208</v>
      </c>
      <c r="U465" s="8" t="s">
        <v>74</v>
      </c>
      <c r="V465" s="8" t="s">
        <v>256</v>
      </c>
      <c r="W465" s="8" t="s">
        <v>89</v>
      </c>
      <c r="X465" s="8" t="s">
        <v>232</v>
      </c>
      <c r="Y465" s="8"/>
      <c r="Z465" s="8"/>
      <c r="AA465" s="8" t="s">
        <v>77</v>
      </c>
      <c r="AB465" s="10">
        <v>6392.96</v>
      </c>
      <c r="AC465" s="10">
        <v>0</v>
      </c>
      <c r="AD465" s="10">
        <v>0</v>
      </c>
      <c r="AE465" s="9">
        <v>46121</v>
      </c>
      <c r="AF465" s="10">
        <v>6392.96</v>
      </c>
      <c r="AG465" s="7">
        <v>130</v>
      </c>
      <c r="AH465" s="8" t="s">
        <v>92</v>
      </c>
      <c r="AI465" s="8" t="s">
        <v>498</v>
      </c>
      <c r="AJ465" s="8" t="s">
        <v>852</v>
      </c>
      <c r="AK465" s="8"/>
      <c r="AL465" s="7"/>
      <c r="AM465" s="8" t="s">
        <v>806</v>
      </c>
      <c r="AN465" s="8" t="s">
        <v>812</v>
      </c>
      <c r="AO465" s="9">
        <v>46118</v>
      </c>
    </row>
    <row r="466" spans="1:41" x14ac:dyDescent="0.25">
      <c r="A466" s="5" t="str">
        <f>IFERROR(IF(INDEX([4]DME!$A$2:$A$34,MATCH($D466,[4]DME!$D$2:$D$34,0))="","",INDEX([4]DME!$A$2:$A$34,MATCH($D466,[4]DME!$D$2:$D$34,0))),"")</f>
        <v>Finalized</v>
      </c>
      <c r="B466" s="5" t="str">
        <f>IFERROR(IF(INDEX([4]DME!$B$2:$B$34,MATCH($D466,[4]DME!$D$2:$D$34,0))="","",INDEX([4]DME!$B$2:$B$34,MATCH($D466,[4]DME!$D$2:$D$34,0))),"")</f>
        <v>Adjusted balance - Only 1 Incision was performed - 20 units each were order - We dispensed 40 unit each as per POD - DND Coverage/program guidelines were exceeded.</v>
      </c>
      <c r="C466" s="6">
        <f>IFERROR(IF(INDEX([4]DME!$C$2:$C$34,MATCH($D466,[4]DME!$D$2:$D$34,0))="","",INDEX([4]DME!$C$2:$C$34,MATCH($D466,[4]DME!$D$2:$D$34,0))),"")</f>
        <v>46249</v>
      </c>
      <c r="D466" s="7">
        <v>556771003</v>
      </c>
      <c r="E466" s="8" t="s">
        <v>861</v>
      </c>
      <c r="F466" s="9">
        <v>46121</v>
      </c>
      <c r="G466" s="8" t="s">
        <v>437</v>
      </c>
      <c r="H466" s="8" t="s">
        <v>437</v>
      </c>
      <c r="I466" s="8" t="s">
        <v>750</v>
      </c>
      <c r="J466" s="8" t="s">
        <v>862</v>
      </c>
      <c r="K466" s="6">
        <f>IFERROR(IF(INDEX([4]DME!$K$2:$K$34,MATCH($D466,[4]DME!$D$2:$D$34,0))="","",INDEX([4]DME!$K$2:$K$34,MATCH($D466,[4]DME!$D$2:$D$34,0))),"")</f>
        <v>46283</v>
      </c>
      <c t="str" r="L466" s="11">
        <f ca="1">IF($O466="","",$O466-TODAY())</f>
        <v/>
      </c>
      <c t="str" r="M466" s="11">
        <f ca="1">IF(AND(TRIM($A466)="Finalized",$K466&lt;&gt;""),"",IF($C466="","",$C466+365-TODAY()))</f>
        <v/>
      </c>
      <c t="str" r="N466" s="11">
        <f ca="1">IF(AND(TRIM($A466)="Finalized",$K466&lt;&gt;""),"",IF($C466="","",$C466+120-TODAY()))</f>
        <v/>
      </c>
      <c t="str" r="O466" s="9">
        <f>IF(AND(TRIM($A466)="Finalized",$K466&lt;&gt;""),"",DATE(2027,4,9))</f>
        <v/>
      </c>
      <c r="P466" s="8" t="s">
        <v>73</v>
      </c>
      <c r="Q466" s="8" t="s">
        <v>739</v>
      </c>
      <c r="R466" s="8" t="s">
        <v>73</v>
      </c>
      <c r="S466" s="8" t="s">
        <v>74</v>
      </c>
      <c r="T466" s="8" t="s">
        <v>208</v>
      </c>
      <c r="U466" s="8" t="s">
        <v>74</v>
      </c>
      <c r="V466" s="8" t="s">
        <v>339</v>
      </c>
      <c r="W466" s="8" t="s">
        <v>89</v>
      </c>
      <c r="X466" s="8" t="s">
        <v>244</v>
      </c>
      <c r="Y466" s="8"/>
      <c r="Z466" s="8"/>
      <c r="AA466" s="8" t="s">
        <v>479</v>
      </c>
      <c r="AB466" s="10">
        <v>72707.600000000006</v>
      </c>
      <c r="AC466" s="10">
        <v>0</v>
      </c>
      <c r="AD466" s="10">
        <v>0</v>
      </c>
      <c r="AE466" s="9"/>
      <c r="AF466" s="10">
        <v>72707.600000000006</v>
      </c>
      <c r="AG466" s="7">
        <v>121</v>
      </c>
      <c r="AH466" s="8" t="s">
        <v>92</v>
      </c>
      <c r="AI466" s="8"/>
      <c r="AJ466" s="8"/>
      <c r="AK466" s="8"/>
      <c r="AL466" s="7"/>
      <c r="AM466" s="8" t="s">
        <v>745</v>
      </c>
      <c r="AN466" s="8" t="s">
        <v>746</v>
      </c>
      <c r="AO466" s="9">
        <v>46133</v>
      </c>
    </row>
    <row r="467" spans="1:41" x14ac:dyDescent="0.25">
      <c r="A467" s="5" t="str">
        <f>IFERROR(IF(INDEX([4]DME!$A$2:$A$34,MATCH($D467,[4]DME!$D$2:$D$34,0))="","",INDEX([4]DME!$A$2:$A$34,MATCH($D467,[4]DME!$D$2:$D$34,0))),"")</f>
        <v>Finalized</v>
      </c>
      <c r="B467" s="5" t="str">
        <f>IFERROR(IF(INDEX([4]DME!$B$2:$B$34,MATCH($D467,[4]DME!$D$2:$D$34,0))="","",INDEX([4]DME!$B$2:$B$34,MATCH($D467,[4]DME!$D$2:$D$34,0))),"")</f>
        <v>Shift to PT - ABN signed - Another L0650 was dispensed back on 04/25/2022 - Supplier SONOSPINE ARIZONA LLC - DND L0650 M3 Equipment is the same or similar to equipment already being used</v>
      </c>
      <c r="C467" s="6">
        <f>IFERROR(IF(INDEX([4]DME!$C$2:$C$34,MATCH($D467,[4]DME!$D$2:$D$34,0))="","",INDEX([4]DME!$C$2:$C$34,MATCH($D467,[4]DME!$D$2:$D$34,0))),"")</f>
        <v>46139</v>
      </c>
      <c r="D467" s="7">
        <v>556764690</v>
      </c>
      <c r="E467" s="8" t="s">
        <v>867</v>
      </c>
      <c r="F467" s="9">
        <v>46125</v>
      </c>
      <c r="G467" s="8" t="s">
        <v>437</v>
      </c>
      <c r="H467" s="8" t="s">
        <v>437</v>
      </c>
      <c r="I467" s="8" t="s">
        <v>750</v>
      </c>
      <c r="J467" s="8" t="s">
        <v>649</v>
      </c>
      <c r="K467" s="6">
        <f>IFERROR(IF(INDEX([4]DME!$K$2:$K$34,MATCH($D467,[4]DME!$D$2:$D$34,0))="","",INDEX([4]DME!$K$2:$K$34,MATCH($D467,[4]DME!$D$2:$D$34,0))),"")</f>
        <v>46283</v>
      </c>
      <c t="str" r="L467" s="11">
        <f ca="1">IF($O467="","",$O467-TODAY())</f>
        <v/>
      </c>
      <c t="str" r="M467" s="11">
        <f ca="1">IF(AND(TRIM($A467)="Finalized",$K467&lt;&gt;""),"",IF($C467="","",$C467+365-TODAY()))</f>
        <v/>
      </c>
      <c t="str" r="N467" s="11">
        <f ca="1">IF(AND(TRIM($A467)="Finalized",$K467&lt;&gt;""),"",IF($C467="","",$C467+120-TODAY()))</f>
        <v/>
      </c>
      <c t="str" r="O467" s="9">
        <f>IF(AND(TRIM($A467)="Finalized",$K467&lt;&gt;""),"",DATE(2027,4,13))</f>
        <v/>
      </c>
      <c r="P467" s="8" t="s">
        <v>73</v>
      </c>
      <c r="Q467" s="8" t="s">
        <v>739</v>
      </c>
      <c r="R467" s="8" t="s">
        <v>73</v>
      </c>
      <c r="S467" s="8" t="s">
        <v>74</v>
      </c>
      <c r="T467" s="8" t="s">
        <v>208</v>
      </c>
      <c r="U467" s="8" t="s">
        <v>74</v>
      </c>
      <c r="V467" s="8" t="s">
        <v>339</v>
      </c>
      <c r="W467" s="8" t="s">
        <v>89</v>
      </c>
      <c r="X467" s="8" t="s">
        <v>232</v>
      </c>
      <c r="Y467" s="8"/>
      <c r="Z467" s="8"/>
      <c r="AA467" s="8" t="s">
        <v>77</v>
      </c>
      <c r="AB467" s="10">
        <v>6392.96</v>
      </c>
      <c r="AC467" s="10">
        <v>0</v>
      </c>
      <c r="AD467" s="10">
        <v>0</v>
      </c>
      <c r="AE467" s="9">
        <v>46139</v>
      </c>
      <c r="AF467" s="10">
        <v>6392.96</v>
      </c>
      <c r="AG467" s="7">
        <v>117</v>
      </c>
      <c r="AH467" s="8" t="s">
        <v>451</v>
      </c>
      <c r="AI467" s="8"/>
      <c r="AJ467" s="8"/>
      <c r="AK467" s="8"/>
      <c r="AL467" s="7"/>
      <c r="AM467" s="8" t="s">
        <v>806</v>
      </c>
      <c r="AN467" s="8" t="s">
        <v>807</v>
      </c>
      <c r="AO467" s="9">
        <v>46133</v>
      </c>
    </row>
    <row r="468" spans="1:41" x14ac:dyDescent="0.25">
      <c r="A468" s="5" t="str">
        <f>IFERROR(IF(INDEX([4]DME!$A$2:$A$34,MATCH($D468,[4]DME!$D$2:$D$34,0))="","",INDEX([4]DME!$A$2:$A$34,MATCH($D468,[4]DME!$D$2:$D$34,0))),"")</f>
        <v>Finalized</v>
      </c>
      <c r="B468" s="5" t="str">
        <f>IFERROR(IF(INDEX([4]DME!$B$2:$B$34,MATCH($D468,[4]DME!$D$2:$D$34,0))="","",INDEX([4]DME!$B$2:$B$34,MATCH($D468,[4]DME!$D$2:$D$34,0))),"")</f>
        <v>Adjusted balance - No ABN signed - Another L0650 was dispensed back on 04/25/2022 - Supplier SONOSPINE ARIZONA LLC - DND L0650 M3 Equipment is the same or similar to equipment already being used</v>
      </c>
      <c r="C468" s="6">
        <f>IFERROR(IF(INDEX([4]DME!$C$2:$C$34,MATCH($D468,[4]DME!$D$2:$D$34,0))="","",INDEX([4]DME!$C$2:$C$34,MATCH($D468,[4]DME!$D$2:$D$34,0))),"")</f>
        <v>46148</v>
      </c>
      <c r="D468" s="7">
        <v>557840581</v>
      </c>
      <c r="E468" s="8" t="s">
        <v>869</v>
      </c>
      <c r="F468" s="9">
        <v>46126</v>
      </c>
      <c r="G468" s="8" t="s">
        <v>437</v>
      </c>
      <c r="H468" s="8" t="s">
        <v>437</v>
      </c>
      <c r="I468" s="8" t="s">
        <v>750</v>
      </c>
      <c r="J468" s="8" t="s">
        <v>649</v>
      </c>
      <c r="K468" s="6">
        <f>IFERROR(IF(INDEX([4]DME!$K$2:$K$34,MATCH($D468,[4]DME!$D$2:$D$34,0))="","",INDEX([4]DME!$K$2:$K$34,MATCH($D468,[4]DME!$D$2:$D$34,0))),"")</f>
        <v>46300</v>
      </c>
      <c t="str" r="L468" s="11">
        <f ca="1">IF($O468="","",$O468-TODAY())</f>
        <v/>
      </c>
      <c t="str" r="M468" s="11">
        <f ca="1">IF(AND(TRIM($A468)="Finalized",$K468&lt;&gt;""),"",IF($C468="","",$C468+365-TODAY()))</f>
        <v/>
      </c>
      <c t="str" r="N468" s="11">
        <f ca="1">IF(AND(TRIM($A468)="Finalized",$K468&lt;&gt;""),"",IF($C468="","",$C468+120-TODAY()))</f>
        <v/>
      </c>
      <c t="str" r="O468" s="9">
        <f>IF(AND(TRIM($A468)="Finalized",$K468&lt;&gt;""),"",DATE(2027,4,14))</f>
        <v/>
      </c>
      <c r="P468" s="8" t="s">
        <v>73</v>
      </c>
      <c r="Q468" s="8" t="s">
        <v>739</v>
      </c>
      <c r="R468" s="8" t="s">
        <v>73</v>
      </c>
      <c r="S468" s="8" t="s">
        <v>74</v>
      </c>
      <c r="T468" s="8" t="s">
        <v>208</v>
      </c>
      <c r="U468" s="8" t="s">
        <v>74</v>
      </c>
      <c r="V468" s="8" t="s">
        <v>339</v>
      </c>
      <c r="W468" s="8" t="s">
        <v>89</v>
      </c>
      <c r="X468" s="8" t="s">
        <v>232</v>
      </c>
      <c r="Y468" s="8"/>
      <c r="Z468" s="8"/>
      <c r="AA468" s="8" t="s">
        <v>77</v>
      </c>
      <c r="AB468" s="10">
        <v>6392.96</v>
      </c>
      <c r="AC468" s="10">
        <v>0</v>
      </c>
      <c r="AD468" s="10">
        <v>0</v>
      </c>
      <c r="AE468" s="9">
        <v>46148</v>
      </c>
      <c r="AF468" s="10">
        <v>6392.96</v>
      </c>
      <c r="AG468" s="7">
        <v>116</v>
      </c>
      <c r="AH468" s="8" t="s">
        <v>324</v>
      </c>
      <c r="AI468" s="8"/>
      <c r="AJ468" s="8"/>
      <c r="AK468" s="8"/>
      <c r="AL468" s="7"/>
      <c r="AM468" s="8" t="s">
        <v>806</v>
      </c>
      <c r="AN468" s="8" t="s">
        <v>807</v>
      </c>
      <c r="AO468" s="9">
        <v>46143</v>
      </c>
    </row>
    <row r="469" spans="1:41" x14ac:dyDescent="0.25">
      <c r="A469" s="5" t="str">
        <f>IFERROR(IF(INDEX([5]BH!$A$2:$A$33,MATCH($D469,[5]BH!$D$2:$D$33,0))="","",INDEX([5]BH!$A$2:$A$33,MATCH($D469,[5]BH!$D$2:$D$33,0))),"")</f>
        <v>Finalized</v>
      </c>
      <c r="B469" s="5" t="str">
        <f>IFERROR(IF(INDEX([5]BH!$B$2:$B$33,MATCH($D469,[5]BH!$D$2:$D$33,0))="","",INDEX([5]BH!$B$2:$B$33,MATCH($D469,[5]BH!$D$2:$D$33,0))),"")</f>
        <v>PAID - Edited rendering and referring provider, and resubmitted</v>
      </c>
      <c r="C469" s="6">
        <f>IFERROR(IF(INDEX([5]BH!$C$2:$C$33,MATCH($D469,[5]BH!$D$2:$D$33,0))="","",INDEX([5]BH!$C$2:$C$33,MATCH($D469,[5]BH!$D$2:$D$33,0))),"")</f>
        <v>46266</v>
      </c>
      <c r="D469" s="7">
        <v>563732700</v>
      </c>
      <c r="E469" s="8" t="s">
        <v>885</v>
      </c>
      <c r="F469" s="9">
        <v>46143</v>
      </c>
      <c r="G469" s="8" t="s">
        <v>171</v>
      </c>
      <c r="H469" s="8" t="s">
        <v>171</v>
      </c>
      <c r="I469" s="8" t="s">
        <v>332</v>
      </c>
      <c r="J469" s="8" t="s">
        <v>195</v>
      </c>
      <c r="K469" s="6">
        <f>IFERROR(IF(INDEX([5]BH!$K$2:$K$33,MATCH($D469,[5]BH!$D$2:$D$33,0))="","",INDEX([5]BH!$K$2:$K$33,MATCH($D469,[5]BH!$D$2:$D$33,0))),"")</f>
        <v>46276</v>
      </c>
      <c t="str" r="L469" s="11">
        <f ca="1">IF($O469="","",$O469-TODAY())</f>
        <v/>
      </c>
      <c t="str" r="M469" s="11">
        <f ca="1">IF(AND(TRIM($A469)="Finalized",$K469&lt;&gt;""),"",IF($C469="","",$C469+365-TODAY()))</f>
        <v/>
      </c>
      <c t="str" r="N469" s="11">
        <f ca="1">IF(AND(TRIM($A469)="Finalized",$K469&lt;&gt;""),"",IF($C469="","",$C469+120-TODAY()))</f>
        <v/>
      </c>
      <c t="str" r="O469" s="9">
        <f>IF(AND(TRIM($A469)="Finalized",$K469&lt;&gt;""),"",DATE(2027,5,1))</f>
        <v/>
      </c>
      <c r="P469" s="8" t="s">
        <v>73</v>
      </c>
      <c r="Q469" s="8" t="s">
        <v>739</v>
      </c>
      <c r="R469" s="8" t="s">
        <v>73</v>
      </c>
      <c r="S469" s="8" t="s">
        <v>74</v>
      </c>
      <c r="T469" s="8" t="s">
        <v>208</v>
      </c>
      <c r="U469" s="8" t="s">
        <v>74</v>
      </c>
      <c r="V469" s="8" t="s">
        <v>365</v>
      </c>
      <c r="W469" s="8" t="s">
        <v>118</v>
      </c>
      <c r="X469" s="8"/>
      <c r="Y469" s="8"/>
      <c r="Z469" s="8"/>
      <c r="AA469" s="8" t="s">
        <v>77</v>
      </c>
      <c r="AB469" s="10">
        <v>1426.25</v>
      </c>
      <c r="AC469" s="10">
        <v>0</v>
      </c>
      <c r="AD469" s="10">
        <v>0</v>
      </c>
      <c r="AE469" s="9"/>
      <c r="AF469" s="10">
        <v>1426.25</v>
      </c>
      <c r="AG469" s="7">
        <v>99</v>
      </c>
      <c r="AH469" s="8" t="s">
        <v>276</v>
      </c>
      <c r="AI469" s="8"/>
      <c r="AJ469" s="8"/>
      <c r="AK469" s="8"/>
      <c r="AL469" s="7"/>
      <c r="AM469" s="8" t="s">
        <v>267</v>
      </c>
      <c r="AN469" s="8" t="s">
        <v>158</v>
      </c>
      <c r="AO469" s="9">
        <v>46182</v>
      </c>
    </row>
    <row r="470" spans="1:41" x14ac:dyDescent="0.25">
      <c r="A470" s="5" t="str">
        <f>IFERROR(IF(INDEX([5]BH!$A$2:$A$33,MATCH($D470,[5]BH!$D$2:$D$33,0))="","",INDEX([5]BH!$A$2:$A$33,MATCH($D470,[5]BH!$D$2:$D$33,0))),"")</f>
        <v>Finalized</v>
      </c>
      <c r="B470" s="5" t="str">
        <f>IFERROR(IF(INDEX([5]BH!$B$2:$B$33,MATCH($D470,[5]BH!$D$2:$D$33,0))="","",INDEX([5]BH!$B$2:$B$33,MATCH($D470,[5]BH!$D$2:$D$33,0))),"")</f>
        <v>PAID - secondary - Added COB info and crossover electronically</v>
      </c>
      <c r="C470" s="6">
        <f>IFERROR(IF(INDEX([5]BH!$C$2:$C$33,MATCH($D470,[5]BH!$D$2:$D$33,0))="","",INDEX([5]BH!$C$2:$C$33,MATCH($D470,[5]BH!$D$2:$D$33,0))),"")</f>
        <v>46196</v>
      </c>
      <c r="D470" s="7">
        <v>558645693</v>
      </c>
      <c r="E470" s="8" t="s">
        <v>877</v>
      </c>
      <c r="F470" s="9">
        <v>46149</v>
      </c>
      <c r="G470" s="8" t="s">
        <v>123</v>
      </c>
      <c r="H470" s="8" t="s">
        <v>171</v>
      </c>
      <c r="I470" s="8" t="s">
        <v>123</v>
      </c>
      <c r="J470" s="8" t="s">
        <v>195</v>
      </c>
      <c r="K470" s="6">
        <f>IFERROR(IF(INDEX([5]BH!$K$2:$K$33,MATCH($D470,[5]BH!$D$2:$D$33,0))="","",INDEX([5]BH!$K$2:$K$33,MATCH($D470,[5]BH!$D$2:$D$33,0))),"")</f>
        <v>46252</v>
      </c>
      <c t="str" r="L470" s="11">
        <f ca="1">IF($O470="","",$O470-TODAY())</f>
        <v/>
      </c>
      <c t="str" r="M470" s="11">
        <f ca="1">IF(AND(TRIM($A470)="Finalized",$K470&lt;&gt;""),"",IF($C470="","",$C470+365-TODAY()))</f>
        <v/>
      </c>
      <c t="str" r="N470" s="11">
        <f ca="1">IF(AND(TRIM($A470)="Finalized",$K470&lt;&gt;""),"",IF($C470="","",$C470+120-TODAY()))</f>
        <v/>
      </c>
      <c t="str" r="O470" s="9">
        <f>IF(AND(TRIM($A470)="Finalized",$K470&lt;&gt;""),"",DATE(2027,5,7))</f>
        <v/>
      </c>
      <c r="P470" s="8" t="s">
        <v>73</v>
      </c>
      <c r="Q470" s="8" t="s">
        <v>739</v>
      </c>
      <c r="R470" s="8" t="s">
        <v>73</v>
      </c>
      <c r="S470" s="8" t="s">
        <v>74</v>
      </c>
      <c r="T470" s="8" t="s">
        <v>208</v>
      </c>
      <c r="U470" s="8" t="s">
        <v>74</v>
      </c>
      <c r="V470" s="8" t="s">
        <v>365</v>
      </c>
      <c r="W470" s="8" t="s">
        <v>118</v>
      </c>
      <c r="X470" s="8"/>
      <c r="Y470" s="8"/>
      <c r="Z470" s="8"/>
      <c r="AA470" s="8" t="s">
        <v>77</v>
      </c>
      <c r="AB470" s="10">
        <v>1426.25</v>
      </c>
      <c r="AC470" s="10">
        <v>1212.77</v>
      </c>
      <c r="AD470" s="10">
        <v>170.09</v>
      </c>
      <c r="AE470" s="9">
        <v>46196</v>
      </c>
      <c r="AF470" s="10">
        <v>43.39</v>
      </c>
      <c r="AG470" s="7">
        <v>93</v>
      </c>
      <c r="AH470" s="8" t="s">
        <v>119</v>
      </c>
      <c r="AI470" s="8"/>
      <c r="AJ470" s="8"/>
      <c r="AK470" s="8"/>
      <c r="AL470" s="7">
        <v>564131691</v>
      </c>
      <c r="AM470" s="8" t="s">
        <v>120</v>
      </c>
      <c r="AN470" s="8" t="s">
        <v>132</v>
      </c>
      <c r="AO470" s="9">
        <v>46181</v>
      </c>
    </row>
    <row r="471" spans="1:41" x14ac:dyDescent="0.25">
      <c r="A471" s="5" t="str">
        <f>IFERROR(IF(INDEX([5]BH!$A$2:$A$33,MATCH($D471,[5]BH!$D$2:$D$33,0))="","",INDEX([5]BH!$A$2:$A$33,MATCH($D471,[5]BH!$D$2:$D$33,0))),"")</f>
        <v>Finalized</v>
      </c>
      <c r="B471" s="5" t="str">
        <f>IFERROR(IF(INDEX([5]BH!$B$2:$B$33,MATCH($D471,[5]BH!$D$2:$D$33,0))="","",INDEX([5]BH!$B$2:$B$33,MATCH($D471,[5]BH!$D$2:$D$33,0))),"")</f>
        <v>secondary - adjusted balance - Termed date 04/30/2026</v>
      </c>
      <c r="C471" s="6">
        <f>IFERROR(IF(INDEX([5]BH!$C$2:$C$33,MATCH($D471,[5]BH!$D$2:$D$33,0))="","",INDEX([5]BH!$C$2:$C$33,MATCH($D471,[5]BH!$D$2:$D$33,0))),"")</f>
        <v>46196</v>
      </c>
      <c r="D471" s="7">
        <v>558777279</v>
      </c>
      <c r="E471" s="8" t="s">
        <v>870</v>
      </c>
      <c r="F471" s="9">
        <v>46150</v>
      </c>
      <c r="G471" s="8" t="s">
        <v>123</v>
      </c>
      <c r="H471" s="8" t="s">
        <v>171</v>
      </c>
      <c r="I471" s="8" t="s">
        <v>123</v>
      </c>
      <c r="J471" s="8" t="s">
        <v>220</v>
      </c>
      <c r="K471" s="6">
        <f>IFERROR(IF(INDEX([5]BH!$K$2:$K$33,MATCH($D471,[5]BH!$D$2:$D$33,0))="","",INDEX([5]BH!$K$2:$K$33,MATCH($D471,[5]BH!$D$2:$D$33,0))),"")</f>
        <v>46252</v>
      </c>
      <c t="str" r="L471" s="11">
        <f ca="1">IF($O471="","",$O471-TODAY())</f>
        <v/>
      </c>
      <c t="str" r="M471" s="11">
        <f ca="1">IF(AND(TRIM($A471)="Finalized",$K471&lt;&gt;""),"",IF($C471="","",$C471+365-TODAY()))</f>
        <v/>
      </c>
      <c t="str" r="N471" s="11">
        <f ca="1">IF(AND(TRIM($A471)="Finalized",$K471&lt;&gt;""),"",IF($C471="","",$C471+120-TODAY()))</f>
        <v/>
      </c>
      <c t="str" r="O471" s="9">
        <f>IF(AND(TRIM($A471)="Finalized",$K471&lt;&gt;""),"",DATE(2027,5,8))</f>
        <v/>
      </c>
      <c r="P471" s="8" t="s">
        <v>73</v>
      </c>
      <c r="Q471" s="8" t="s">
        <v>739</v>
      </c>
      <c r="R471" s="8" t="s">
        <v>73</v>
      </c>
      <c r="S471" s="8" t="s">
        <v>74</v>
      </c>
      <c r="T471" s="8" t="s">
        <v>208</v>
      </c>
      <c r="U471" s="8" t="s">
        <v>74</v>
      </c>
      <c r="V471" s="8" t="s">
        <v>365</v>
      </c>
      <c r="W471" s="8" t="s">
        <v>118</v>
      </c>
      <c r="X471" s="8"/>
      <c r="Y471" s="8"/>
      <c r="Z471" s="8"/>
      <c r="AA471" s="8" t="s">
        <v>77</v>
      </c>
      <c r="AB471" s="10">
        <v>1372.91</v>
      </c>
      <c r="AC471" s="10">
        <v>1173.9000000000001</v>
      </c>
      <c r="AD471" s="10">
        <v>158.56</v>
      </c>
      <c r="AE471" s="9">
        <v>46196</v>
      </c>
      <c r="AF471" s="10">
        <v>40.450000000000003</v>
      </c>
      <c r="AG471" s="7">
        <v>92</v>
      </c>
      <c r="AH471" s="8" t="s">
        <v>119</v>
      </c>
      <c r="AI471" s="8"/>
      <c r="AJ471" s="8"/>
      <c r="AK471" s="8"/>
      <c r="AL471" s="7">
        <v>564131697</v>
      </c>
      <c r="AM471" s="8" t="s">
        <v>126</v>
      </c>
      <c r="AN471" s="8" t="s">
        <v>132</v>
      </c>
      <c r="AO471" s="9">
        <v>46182</v>
      </c>
    </row>
    <row r="472" spans="1:41" x14ac:dyDescent="0.25">
      <c r="A472" s="5" t="str">
        <f>IFERROR(IF(INDEX([5]US!$A$2:$A$19,MATCH($D472,[5]US!$D$2:$D$19,0))="","",INDEX([5]US!$A$2:$A$19,MATCH($D472,[5]US!$D$2:$D$19,0))),"")</f>
        <v>Finalized</v>
      </c>
      <c r="B472" s="5" t="str">
        <f>IFERROR(IF(INDEX([5]US!$B$2:$B$19,MATCH($D472,[5]US!$D$2:$D$19,0))="","",INDEX([5]US!$B$2:$B$19,MATCH($D472,[5]US!$D$2:$D$19,0))),"")</f>
        <v>Secondary - PAID</v>
      </c>
      <c r="C472" s="6">
        <f>IFERROR(IF(INDEX([5]US!$C$2:$C$19,MATCH($D472,[5]US!$D$2:$D$19,0))="","",INDEX([5]US!$C$2:$C$19,MATCH($D472,[5]US!$D$2:$D$19,0))),"")</f>
        <v>46245</v>
      </c>
      <c r="D472" s="7">
        <v>560072534</v>
      </c>
      <c r="E472" s="8" t="s">
        <v>903</v>
      </c>
      <c r="F472" s="9">
        <v>46155</v>
      </c>
      <c r="G472" s="8" t="s">
        <v>405</v>
      </c>
      <c r="H472" s="8" t="s">
        <v>171</v>
      </c>
      <c r="I472" s="8" t="s">
        <v>405</v>
      </c>
      <c r="J472" s="8" t="s">
        <v>860</v>
      </c>
      <c r="K472" s="6">
        <f>IFERROR(IF(INDEX([5]US!$K$2:$K$19,MATCH($D472,[5]US!$D$2:$D$19,0))="","",INDEX([5]US!$K$2:$K$19,MATCH($D472,[5]US!$D$2:$D$19,0))),"")</f>
        <v>46258</v>
      </c>
      <c t="str" r="L472" s="11">
        <f ca="1">IF($O472="","",$O472-TODAY())</f>
        <v/>
      </c>
      <c t="str" r="M472" s="11">
        <f ca="1">IF(AND(TRIM($A472)="Finalized",$K472&lt;&gt;""),"",IF($C472="","",$C472+365-TODAY()))</f>
        <v/>
      </c>
      <c t="str" r="N472" s="11">
        <f ca="1">IF(AND(TRIM($A472)="Finalized",$K472&lt;&gt;""),"",IF($C472="","",$C472+120-TODAY()))</f>
        <v/>
      </c>
      <c t="str" r="O472" s="9">
        <f>IF(AND(TRIM($A472)="Finalized",$K472&lt;&gt;""),"",DATE(2027,5,13))</f>
        <v/>
      </c>
      <c r="P472" s="8" t="s">
        <v>73</v>
      </c>
      <c r="Q472" s="8" t="s">
        <v>739</v>
      </c>
      <c r="R472" s="8" t="s">
        <v>73</v>
      </c>
      <c r="S472" s="8" t="s">
        <v>74</v>
      </c>
      <c r="T472" s="8" t="s">
        <v>208</v>
      </c>
      <c r="U472" s="8" t="s">
        <v>74</v>
      </c>
      <c r="V472" s="8" t="s">
        <v>365</v>
      </c>
      <c r="W472" s="8" t="s">
        <v>129</v>
      </c>
      <c r="X472" s="8"/>
      <c r="Y472" s="8"/>
      <c r="Z472" s="8"/>
      <c r="AA472" s="8" t="s">
        <v>77</v>
      </c>
      <c r="AB472" s="10">
        <v>3822.49</v>
      </c>
      <c r="AC472" s="10">
        <v>3379.94</v>
      </c>
      <c r="AD472" s="10">
        <v>347.58</v>
      </c>
      <c r="AE472" s="9">
        <v>46181</v>
      </c>
      <c r="AF472" s="10">
        <v>94.97</v>
      </c>
      <c r="AG472" s="7">
        <v>87</v>
      </c>
      <c r="AH472" s="8" t="s">
        <v>137</v>
      </c>
      <c r="AI472" s="8"/>
      <c r="AJ472" s="8"/>
      <c r="AK472" s="8"/>
      <c r="AL472" s="7">
        <v>563214016</v>
      </c>
      <c r="AM472" s="8" t="s">
        <v>165</v>
      </c>
      <c r="AN472" s="8" t="s">
        <v>95</v>
      </c>
      <c r="AO472" s="9">
        <v>46164</v>
      </c>
    </row>
    <row r="473" spans="1:41" x14ac:dyDescent="0.25">
      <c r="A473" s="5" t="str">
        <f>IFERROR(IF(INDEX([5]DME!$A$2:$A$35,MATCH($D473,[5]DME!$D$2:$D$35,0))="","",INDEX([5]DME!$A$2:$A$35,MATCH($D473,[5]DME!$D$2:$D$35,0))),"")</f>
        <v>Finalized</v>
      </c>
      <c r="B473" s="5" t="str">
        <f>IFERROR(IF(INDEX([5]DME!$B$2:$B$35,MATCH($D473,[5]DME!$D$2:$D$35,0))="","",INDEX([5]DME!$B$2:$B$35,MATCH($D473,[5]DME!$D$2:$D$35,0))),"")</f>
        <v xml:space="preserve">Surprise Reems - Billed to PT - ABN signed - No auth found - Auth missing denial </v>
      </c>
      <c r="C473" s="6">
        <f>IFERROR(IF(INDEX([5]DME!$C$2:$C$35,MATCH($D473,[5]DME!$D$2:$D$35,0))="","",INDEX([5]DME!$C$2:$C$35,MATCH($D473,[5]DME!$D$2:$D$35,0))),"")</f>
        <v>46247</v>
      </c>
      <c r="D473" s="7">
        <v>564572924</v>
      </c>
      <c r="E473" s="8" t="s">
        <v>906</v>
      </c>
      <c r="F473" s="9">
        <v>46156</v>
      </c>
      <c r="G473" s="8" t="s">
        <v>437</v>
      </c>
      <c r="H473" s="8" t="s">
        <v>437</v>
      </c>
      <c r="I473" s="8" t="s">
        <v>907</v>
      </c>
      <c r="J473" s="8" t="s">
        <v>908</v>
      </c>
      <c r="K473" s="6">
        <f>IFERROR(IF(INDEX([5]DME!$K$2:$K$35,MATCH($D473,[5]DME!$D$2:$D$35,0))="","",INDEX([5]DME!$K$2:$K$35,MATCH($D473,[5]DME!$D$2:$D$35,0))),"")</f>
        <v>46254</v>
      </c>
      <c t="str" r="L473" s="11">
        <f ca="1">IF($O473="","",$O473-TODAY())</f>
        <v/>
      </c>
      <c t="str" r="M473" s="11">
        <f ca="1">IF(AND(TRIM($A473)="Finalized",$K473&lt;&gt;""),"",IF($C473="","",$C473+365-TODAY()))</f>
        <v/>
      </c>
      <c t="str" r="N473" s="11">
        <f ca="1">IF(AND(TRIM($A473)="Finalized",$K473&lt;&gt;""),"",IF($C473="","",$C473+120-TODAY()))</f>
        <v/>
      </c>
      <c t="str" r="O473" s="9">
        <f>IF(AND(TRIM($A473)="Finalized",$K473&lt;&gt;""),"",DATE(2027,5,14))</f>
        <v/>
      </c>
      <c r="P473" s="8" t="s">
        <v>73</v>
      </c>
      <c r="Q473" s="8" t="s">
        <v>739</v>
      </c>
      <c r="R473" s="8" t="s">
        <v>73</v>
      </c>
      <c r="S473" s="8" t="s">
        <v>74</v>
      </c>
      <c r="T473" s="8" t="s">
        <v>208</v>
      </c>
      <c r="U473" s="8" t="s">
        <v>74</v>
      </c>
      <c r="V473" s="8" t="s">
        <v>365</v>
      </c>
      <c r="W473" s="8" t="s">
        <v>89</v>
      </c>
      <c r="X473" s="8" t="s">
        <v>232</v>
      </c>
      <c r="Y473" s="8" t="s">
        <v>797</v>
      </c>
      <c r="Z473" s="8"/>
      <c r="AA473" s="8" t="s">
        <v>77</v>
      </c>
      <c r="AB473" s="10">
        <v>9040.2199999999993</v>
      </c>
      <c r="AC473" s="10">
        <v>0</v>
      </c>
      <c r="AD473" s="10">
        <v>0</v>
      </c>
      <c r="AE473" s="9"/>
      <c r="AF473" s="10">
        <v>9040.2199999999993</v>
      </c>
      <c r="AG473" s="7">
        <v>86</v>
      </c>
      <c r="AH473" s="8" t="s">
        <v>909</v>
      </c>
      <c r="AI473" s="8" t="s">
        <v>910</v>
      </c>
      <c r="AJ473" s="8"/>
      <c r="AK473" s="8"/>
      <c r="AL473" s="7"/>
      <c r="AM473" s="8" t="s">
        <v>745</v>
      </c>
      <c r="AN473" s="8" t="s">
        <v>746</v>
      </c>
      <c r="AO473" s="9">
        <v>46210</v>
      </c>
    </row>
    <row r="474" spans="1:41" x14ac:dyDescent="0.25">
      <c r="A474" s="5" t="str">
        <f>IFERROR(IF(INDEX([5]DME!$A$2:$A$35,MATCH($D474,[5]DME!$D$2:$D$35,0))="","",INDEX([5]DME!$A$2:$A$35,MATCH($D474,[5]DME!$D$2:$D$35,0))),"")</f>
        <v>Finalized</v>
      </c>
      <c r="B474" s="5" t="str">
        <f>IFERROR(IF(INDEX([5]DME!$B$2:$B$35,MATCH($D474,[5]DME!$D$2:$D$35,0))="","",INDEX([5]DME!$B$2:$B$35,MATCH($D474,[5]DME!$D$2:$D$35,0))),"")</f>
        <v>Goodyear - Adjusted balance - No auth on file</v>
      </c>
      <c r="C474" s="6">
        <f>IFERROR(IF(INDEX([5]DME!$C$2:$C$35,MATCH($D474,[5]DME!$D$2:$D$35,0))="","",INDEX([5]DME!$C$2:$C$35,MATCH($D474,[5]DME!$D$2:$D$35,0))),"")</f>
        <v>46219</v>
      </c>
      <c r="D474" s="7">
        <v>559739970</v>
      </c>
      <c r="E474" s="8" t="s">
        <v>915</v>
      </c>
      <c r="F474" s="9">
        <v>46160</v>
      </c>
      <c r="G474" s="8" t="s">
        <v>437</v>
      </c>
      <c r="H474" s="8" t="s">
        <v>437</v>
      </c>
      <c r="I474" s="8" t="s">
        <v>69</v>
      </c>
      <c r="J474" s="8" t="s">
        <v>649</v>
      </c>
      <c r="K474" s="6">
        <f>IFERROR(IF(INDEX([5]DME!$K$2:$K$35,MATCH($D474,[5]DME!$D$2:$D$35,0))="","",INDEX([5]DME!$K$2:$K$35,MATCH($D474,[5]DME!$D$2:$D$35,0))),"")</f>
        <v>46255</v>
      </c>
      <c t="str" r="L474" s="11">
        <f ca="1">IF($O474="","",$O474-TODAY())</f>
        <v/>
      </c>
      <c t="str" r="M474" s="11">
        <f ca="1">IF(AND(TRIM($A474)="Finalized",$K474&lt;&gt;""),"",IF($C474="","",$C474+365-TODAY()))</f>
        <v/>
      </c>
      <c t="str" r="N474" s="11">
        <f ca="1">IF(AND(TRIM($A474)="Finalized",$K474&lt;&gt;""),"",IF($C474="","",$C474+120-TODAY()))</f>
        <v/>
      </c>
      <c t="str" r="O474" s="9">
        <f>IF(AND(TRIM($A474)="Finalized",$K474&lt;&gt;""),"",DATE(2027,5,18))</f>
        <v/>
      </c>
      <c r="P474" s="8" t="s">
        <v>73</v>
      </c>
      <c r="Q474" s="8" t="s">
        <v>739</v>
      </c>
      <c r="R474" s="8" t="s">
        <v>73</v>
      </c>
      <c r="S474" s="8" t="s">
        <v>74</v>
      </c>
      <c r="T474" s="8" t="s">
        <v>208</v>
      </c>
      <c r="U474" s="8" t="s">
        <v>74</v>
      </c>
      <c r="V474" s="8" t="s">
        <v>365</v>
      </c>
      <c r="W474" s="8" t="s">
        <v>89</v>
      </c>
      <c r="X474" s="8" t="s">
        <v>232</v>
      </c>
      <c r="Y474" s="8"/>
      <c r="Z474" s="8"/>
      <c r="AA474" s="8" t="s">
        <v>77</v>
      </c>
      <c r="AB474" s="10">
        <v>6392.96</v>
      </c>
      <c r="AC474" s="10">
        <v>0</v>
      </c>
      <c r="AD474" s="10">
        <v>0</v>
      </c>
      <c r="AE474" s="9">
        <v>46219</v>
      </c>
      <c r="AF474" s="10">
        <v>6392.96</v>
      </c>
      <c r="AG474" s="7">
        <v>82</v>
      </c>
      <c r="AH474" s="8" t="s">
        <v>324</v>
      </c>
      <c r="AI474" s="8"/>
      <c r="AJ474" s="8"/>
      <c r="AK474" s="8"/>
      <c r="AL474" s="7"/>
      <c r="AM474" s="8" t="s">
        <v>916</v>
      </c>
      <c r="AN474" s="8" t="s">
        <v>917</v>
      </c>
      <c r="AO474" s="9">
        <v>46162</v>
      </c>
    </row>
    <row r="475" spans="1:41" x14ac:dyDescent="0.25">
      <c r="A475" s="5" t="str">
        <f>IFERROR(IF(INDEX([5]DME!$A$2:$A$35,MATCH($D475,[5]DME!$D$2:$D$35,0))="","",INDEX([5]DME!$A$2:$A$35,MATCH($D475,[5]DME!$D$2:$D$35,0))),"")</f>
        <v>Finalized</v>
      </c>
      <c r="B475" s="5" t="str">
        <f>IFERROR(IF(INDEX([5]DME!$B$2:$B$35,MATCH($D475,[5]DME!$D$2:$D$35,0))="","",INDEX([5]DME!$B$2:$B$35,MATCH($D475,[5]DME!$D$2:$D$35,0))),"")</f>
        <v>Peoria - Adjusted balance - No auth on file</v>
      </c>
      <c r="C475" s="6">
        <f>IFERROR(IF(INDEX([5]DME!$C$2:$C$35,MATCH($D475,[5]DME!$D$2:$D$35,0))="","",INDEX([5]DME!$C$2:$C$35,MATCH($D475,[5]DME!$D$2:$D$35,0))),"")</f>
        <v>46246</v>
      </c>
      <c r="D475" s="7">
        <v>559735530</v>
      </c>
      <c r="E475" s="8" t="s">
        <v>918</v>
      </c>
      <c r="F475" s="9">
        <v>46161</v>
      </c>
      <c r="G475" s="8" t="s">
        <v>437</v>
      </c>
      <c r="H475" s="8" t="s">
        <v>437</v>
      </c>
      <c r="I475" s="8" t="s">
        <v>750</v>
      </c>
      <c r="J475" s="8" t="s">
        <v>649</v>
      </c>
      <c r="K475" s="6">
        <f>IFERROR(IF(INDEX([5]DME!$K$2:$K$35,MATCH($D475,[5]DME!$D$2:$D$35,0))="","",INDEX([5]DME!$K$2:$K$35,MATCH($D475,[5]DME!$D$2:$D$35,0))),"")</f>
        <v>46255</v>
      </c>
      <c t="str" r="L475" s="11">
        <f ca="1">IF($O475="","",$O475-TODAY())</f>
        <v/>
      </c>
      <c t="str" r="M475" s="11">
        <f ca="1">IF(AND(TRIM($A475)="Finalized",$K475&lt;&gt;""),"",IF($C475="","",$C475+365-TODAY()))</f>
        <v/>
      </c>
      <c t="str" r="N475" s="11">
        <f ca="1">IF(AND(TRIM($A475)="Finalized",$K475&lt;&gt;""),"",IF($C475="","",$C475+120-TODAY()))</f>
        <v/>
      </c>
      <c t="str" r="O475" s="9">
        <f>IF(AND(TRIM($A475)="Finalized",$K475&lt;&gt;""),"",DATE(2027,5,19))</f>
        <v/>
      </c>
      <c r="P475" s="8" t="s">
        <v>73</v>
      </c>
      <c r="Q475" s="8" t="s">
        <v>739</v>
      </c>
      <c r="R475" s="8" t="s">
        <v>73</v>
      </c>
      <c r="S475" s="8" t="s">
        <v>74</v>
      </c>
      <c r="T475" s="8" t="s">
        <v>208</v>
      </c>
      <c r="U475" s="8" t="s">
        <v>74</v>
      </c>
      <c r="V475" s="8" t="s">
        <v>365</v>
      </c>
      <c r="W475" s="8" t="s">
        <v>89</v>
      </c>
      <c r="X475" s="8" t="s">
        <v>232</v>
      </c>
      <c r="Y475" s="8"/>
      <c r="Z475" s="8"/>
      <c r="AA475" s="8" t="s">
        <v>77</v>
      </c>
      <c r="AB475" s="10">
        <v>6392.96</v>
      </c>
      <c r="AC475" s="10">
        <v>0</v>
      </c>
      <c r="AD475" s="10">
        <v>0</v>
      </c>
      <c r="AE475" s="9"/>
      <c r="AF475" s="10">
        <v>6392.96</v>
      </c>
      <c r="AG475" s="7">
        <v>81</v>
      </c>
      <c r="AH475" s="8" t="s">
        <v>215</v>
      </c>
      <c r="AI475" s="8" t="s">
        <v>145</v>
      </c>
      <c r="AJ475" s="8" t="s">
        <v>271</v>
      </c>
      <c r="AK475" s="8"/>
      <c r="AL475" s="7"/>
      <c r="AM475" s="8" t="s">
        <v>742</v>
      </c>
      <c r="AN475" s="8" t="s">
        <v>743</v>
      </c>
      <c r="AO475" s="9">
        <v>46183</v>
      </c>
    </row>
    <row r="476" spans="1:41" x14ac:dyDescent="0.25">
      <c r="A476" s="5" t="str">
        <f>IFERROR(IF(INDEX([5]DME!$A$2:$A$35,MATCH($D476,[5]DME!$D$2:$D$35,0))="","",INDEX([5]DME!$A$2:$A$35,MATCH($D476,[5]DME!$D$2:$D$35,0))),"")</f>
        <v>Finalized</v>
      </c>
      <c r="B476" s="5" t="str">
        <f>IFERROR(IF(INDEX([5]DME!$B$2:$B$35,MATCH($D476,[5]DME!$D$2:$D$35,0))="","",INDEX([5]DME!$B$2:$B$35,MATCH($D476,[5]DME!$D$2:$D$35,0))),"")</f>
        <v>PAID - Edited ordering provider, and resubmitted</v>
      </c>
      <c r="C476" s="6">
        <f>IFERROR(IF(INDEX([5]DME!$C$2:$C$35,MATCH($D476,[5]DME!$D$2:$D$35,0))="","",INDEX([5]DME!$C$2:$C$35,MATCH($D476,[5]DME!$D$2:$D$35,0))),"")</f>
        <v>46268</v>
      </c>
      <c r="D476" s="7">
        <v>561864733</v>
      </c>
      <c r="E476" s="8" t="s">
        <v>918</v>
      </c>
      <c r="F476" s="9">
        <v>46171</v>
      </c>
      <c r="G476" s="8" t="s">
        <v>437</v>
      </c>
      <c r="H476" s="8" t="s">
        <v>437</v>
      </c>
      <c r="I476" s="8" t="s">
        <v>750</v>
      </c>
      <c r="J476" s="8" t="s">
        <v>382</v>
      </c>
      <c r="K476" s="6">
        <f>IFERROR(IF(INDEX([5]DME!$K$2:$K$35,MATCH($D476,[5]DME!$D$2:$D$35,0))="","",INDEX([5]DME!$K$2:$K$35,MATCH($D476,[5]DME!$D$2:$D$35,0))),"")</f>
        <v>46276</v>
      </c>
      <c t="str" r="L476" s="11">
        <f ca="1">IF($O476="","",$O476-TODAY())</f>
        <v/>
      </c>
      <c t="str" r="M476" s="11">
        <f ca="1">IF(AND(TRIM($A476)="Finalized",$K476&lt;&gt;""),"",IF($C476="","",$C476+365-TODAY()))</f>
        <v/>
      </c>
      <c t="str" r="N476" s="11">
        <f ca="1">IF(AND(TRIM($A476)="Finalized",$K476&lt;&gt;""),"",IF($C476="","",$C476+120-TODAY()))</f>
        <v/>
      </c>
      <c t="str" r="O476" s="9">
        <f>IF(AND(TRIM($A476)="Finalized",$K476&lt;&gt;""),"",DATE(2027,5,29))</f>
        <v/>
      </c>
      <c r="P476" s="8" t="s">
        <v>73</v>
      </c>
      <c r="Q476" s="8" t="s">
        <v>739</v>
      </c>
      <c r="R476" s="8" t="s">
        <v>73</v>
      </c>
      <c r="S476" s="8" t="s">
        <v>74</v>
      </c>
      <c r="T476" s="8" t="s">
        <v>208</v>
      </c>
      <c r="U476" s="8" t="s">
        <v>74</v>
      </c>
      <c r="V476" s="8" t="s">
        <v>365</v>
      </c>
      <c r="W476" s="8" t="s">
        <v>89</v>
      </c>
      <c r="X476" s="8" t="s">
        <v>244</v>
      </c>
      <c r="Y476" s="8"/>
      <c r="Z476" s="8"/>
      <c r="AA476" s="8" t="s">
        <v>91</v>
      </c>
      <c r="AB476" s="10">
        <v>36353.800000000003</v>
      </c>
      <c r="AC476" s="10">
        <v>0</v>
      </c>
      <c r="AD476" s="10">
        <v>0</v>
      </c>
      <c r="AE476" s="9"/>
      <c r="AF476" s="10">
        <v>36353.800000000003</v>
      </c>
      <c r="AG476" s="7">
        <v>71</v>
      </c>
      <c r="AH476" s="8" t="s">
        <v>92</v>
      </c>
      <c r="AI476" s="8" t="s">
        <v>145</v>
      </c>
      <c r="AJ476" s="8" t="s">
        <v>233</v>
      </c>
      <c r="AK476" s="8" t="s">
        <v>927</v>
      </c>
      <c r="AL476" s="7"/>
      <c r="AM476" s="8" t="s">
        <v>742</v>
      </c>
      <c r="AN476" s="8" t="s">
        <v>743</v>
      </c>
      <c r="AO476" s="9">
        <v>46183</v>
      </c>
    </row>
    <row r="477" spans="1:41" x14ac:dyDescent="0.25">
      <c r="A477" s="5" t="str">
        <f>IFERROR(IF(INDEX([5]BH!$A$2:$A$33,MATCH($D477,[5]BH!$D$2:$D$33,0))="","",INDEX([5]BH!$A$2:$A$33,MATCH($D477,[5]BH!$D$2:$D$33,0))),"")</f>
        <v>Finalized</v>
      </c>
      <c r="B477" s="5" t="str">
        <f>IFERROR(IF(INDEX([5]BH!$B$2:$B$33,MATCH($D477,[5]BH!$D$2:$D$33,0))="","",INDEX([5]BH!$B$2:$B$33,MATCH($D477,[5]BH!$D$2:$D$33,0))),"")</f>
        <v>PAID - Bri resubmited claim on 08/05/2026</v>
      </c>
      <c r="C477" s="6">
        <f>IFERROR(IF(INDEX([5]BH!$C$2:$C$33,MATCH($D477,[5]BH!$D$2:$D$33,0))="","",INDEX([5]BH!$C$2:$C$33,MATCH($D477,[5]BH!$D$2:$D$33,0))),"")</f>
        <v>46253</v>
      </c>
      <c r="D477" s="7">
        <v>567670697</v>
      </c>
      <c r="E477" s="8" t="s">
        <v>984</v>
      </c>
      <c r="F477" s="9">
        <v>46170</v>
      </c>
      <c r="G477" s="8" t="s">
        <v>985</v>
      </c>
      <c r="H477" s="8" t="s">
        <v>985</v>
      </c>
      <c r="I477" s="8" t="s">
        <v>69</v>
      </c>
      <c r="J477" s="8" t="s">
        <v>195</v>
      </c>
      <c r="K477" s="6">
        <f>IFERROR(IF(INDEX([5]BH!$K$2:$K$33,MATCH($D477,[5]BH!$D$2:$D$33,0))="","",INDEX([5]BH!$K$2:$K$33,MATCH($D477,[5]BH!$D$2:$D$33,0))),"")</f>
        <v>46262</v>
      </c>
      <c t="str" r="L477" s="11">
        <f ca="1">IF($O477="","",$O477-TODAY())</f>
        <v/>
      </c>
      <c r="M477" s="11"/>
      <c r="N477" s="11"/>
      <c r="O477" s="9"/>
      <c r="P477" s="8"/>
      <c r="Q477" s="8" t="s">
        <v>967</v>
      </c>
      <c r="R477" s="8"/>
      <c r="S477" s="8"/>
      <c r="T477" s="8"/>
      <c r="U477" s="8"/>
      <c r="V477" s="8" t="s">
        <v>365</v>
      </c>
      <c r="W477" s="8" t="s">
        <v>118</v>
      </c>
      <c r="X477" s="8"/>
      <c r="Y477" s="8"/>
      <c r="Z477" s="8"/>
      <c r="AA477" s="8" t="s">
        <v>77</v>
      </c>
      <c r="AB477" s="10">
        <v>1426.25</v>
      </c>
      <c r="AC477" s="10">
        <v>0</v>
      </c>
      <c r="AD477" s="10">
        <v>0</v>
      </c>
      <c r="AE477" s="9"/>
      <c r="AF477" s="10">
        <v>1426.25</v>
      </c>
      <c r="AG477" s="7">
        <v>72</v>
      </c>
      <c r="AH477" s="8" t="s">
        <v>119</v>
      </c>
      <c r="AI477" s="8"/>
      <c r="AJ477" s="8"/>
      <c r="AK477" s="8"/>
      <c r="AL477" s="7"/>
      <c r="AM477" s="8" t="s">
        <v>120</v>
      </c>
      <c r="AN477" s="8" t="s">
        <v>132</v>
      </c>
      <c r="AO477" s="9">
        <v>46180</v>
      </c>
    </row>
  </sheetData>
  <autoFilter ref="A1:AO477" xr:uid="{00000000-0009-0000-0000-000001000000}"/>
  <conditionalFormatting sqref="L2:O1000">
    <cfRule type="expression" dxfId="16" priority="1" stopIfTrue="1">
      <formula>AND(TRIM($A2)="Finalized",$K2&lt;&gt;"")</formula>
    </cfRule>
  </conditionalFormatting>
  <conditionalFormatting sqref="L2:L477 O2:O477">
    <cfRule type="expression" dxfId="14" priority="2">
      <formula>AND($L2&lt;&gt;"", $L2&gt;=0, $L2&lt;=5)</formula>
    </cfRule>
    <cfRule type="expression" dxfId="13" priority="3">
      <formula>AND($L2&lt;&gt;"", $L2&gt;5, $L2&lt;=30)</formula>
    </cfRule>
    <cfRule type="expression" dxfId="12" priority="4">
      <formula>AND($L2&lt;&gt;"", $L2&gt;30)</formula>
    </cfRule>
    <cfRule type="expression" dxfId="11" priority="5">
      <formula>AND($L2&lt;&gt;"", $L2&lt;0)</formula>
    </cfRule>
    <cfRule type="expression" dxfId="10" priority="6">
      <formula>$L2=""</formula>
    </cfRule>
  </conditionalFormatting>
  <conditionalFormatting sqref="M2:M477">
    <cfRule type="expression" dxfId="9" priority="7">
      <formula>AND($M2&lt;&gt;"", $M2&gt;=0, $M2&lt;=5)</formula>
    </cfRule>
    <cfRule type="expression" dxfId="8" priority="8">
      <formula>AND($M2&lt;&gt;"", $M2&gt;5, $M2&lt;=30)</formula>
    </cfRule>
    <cfRule type="expression" dxfId="7" priority="9">
      <formula>AND($M2&lt;&gt;"", $M2&gt;30)</formula>
    </cfRule>
    <cfRule type="expression" dxfId="6" priority="10">
      <formula>AND($M2&lt;&gt;"", $M2&lt;0)</formula>
    </cfRule>
    <cfRule type="expression" dxfId="5" priority="11">
      <formula>$M2=""</formula>
    </cfRule>
  </conditionalFormatting>
  <conditionalFormatting sqref="N2:N477">
    <cfRule type="expression" dxfId="4" priority="12">
      <formula>AND($N2&lt;&gt;"", $N2&gt;=0, $N2&lt;=5)</formula>
    </cfRule>
    <cfRule type="expression" dxfId="3" priority="13">
      <formula>AND($N2&lt;&gt;"", $N2&gt;5, $N2&lt;=30)</formula>
    </cfRule>
    <cfRule type="expression" dxfId="2" priority="14">
      <formula>AND($N2&lt;&gt;"", $N2&gt;30)</formula>
    </cfRule>
    <cfRule type="expression" dxfId="1" priority="15">
      <formula>AND($N2&lt;&gt;"", $N2&lt;0)</formula>
    </cfRule>
    <cfRule type="expression" dxfId="0" priority="16">
      <formula>$N2=""</formula>
    </cfRule>
  </conditionalFormatting>
  <conditionalFormatting sqref="A2:AO1000">
    <cfRule type="expression" dxfId="15" priority="17">
      <formula>TRIM($A2)="PAID"</formula>
    </cfRule>
    <cfRule type="expression" dxfId="16" priority="18">
      <formula>TRIM($A2)="Finalized"</formula>
    </cfRule>
    <cfRule type="expression" dxfId="17" priority="19">
      <formula>TRIM($A2)="Received"</formula>
    </cfRule>
    <cfRule type="expression" dxfId="18" priority="20">
      <formula>TRIM($A2)="Pending"</formula>
    </cfRule>
    <cfRule type="expression" dxfId="19" priority="21">
      <formula>TRIM($A2)="Under Review"</formula>
    </cfRule>
    <cfRule type="expression" dxfId="20" priority="22">
      <formula>AND(TRIM($A2)="Denied",$K2="")</formula>
    </cfRule>
    <cfRule type="expression" dxfId="23" priority="25">
      <formula>AND(TRIM($A2)="Denied",$K2&lt;&gt;"")</formula>
    </cfRule>
    <cfRule type="expression" dxfId="21" priority="23">
      <formula>TRIM($A2)="Rejected"</formula>
    </cfRule>
    <cfRule type="expression" dxfId="22" priority="24">
      <formula>TRIM($A2)="Not found"</formula>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All Claims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2026-08-13T00:38:31Z</dcterms:created>
  <dcterms:modified xsi:type="dcterms:W3CDTF">2026-10-09T15:56:46Z</dcterms:modified>
  <cp:category/>
  <cp:contentStatus/>
</cp:coreProperties>
</file>