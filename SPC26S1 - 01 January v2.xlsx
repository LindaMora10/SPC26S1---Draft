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sappaindocs-my.sharepoint.com/personal/lmora_asappaindocs_com/Documents/2026/SPC26S1/"/>
    </mc:Choice>
  </mc:AlternateContent>
  <xr:revisionPtr revIDLastSave="131" documentId="11_B3DEDBDA96DCCA19C563B7EFEA0D31DE9256601C" xr6:coauthVersionLast="47" xr6:coauthVersionMax="47" xr10:uidLastSave="{3B0033C4-4CE7-46EF-BBCA-B64769578A19}"/>
  <bookViews>
    <workbookView xWindow="-28920" yWindow="-1875" windowWidth="29040" windowHeight="15720" xr2:uid="{00000000-000D-0000-FFFF-FFFF00000000}"/>
  </bookViews>
  <sheets>
    <sheet name="BH" sheetId="1" r:id="rId1"/>
    <sheet name="DME" sheetId="2" r:id="rId2"/>
    <sheet name="GAE" sheetId="3" r:id="rId3"/>
    <sheet name="ORTHO" sheetId="4" r:id="rId4"/>
    <sheet name="US" sheetId="5" r:id="rId5"/>
    <sheet name="Read Me" sheetId="6" r:id="rId6"/>
  </sheets>
  <definedNames>
    <definedName name="_xlnm._FilterDatabase" localSheetId="0" hidden="1">BH!$A$1:$AO$17</definedName>
    <definedName name="_xlnm._FilterDatabase" localSheetId="1" hidden="1">DME!$A$1:$AO$8</definedName>
    <definedName name="_xlnm._FilterDatabase" localSheetId="2" hidden="1">GAE!$A$1:$AO$12</definedName>
    <definedName name="_xlnm._FilterDatabase" localSheetId="3" hidden="1">ORTHO!$A$1:$AO$10</definedName>
    <definedName name="_xlnm._FilterDatabase" localSheetId="4" hidden="1">US!$A$1:$AO$8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0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0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000-000003000000}">
      <text>
        <r>
          <rPr>
            <sz val="11"/>
            <color theme="1"/>
            <rFont val="Calibri"/>
            <family val="2"/>
            <scheme val="minor"/>
          </rPr>
          <t>Date you worked this claim, shown MM/DD/YYYY. Blank for you to fill in.</t>
        </r>
      </text>
    </comment>
    <comment ref="L1" authorId="0" shapeId="0" xr:uid="{00000000-0006-0000-00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0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0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0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000-000008000000}">
      <text>
        <r>
          <rPr>
            <sz val="11"/>
            <color theme="1"/>
            <rFont val="Calibri"/>
            <family val="2"/>
            <scheme val="minor"/>
          </rPr>
          <t>The limit applied to this row, as days or calendar months.</t>
        </r>
      </text>
    </comment>
    <comment ref="Q1" authorId="0" shapeId="0" xr:uid="{00000000-0006-0000-0000-000009000000}">
      <text>
        <r>
          <rPr>
            <sz val="11"/>
            <color theme="1"/>
            <rFont val="Calibri"/>
            <family val="2"/>
            <scheme val="minor"/>
          </rPr>
          <t>The carrier row in Carrier_Timely_Filing_Reference.xlsx that the primary payer was matched to.</t>
        </r>
      </text>
    </comment>
    <comment ref="R1" authorId="0" shapeId="0" xr:uid="{00000000-0006-0000-0000-00000A000000}">
      <text>
        <r>
          <rPr>
            <sz val="11"/>
            <color theme="1"/>
            <rFont val="Calibri"/>
            <family val="2"/>
            <scheme val="minor"/>
          </rPr>
          <t>Corrected claim window from Carrier_Timely_Filing_Reference.xlsx.</t>
        </r>
      </text>
    </comment>
    <comment ref="S1" authorId="0" shapeId="0" xr:uid="{00000000-0006-0000-0000-00000B000000}">
      <text>
        <r>
          <rPr>
            <sz val="11"/>
            <color theme="1"/>
            <rFont val="Calibri"/>
            <family val="2"/>
            <scheme val="minor"/>
          </rPr>
          <t>Whether the carrier counts the corrected claim window from the date of service or from the processed date.</t>
        </r>
      </text>
    </comment>
    <comment ref="T1" authorId="0" shapeId="0" xr:uid="{00000000-0006-0000-0000-00000C000000}">
      <text>
        <r>
          <rPr>
            <sz val="11"/>
            <color theme="1"/>
            <rFont val="Calibri"/>
            <family val="2"/>
            <scheme val="minor"/>
          </rPr>
          <t>Reconsideration / appeal window from Carrier_Timely_Filing_Reference.xlsx.</t>
        </r>
      </text>
    </comment>
    <comment ref="U1" authorId="0" shapeId="0" xr:uid="{00000000-0006-0000-0000-00000D000000}">
      <text>
        <r>
          <rPr>
            <sz val="11"/>
            <color theme="1"/>
            <rFont val="Calibri"/>
            <family val="2"/>
            <scheme val="minor"/>
          </rPr>
          <t>Whether the carrier counts the appeal window from the date of service or from the processed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1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1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100-000003000000}">
      <text>
        <r>
          <rPr>
            <sz val="11"/>
            <color theme="1"/>
            <rFont val="Calibri"/>
            <family val="2"/>
            <scheme val="minor"/>
          </rPr>
          <t>Date you worked this claim, shown MM/DD/YYYY. Blank for you to fill in.</t>
        </r>
      </text>
    </comment>
    <comment ref="L1" authorId="0" shapeId="0" xr:uid="{00000000-0006-0000-01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1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1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1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100-000008000000}">
      <text>
        <r>
          <rPr>
            <sz val="11"/>
            <color theme="1"/>
            <rFont val="Calibri"/>
            <family val="2"/>
            <scheme val="minor"/>
          </rPr>
          <t>The limit applied to this row, as days or calendar months.</t>
        </r>
      </text>
    </comment>
    <comment ref="Q1" authorId="0" shapeId="0" xr:uid="{00000000-0006-0000-0100-000009000000}">
      <text>
        <r>
          <rPr>
            <sz val="11"/>
            <color theme="1"/>
            <rFont val="Calibri"/>
            <family val="2"/>
            <scheme val="minor"/>
          </rPr>
          <t>The carrier row in Carrier_Timely_Filing_Reference.xlsx that the primary payer was matched to.</t>
        </r>
      </text>
    </comment>
    <comment ref="R1" authorId="0" shapeId="0" xr:uid="{00000000-0006-0000-0100-00000A000000}">
      <text>
        <r>
          <rPr>
            <sz val="11"/>
            <color theme="1"/>
            <rFont val="Calibri"/>
            <family val="2"/>
            <scheme val="minor"/>
          </rPr>
          <t>Corrected claim window from Carrier_Timely_Filing_Reference.xlsx.</t>
        </r>
      </text>
    </comment>
    <comment ref="S1" authorId="0" shapeId="0" xr:uid="{00000000-0006-0000-0100-00000B000000}">
      <text>
        <r>
          <rPr>
            <sz val="11"/>
            <color theme="1"/>
            <rFont val="Calibri"/>
            <family val="2"/>
            <scheme val="minor"/>
          </rPr>
          <t>Whether the carrier counts the corrected claim window from the date of service or from the processed date.</t>
        </r>
      </text>
    </comment>
    <comment ref="T1" authorId="0" shapeId="0" xr:uid="{00000000-0006-0000-0100-00000C000000}">
      <text>
        <r>
          <rPr>
            <sz val="11"/>
            <color theme="1"/>
            <rFont val="Calibri"/>
            <family val="2"/>
            <scheme val="minor"/>
          </rPr>
          <t>Reconsideration / appeal window from Carrier_Timely_Filing_Reference.xlsx.</t>
        </r>
      </text>
    </comment>
    <comment ref="U1" authorId="0" shapeId="0" xr:uid="{00000000-0006-0000-0100-00000D000000}">
      <text>
        <r>
          <rPr>
            <sz val="11"/>
            <color theme="1"/>
            <rFont val="Calibri"/>
            <family val="2"/>
            <scheme val="minor"/>
          </rPr>
          <t>Whether the carrier counts the appeal window from the date of service or from the processed date.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2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2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200-000003000000}">
      <text>
        <r>
          <rPr>
            <sz val="11"/>
            <color theme="1"/>
            <rFont val="Calibri"/>
            <family val="2"/>
            <scheme val="minor"/>
          </rPr>
          <t>Date you worked this claim, shown MM/DD/YYYY. Blank for you to fill in.</t>
        </r>
      </text>
    </comment>
    <comment ref="L1" authorId="0" shapeId="0" xr:uid="{00000000-0006-0000-02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2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2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2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200-000008000000}">
      <text>
        <r>
          <rPr>
            <sz val="11"/>
            <color theme="1"/>
            <rFont val="Calibri"/>
            <family val="2"/>
            <scheme val="minor"/>
          </rPr>
          <t>The limit applied to this row, as days or calendar months.</t>
        </r>
      </text>
    </comment>
    <comment ref="Q1" authorId="0" shapeId="0" xr:uid="{00000000-0006-0000-0200-000009000000}">
      <text>
        <r>
          <rPr>
            <sz val="11"/>
            <color theme="1"/>
            <rFont val="Calibri"/>
            <family val="2"/>
            <scheme val="minor"/>
          </rPr>
          <t>The carrier row in Carrier_Timely_Filing_Reference.xlsx that the primary payer was matched to.</t>
        </r>
      </text>
    </comment>
    <comment ref="R1" authorId="0" shapeId="0" xr:uid="{00000000-0006-0000-0200-00000A000000}">
      <text>
        <r>
          <rPr>
            <sz val="11"/>
            <color theme="1"/>
            <rFont val="Calibri"/>
            <family val="2"/>
            <scheme val="minor"/>
          </rPr>
          <t>Corrected claim window from Carrier_Timely_Filing_Reference.xlsx.</t>
        </r>
      </text>
    </comment>
    <comment ref="S1" authorId="0" shapeId="0" xr:uid="{00000000-0006-0000-0200-00000B000000}">
      <text>
        <r>
          <rPr>
            <sz val="11"/>
            <color theme="1"/>
            <rFont val="Calibri"/>
            <family val="2"/>
            <scheme val="minor"/>
          </rPr>
          <t>Whether the carrier counts the corrected claim window from the date of service or from the processed date.</t>
        </r>
      </text>
    </comment>
    <comment ref="T1" authorId="0" shapeId="0" xr:uid="{00000000-0006-0000-0200-00000C000000}">
      <text>
        <r>
          <rPr>
            <sz val="11"/>
            <color theme="1"/>
            <rFont val="Calibri"/>
            <family val="2"/>
            <scheme val="minor"/>
          </rPr>
          <t>Reconsideration / appeal window from Carrier_Timely_Filing_Reference.xlsx.</t>
        </r>
      </text>
    </comment>
    <comment ref="U1" authorId="0" shapeId="0" xr:uid="{00000000-0006-0000-0200-00000D000000}">
      <text>
        <r>
          <rPr>
            <sz val="11"/>
            <color theme="1"/>
            <rFont val="Calibri"/>
            <family val="2"/>
            <scheme val="minor"/>
          </rPr>
          <t>Whether the carrier counts the appeal window from the date of service or from the processed date.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3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3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300-000003000000}">
      <text>
        <r>
          <rPr>
            <sz val="11"/>
            <color theme="1"/>
            <rFont val="Calibri"/>
            <family val="2"/>
            <scheme val="minor"/>
          </rPr>
          <t>Date you worked this claim, shown MM/DD/YYYY. Blank for you to fill in.</t>
        </r>
      </text>
    </comment>
    <comment ref="L1" authorId="0" shapeId="0" xr:uid="{00000000-0006-0000-03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3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3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3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300-000008000000}">
      <text>
        <r>
          <rPr>
            <sz val="11"/>
            <color theme="1"/>
            <rFont val="Calibri"/>
            <family val="2"/>
            <scheme val="minor"/>
          </rPr>
          <t>The limit applied to this row, as days or calendar months.</t>
        </r>
      </text>
    </comment>
    <comment ref="Q1" authorId="0" shapeId="0" xr:uid="{00000000-0006-0000-0300-000009000000}">
      <text>
        <r>
          <rPr>
            <sz val="11"/>
            <color theme="1"/>
            <rFont val="Calibri"/>
            <family val="2"/>
            <scheme val="minor"/>
          </rPr>
          <t>The carrier row in Carrier_Timely_Filing_Reference.xlsx that the primary payer was matched to.</t>
        </r>
      </text>
    </comment>
    <comment ref="R1" authorId="0" shapeId="0" xr:uid="{00000000-0006-0000-0300-00000A000000}">
      <text>
        <r>
          <rPr>
            <sz val="11"/>
            <color theme="1"/>
            <rFont val="Calibri"/>
            <family val="2"/>
            <scheme val="minor"/>
          </rPr>
          <t>Corrected claim window from Carrier_Timely_Filing_Reference.xlsx.</t>
        </r>
      </text>
    </comment>
    <comment ref="S1" authorId="0" shapeId="0" xr:uid="{00000000-0006-0000-0300-00000B000000}">
      <text>
        <r>
          <rPr>
            <sz val="11"/>
            <color theme="1"/>
            <rFont val="Calibri"/>
            <family val="2"/>
            <scheme val="minor"/>
          </rPr>
          <t>Whether the carrier counts the corrected claim window from the date of service or from the processed date.</t>
        </r>
      </text>
    </comment>
    <comment ref="T1" authorId="0" shapeId="0" xr:uid="{00000000-0006-0000-0300-00000C000000}">
      <text>
        <r>
          <rPr>
            <sz val="11"/>
            <color theme="1"/>
            <rFont val="Calibri"/>
            <family val="2"/>
            <scheme val="minor"/>
          </rPr>
          <t>Reconsideration / appeal window from Carrier_Timely_Filing_Reference.xlsx.</t>
        </r>
      </text>
    </comment>
    <comment ref="U1" authorId="0" shapeId="0" xr:uid="{00000000-0006-0000-0300-00000D000000}">
      <text>
        <r>
          <rPr>
            <sz val="11"/>
            <color theme="1"/>
            <rFont val="Calibri"/>
            <family val="2"/>
            <scheme val="minor"/>
          </rPr>
          <t>Whether the carrier counts the appeal window from the date of service or from the processed date.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4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4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400-000003000000}">
      <text>
        <r>
          <rPr>
            <sz val="11"/>
            <color theme="1"/>
            <rFont val="Calibri"/>
            <family val="2"/>
            <scheme val="minor"/>
          </rPr>
          <t>Date you worked this claim, shown MM/DD/YYYY. Blank for you to fill in.</t>
        </r>
      </text>
    </comment>
    <comment ref="L1" authorId="0" shapeId="0" xr:uid="{00000000-0006-0000-04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4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4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4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400-000008000000}">
      <text>
        <r>
          <rPr>
            <sz val="11"/>
            <color theme="1"/>
            <rFont val="Calibri"/>
            <family val="2"/>
            <scheme val="minor"/>
          </rPr>
          <t>The limit applied to this row, as days or calendar months.</t>
        </r>
      </text>
    </comment>
    <comment ref="Q1" authorId="0" shapeId="0" xr:uid="{00000000-0006-0000-0400-000009000000}">
      <text>
        <r>
          <rPr>
            <sz val="11"/>
            <color theme="1"/>
            <rFont val="Calibri"/>
            <family val="2"/>
            <scheme val="minor"/>
          </rPr>
          <t>The carrier row in Carrier_Timely_Filing_Reference.xlsx that the primary payer was matched to.</t>
        </r>
      </text>
    </comment>
    <comment ref="R1" authorId="0" shapeId="0" xr:uid="{00000000-0006-0000-0400-00000A000000}">
      <text>
        <r>
          <rPr>
            <sz val="11"/>
            <color theme="1"/>
            <rFont val="Calibri"/>
            <family val="2"/>
            <scheme val="minor"/>
          </rPr>
          <t>Corrected claim window from Carrier_Timely_Filing_Reference.xlsx.</t>
        </r>
      </text>
    </comment>
    <comment ref="S1" authorId="0" shapeId="0" xr:uid="{00000000-0006-0000-0400-00000B000000}">
      <text>
        <r>
          <rPr>
            <sz val="11"/>
            <color theme="1"/>
            <rFont val="Calibri"/>
            <family val="2"/>
            <scheme val="minor"/>
          </rPr>
          <t>Whether the carrier counts the corrected claim window from the date of service or from the processed date.</t>
        </r>
      </text>
    </comment>
    <comment ref="T1" authorId="0" shapeId="0" xr:uid="{00000000-0006-0000-0400-00000C000000}">
      <text>
        <r>
          <rPr>
            <sz val="11"/>
            <color theme="1"/>
            <rFont val="Calibri"/>
            <family val="2"/>
            <scheme val="minor"/>
          </rPr>
          <t>Reconsideration / appeal window from Carrier_Timely_Filing_Reference.xlsx.</t>
        </r>
      </text>
    </comment>
    <comment ref="U1" authorId="0" shapeId="0" xr:uid="{00000000-0006-0000-0400-00000D000000}">
      <text>
        <r>
          <rPr>
            <sz val="11"/>
            <color theme="1"/>
            <rFont val="Calibri"/>
            <family val="2"/>
            <scheme val="minor"/>
          </rPr>
          <t>Whether the carrier counts the appeal window from the date of service or from the processed date.</t>
        </r>
      </text>
    </comment>
  </commentList>
</comments>
</file>

<file path=xl/sharedStrings.xml><?xml version="1.0" encoding="utf-8"?>
<sst xmlns="http://schemas.openxmlformats.org/spreadsheetml/2006/main" count="1157" uniqueCount="320">
  <si>
    <t>Claim Status</t>
  </si>
  <si>
    <t>Notes</t>
  </si>
  <si>
    <t>Processed Date</t>
  </si>
  <si>
    <t>Primary Claim ID</t>
  </si>
  <si>
    <t>Chart Number</t>
  </si>
  <si>
    <t>Date of Service</t>
  </si>
  <si>
    <t>Responsible Payer</t>
  </si>
  <si>
    <t>Primary Payer Name</t>
  </si>
  <si>
    <t>Secondary Payer Name</t>
  </si>
  <si>
    <t>Procedure Code</t>
  </si>
  <si>
    <t>Latest Date Worked</t>
  </si>
  <si>
    <t>Days Until Deadline</t>
  </si>
  <si>
    <t>Days Until Corrected Claim Deadline</t>
  </si>
  <si>
    <t>Days Until Appeal Deadline</t>
  </si>
  <si>
    <t>Filing Deadline</t>
  </si>
  <si>
    <t>Filing Limit</t>
  </si>
  <si>
    <t>Limit Carrier</t>
  </si>
  <si>
    <t>Corrected Claim Limit</t>
  </si>
  <si>
    <t>Corrected Claim From</t>
  </si>
  <si>
    <t>Appeal Limit</t>
  </si>
  <si>
    <t>Appeal From</t>
  </si>
  <si>
    <t>Modifier 1</t>
  </si>
  <si>
    <t>Modifier 2</t>
  </si>
  <si>
    <t>Modifier 3</t>
  </si>
  <si>
    <t>Units</t>
  </si>
  <si>
    <t>Charge Amount</t>
  </si>
  <si>
    <t>Adjustment</t>
  </si>
  <si>
    <t>Insurance Payment</t>
  </si>
  <si>
    <t>Insurance Check Date</t>
  </si>
  <si>
    <t>Insurance Balance</t>
  </si>
  <si>
    <t>AR Age by Service Date</t>
  </si>
  <si>
    <t>Diagnosis Code 1</t>
  </si>
  <si>
    <t>Diagnosis Code 2</t>
  </si>
  <si>
    <t>Diagnosis Code 3</t>
  </si>
  <si>
    <t>Diagnosis Code 4</t>
  </si>
  <si>
    <t>Secondary Claim ID</t>
  </si>
  <si>
    <t>Rendering Provider</t>
  </si>
  <si>
    <t>Location Name</t>
  </si>
  <si>
    <t>Created Date</t>
  </si>
  <si>
    <t>Specialty</t>
  </si>
  <si>
    <t>PAID</t>
  </si>
  <si>
    <t>Secondary - Pending check</t>
  </si>
  <si>
    <t>HF512527332</t>
  </si>
  <si>
    <t>Blue Cross Blue Shield of Arizona (BCBS AZ)</t>
  </si>
  <si>
    <t>Medicare Part B Arizona *</t>
  </si>
  <si>
    <t>99492 x1; 99494 x2</t>
  </si>
  <si>
    <t>365 days</t>
  </si>
  <si>
    <t>MEDICARE</t>
  </si>
  <si>
    <t>Processed date</t>
  </si>
  <si>
    <t>120 days</t>
  </si>
  <si>
    <t>1, 2</t>
  </si>
  <si>
    <t>F4320</t>
  </si>
  <si>
    <t>LEATHEM, JARRETT</t>
  </si>
  <si>
    <t>ASAP Peoria</t>
  </si>
  <si>
    <t>BH</t>
  </si>
  <si>
    <t>Pending</t>
  </si>
  <si>
    <t>HF529978681</t>
  </si>
  <si>
    <t>Banner University Family Care / ACC (AHCCS Complete Care)</t>
  </si>
  <si>
    <t>99493 x1</t>
  </si>
  <si>
    <t>1</t>
  </si>
  <si>
    <t>F4322</t>
  </si>
  <si>
    <t>TURLEY, TODD</t>
  </si>
  <si>
    <t>ASAP - DEER VALLEY</t>
  </si>
  <si>
    <t>Denied</t>
  </si>
  <si>
    <t>HF436968693</t>
  </si>
  <si>
    <t>Mercy Care Plan (AHCCCS) - Complete Care &amp; Long Term Care (LTC)</t>
  </si>
  <si>
    <t>99494 x1; 99492 x1</t>
  </si>
  <si>
    <t>MEARS, CHAD</t>
  </si>
  <si>
    <t>Secondary</t>
  </si>
  <si>
    <t>HF411566237</t>
  </si>
  <si>
    <t>Blue Cross Blue Shield of Arizona</t>
  </si>
  <si>
    <t>F411</t>
  </si>
  <si>
    <t>BURGHER, ABRAM</t>
  </si>
  <si>
    <t>Uploaded MR - PIQ-82135368</t>
  </si>
  <si>
    <t>HF532613047</t>
  </si>
  <si>
    <t>United Healthcare</t>
  </si>
  <si>
    <t>No Payer</t>
  </si>
  <si>
    <t>99494 x1</t>
  </si>
  <si>
    <t>90 days</t>
  </si>
  <si>
    <t>UHC COMMERCIAL</t>
  </si>
  <si>
    <t>180 days</t>
  </si>
  <si>
    <t>HF331360774</t>
  </si>
  <si>
    <t>BCBS</t>
  </si>
  <si>
    <t>SARKAR, AWNIK</t>
  </si>
  <si>
    <t>HF537684538</t>
  </si>
  <si>
    <t>Added Date of Current Illness, claim note, and resubmitted</t>
  </si>
  <si>
    <t>HF434792716</t>
  </si>
  <si>
    <t>Optum Care Medical Network of Arizona, Utah, &amp; Washington (LifePrint)</t>
  </si>
  <si>
    <t>OPTUM</t>
  </si>
  <si>
    <t>F1190</t>
  </si>
  <si>
    <t>ASAP - Gilbert</t>
  </si>
  <si>
    <t>Under review - TAT 15 days - Ref # 10605826 - Rep Muthamma</t>
  </si>
  <si>
    <t>HF537685966</t>
  </si>
  <si>
    <t>F330</t>
  </si>
  <si>
    <t>Finalized</t>
  </si>
  <si>
    <t>HF359780591</t>
  </si>
  <si>
    <t>TRIADA GAP BENEFITS</t>
  </si>
  <si>
    <t>Received</t>
  </si>
  <si>
    <t xml:space="preserve">Resubmitted - no changes </t>
  </si>
  <si>
    <t>HF475536429</t>
  </si>
  <si>
    <t>99492 x1; 99494 x1</t>
  </si>
  <si>
    <t>O'NEIL, ROY</t>
  </si>
  <si>
    <t>HF431164004</t>
  </si>
  <si>
    <t>F331</t>
  </si>
  <si>
    <t>ASAP - Goodyear</t>
  </si>
  <si>
    <t>Not shifting - working on it Shifted to PR - Ins didn't receive PT update - I talked to PT on the phone, she said she will contact the insurance to take care of the IQ this week</t>
  </si>
  <si>
    <t>HF535417942</t>
  </si>
  <si>
    <t>LIEN 05</t>
  </si>
  <si>
    <t>F4323</t>
  </si>
  <si>
    <t>Rejected</t>
  </si>
  <si>
    <t>ASAP DEER VALLEY NPI missing - Resubmitted</t>
  </si>
  <si>
    <t>HF342585384</t>
  </si>
  <si>
    <t>TRIWEST VA CCN CLAIMS</t>
  </si>
  <si>
    <t>99494 x2; 99493 x1</t>
  </si>
  <si>
    <t>TRIWEST</t>
  </si>
  <si>
    <t>2, 1</t>
  </si>
  <si>
    <t>F332</t>
  </si>
  <si>
    <t>HF524312806</t>
  </si>
  <si>
    <t>Medica Health Plan Solutions (Mayo Plan - CHI Health)</t>
  </si>
  <si>
    <t>MEDICA</t>
  </si>
  <si>
    <t>HF453012792</t>
  </si>
  <si>
    <t>Health Choice Arizona</t>
  </si>
  <si>
    <t>99494 x1; 99493 x1</t>
  </si>
  <si>
    <t>HEALTH CHOICE MEDICAID</t>
  </si>
  <si>
    <t>Date of service</t>
  </si>
  <si>
    <t>Latest Date Worked</t>
  </si>
  <si>
    <t>HF355458320</t>
  </si>
  <si>
    <t>DME Region D</t>
  </si>
  <si>
    <t>CIGNA MEDICARE SUPPLEMENT INSURANCE</t>
  </si>
  <si>
    <t>A6010+A1 x10</t>
  </si>
  <si>
    <t>A1</t>
  </si>
  <si>
    <t>10</t>
  </si>
  <si>
    <t>G894</t>
  </si>
  <si>
    <t>M5416</t>
  </si>
  <si>
    <t>Advanced Spine and Pain LLC DME PEO</t>
  </si>
  <si>
    <t>Advanced Spine and Pain LLC DME - Peoria</t>
  </si>
  <si>
    <t>DME</t>
  </si>
  <si>
    <t>HF495505953</t>
  </si>
  <si>
    <t>Tricare for Life (All Regions)</t>
  </si>
  <si>
    <t>L0648+KX x1</t>
  </si>
  <si>
    <t>KX</t>
  </si>
  <si>
    <t>M48062</t>
  </si>
  <si>
    <t>Advanced Spine and Pain LLC DME SUR</t>
  </si>
  <si>
    <t>Advanced Spine and Pain LLC DME - Surprise Reems</t>
  </si>
  <si>
    <t>HF506234182</t>
  </si>
  <si>
    <t>AARP United Healthcare</t>
  </si>
  <si>
    <t>HF453265315</t>
  </si>
  <si>
    <t>M5451</t>
  </si>
  <si>
    <t>HF411712712</t>
  </si>
  <si>
    <t>Bankers Life Colonial Penn Life</t>
  </si>
  <si>
    <t>A6010+A1 x20</t>
  </si>
  <si>
    <t>20</t>
  </si>
  <si>
    <t>M47816</t>
  </si>
  <si>
    <t>HF503610126</t>
  </si>
  <si>
    <t>Humana</t>
  </si>
  <si>
    <t>A6023+A2 x20</t>
  </si>
  <si>
    <t>HUMANA COMMERCIAL</t>
  </si>
  <si>
    <t>60 days</t>
  </si>
  <si>
    <t>A2</t>
  </si>
  <si>
    <t>G90513</t>
  </si>
  <si>
    <t>M961</t>
  </si>
  <si>
    <t>MCMURDIE, TODD</t>
  </si>
  <si>
    <t>ASAP - Surprise - Reems</t>
  </si>
  <si>
    <t>HF518924824</t>
  </si>
  <si>
    <t>Allwell - All States (Centene)</t>
  </si>
  <si>
    <t>A6023+A2 x10</t>
  </si>
  <si>
    <t>95 days</t>
  </si>
  <si>
    <t>WELLCARE BY ALLWELL</t>
  </si>
  <si>
    <t>KALLGREN, MARK</t>
  </si>
  <si>
    <t>ASAP - Mesa</t>
  </si>
  <si>
    <t>HF411545637</t>
  </si>
  <si>
    <t>36246+59+RT x1; 76937+26 x1; 37242 x1; 75710+26+XU+RT x1; 36248+59 x1; 36245+59 x1; 75774+26+XU x3</t>
  </si>
  <si>
    <t>59, 26</t>
  </si>
  <si>
    <t>RT, XU</t>
  </si>
  <si>
    <t>RT</t>
  </si>
  <si>
    <t>1, 3</t>
  </si>
  <si>
    <t>M25561</t>
  </si>
  <si>
    <t>I798</t>
  </si>
  <si>
    <t>HUNTER, DREW</t>
  </si>
  <si>
    <t>Premier Endoscopy Center, LLC</t>
  </si>
  <si>
    <t>GAE</t>
  </si>
  <si>
    <t>HF329340284</t>
  </si>
  <si>
    <t>Aetna Senior Supplemental (AESSI) - Secondary Only 62118</t>
  </si>
  <si>
    <t>37242 x1</t>
  </si>
  <si>
    <t>M1711</t>
  </si>
  <si>
    <t>ASAP Surgery Centers North Valley LLC</t>
  </si>
  <si>
    <t>HF333259521</t>
  </si>
  <si>
    <t>Unicare Life and Health Insurance (Anthem)</t>
  </si>
  <si>
    <t>37242 x1; 75774+26+XU x3; 75710+26+XU+RT x1; 36246+59+RT x1; 36245+59 x1; 76937+26 x1; 36248+59 x1</t>
  </si>
  <si>
    <t>26, 59</t>
  </si>
  <si>
    <t>XU, RT</t>
  </si>
  <si>
    <t>HF455471322</t>
  </si>
  <si>
    <t>COMBINED INSURANCE CO OF AMERICA</t>
  </si>
  <si>
    <t>75710+26+XU+RT x1; 75774+26+XU x3; 36246+59+RT x1; 36248+59 x1; 36245+59 x1; 76937+26 x1; 37242 x1</t>
  </si>
  <si>
    <t>HF532831698</t>
  </si>
  <si>
    <t>36248+59 x3; 36245+59 x1; 75774+26+XU x5; 75710+26+XU+RT x1; 76937+26 x1; 36246+59+RT x1</t>
  </si>
  <si>
    <t>3, 1, 5</t>
  </si>
  <si>
    <t>HF543360308</t>
  </si>
  <si>
    <t>37242+53 x1; 76937+26 x1; 36140 x1</t>
  </si>
  <si>
    <t>53, 26</t>
  </si>
  <si>
    <t>I70209</t>
  </si>
  <si>
    <t>HF540310616</t>
  </si>
  <si>
    <t>Humana Gold Plus HMO</t>
  </si>
  <si>
    <t>36246+59+RT x1; 36245+59 x1; 37242 x1; 36248+59 x3</t>
  </si>
  <si>
    <t>HUMANA MA</t>
  </si>
  <si>
    <t>59</t>
  </si>
  <si>
    <t>HF479029623</t>
  </si>
  <si>
    <t>36248+59 x2; 37242 x1; 36246+59+RT x1; 36245+59 x1</t>
  </si>
  <si>
    <t>HF505789977</t>
  </si>
  <si>
    <t>37242 x1; 36245+59 x1; 36248+59 x1; 36246+59+RT x1</t>
  </si>
  <si>
    <t>HF543361488</t>
  </si>
  <si>
    <t>Aetna Medicare PPO</t>
  </si>
  <si>
    <t>36248+59 x3; 37242 x1; 36246+59+RT x1</t>
  </si>
  <si>
    <t>AETNA</t>
  </si>
  <si>
    <t>3, 1</t>
  </si>
  <si>
    <t>HF362284092</t>
  </si>
  <si>
    <t>UMR Wausau / UHIS</t>
  </si>
  <si>
    <t>Arizona Complete Health (Centene)</t>
  </si>
  <si>
    <t>75774+XU x5; 76937 x1; 37242 x1; 36245+59 x1; 75710+XU+RT x1; 36246+59+RT x1; 36248+59 x3</t>
  </si>
  <si>
    <t>UMR / WAUSAU</t>
  </si>
  <si>
    <t>XU, 59</t>
  </si>
  <si>
    <t>5, 1, 3</t>
  </si>
  <si>
    <t>HF527306886</t>
  </si>
  <si>
    <t>Arizona Priority Care Plus</t>
  </si>
  <si>
    <t>63685 x1</t>
  </si>
  <si>
    <t>AZ PRIORITY CARE</t>
  </si>
  <si>
    <t>ORTHO</t>
  </si>
  <si>
    <t>HF533641085</t>
  </si>
  <si>
    <t>CIGNA</t>
  </si>
  <si>
    <t>63047 x1</t>
  </si>
  <si>
    <t>CIGNA / CIGNA MEDICARE</t>
  </si>
  <si>
    <t>HF456567442</t>
  </si>
  <si>
    <t>UnitedHealthcare Community Plan / Arizona Long Term Care</t>
  </si>
  <si>
    <t>G90523</t>
  </si>
  <si>
    <t>HF491900072</t>
  </si>
  <si>
    <t>63047+LT x1</t>
  </si>
  <si>
    <t>UHC COMMUNITY</t>
  </si>
  <si>
    <t>LT</t>
  </si>
  <si>
    <t>KRAUSE, JEFFREY</t>
  </si>
  <si>
    <t>HF383758253</t>
  </si>
  <si>
    <t>M48061</t>
  </si>
  <si>
    <t>MAYURAN, VIKRAM</t>
  </si>
  <si>
    <t>HF470511781</t>
  </si>
  <si>
    <t>27279+LT x1</t>
  </si>
  <si>
    <t>M461</t>
  </si>
  <si>
    <t>On it</t>
  </si>
  <si>
    <t>HF524606724</t>
  </si>
  <si>
    <t>HF450934372</t>
  </si>
  <si>
    <t>Gold Kidney Health Plan</t>
  </si>
  <si>
    <t>22853+58 x1; 22853+58+59 x1</t>
  </si>
  <si>
    <t>Not on reference list</t>
  </si>
  <si>
    <t>58</t>
  </si>
  <si>
    <t>M4316</t>
  </si>
  <si>
    <t>Banner Desert Medical Center</t>
  </si>
  <si>
    <t>HF396771694</t>
  </si>
  <si>
    <t>Tricare West</t>
  </si>
  <si>
    <t>63655+53 x1</t>
  </si>
  <si>
    <t>53</t>
  </si>
  <si>
    <t>LUKE, TIMOTHY</t>
  </si>
  <si>
    <t>HF537320032</t>
  </si>
  <si>
    <t>93925 x1</t>
  </si>
  <si>
    <t>I739</t>
  </si>
  <si>
    <t>US</t>
  </si>
  <si>
    <t>HF536495012</t>
  </si>
  <si>
    <t>93970 x1</t>
  </si>
  <si>
    <t>R600</t>
  </si>
  <si>
    <t>M79605</t>
  </si>
  <si>
    <t>M79604</t>
  </si>
  <si>
    <t>HF442148430</t>
  </si>
  <si>
    <t>Cigna Medicare Advantage</t>
  </si>
  <si>
    <t>HF494223308</t>
  </si>
  <si>
    <t>M25551</t>
  </si>
  <si>
    <t>M25552</t>
  </si>
  <si>
    <t>HF526889546</t>
  </si>
  <si>
    <t>HF513229920</t>
  </si>
  <si>
    <t>HealthSpring Medicare Advantage</t>
  </si>
  <si>
    <t>I872</t>
  </si>
  <si>
    <t>I83812</t>
  </si>
  <si>
    <t>2026-01 January - Specialty Claims</t>
  </si>
  <si>
    <t>Row order - work queue, then timely filing deadline</t>
  </si>
  <si>
    <t xml:space="preserve">    1 - Due in 5 days or less: 0</t>
  </si>
  <si>
    <t xml:space="preserve">    2 - Due in 6-30 days: 0</t>
  </si>
  <si>
    <t xml:space="preserve">    3 - Due in 31+ days: 15</t>
  </si>
  <si>
    <t xml:space="preserve">    4 - Past deadline: 32</t>
  </si>
  <si>
    <t xml:space="preserve">    5 - No limit on file: 3</t>
  </si>
  <si>
    <t>Past due rows sit below the claims that can still be filed on time rather than at the very top, so the actionable work stays first. That is why the numbers run up to the longest window and then restart at the negatives.</t>
  </si>
  <si>
    <t>Filing Deadline is the date of service plus the primary payer's limit, taken from 'Carrier_Timely_Filing_Reference.xlsx'. Days Until Deadline is a live formula, so the count stays true as time passes - but the row order is a snapshot taken on 12 August 2026. Sorting on Days Until Deadline alone would mix the four groups above back together, so when you re-sort keep the Rejected rows first, then the empty Latest Date Worked rows, and the Finalized and PAID rows last.</t>
  </si>
  <si>
    <t>Where a payer had two possible limits the shorter one was used, so the real deadline can only be later, never earlier. Filing Limit and Limit Carrier name the figure applied and the carrier row it came from.</t>
  </si>
  <si>
    <t>Deadlines are counted from the date of service. Secondary claims are often counted from the primary payer's remittance date instead - that is not reflected here.</t>
  </si>
  <si>
    <t>Cells you edit</t>
  </si>
  <si>
    <t>Four columns are shaded pale yellow and are the ones meant to be edited here: Claim Status (A), Notes (B), Processed Date (C) and Latest Date Worked (K). Claim Status has a drop-down of the statuses already in use - it is a suggestion, not a restriction, so you can type anything.</t>
  </si>
  <si>
    <t>Statuses currently in use: Denied, Finalized, PAID, Pending, Received, Rejected, Under Review.</t>
  </si>
  <si>
    <t>Example of the expected format - Claim Status: "Denied";  Notes: "Corrected service line 1 - resubmitted";  Processed Date: "06/25/2026";  Latest Date Worked: "08/12/2026".</t>
  </si>
  <si>
    <t>Processed Date and Latest Date Worked</t>
  </si>
  <si>
    <t>Both are real dates displayed MM/DD/YYYY, the same order as every other date column in these files and as the source data. Latest Date Worked starts empty.</t>
  </si>
  <si>
    <t>Processed Date is filled in wherever the row had something to fill it with: the date written into the Notes where there was one, otherwise the Insurance Check Date. A date from the Notes is never overwritten by a check date. Where the row has neither, it is blank for you to fill in.</t>
  </si>
  <si>
    <t>Corrected claim and appeal countdowns</t>
  </si>
  <si>
    <t>Days Until Corrected Claim Deadline (M) and Days Until Appeal Deadline (N) sit next to the filing countdown. Each carrier counts its window either from the date of service or from the processed date - the Corrected Claim From and Appeal From columns say which, and each countdown is built off whichever date that is. Both come from Carrier_Timely_Filing_Reference.xlsx.</t>
  </si>
  <si>
    <t>A blank means one of two things: the carrier has no window on file, or the carrier counts from the processed date and Processed Date is still empty on that row. In the second case the countdown fills itself in as soon as you enter a Processed Date - both columns are live formulas.</t>
  </si>
  <si>
    <t>These windows matter most on the rows whose initial filing deadline has already passed. Note the traps the reference calls out: Cigna does not restart the clock for a corrected claim, and Medicare separates reopening from redetermination.</t>
  </si>
  <si>
    <t>How this file feeds the master</t>
  </si>
  <si>
    <t>The link is matched on Primary Claim ID, not on row position, so sorting and filtering these sheets is safe. Do not edit that column, and do not rename the specialty sheet tabs.</t>
  </si>
  <si>
    <t>Everything else in this file is a static copy of the source data from 'Specialty Claims Pending 2026-S1.xlsx' (sheet 'Merged').</t>
  </si>
  <si>
    <t>540 days</t>
  </si>
  <si>
    <t>50 claims with a date of service in 2026-01 January, split into one sheet per specialty: BH, DME, GAE, ORTHO, US.</t>
  </si>
  <si>
    <t>Every specialty sheet is sorted in four groups: Rejected claims at the very top, then claims with an empty Latest Date Worked (column K), then the other open claims, and Finalized and PAID claims at the bottom (a Finalized or PAID claim with an empty Latest Date Worked stays in the empty Latest Date Worked group). Within each group, rows are ordered by how close the claim is to its primary payer's timely filing deadline. Days Until Deadline (column L) carries the count: five days or less left is shaded red, a negative number means the filing window has already closed, and a blank means no limit is on file for that payer.</t>
  </si>
  <si>
    <t>Deadline order within each group, with the colour band each row gets, counted on 19 September 2026:</t>
  </si>
  <si>
    <t>'SPC26S1 - 00 Master v2.xlsx' (same folder) holds all 477 claims for 2026 S1. Its Claim Status and Notes columns are formulas that read this file, so anything you type in columns A and B here shows up there. Keep both files in the same folder, keep the file name unchanged, and save this file before opening the master.</t>
  </si>
  <si>
    <t>Resubmitted with 99492 - Recon filed - Request ID TT2647830 - Claim 26A635462200 DOS 01/27/26 99493 denied no prior CoCM 6mo. Prior 99493 DOS 12/16/25 paid clm 26A070631100 under old ID 2062477. Req reprocess; PRA attached - DND 99493 This non-payable code is for required reporting only - Added Date of Current Illness, claim note, and resubmitted</t>
  </si>
  <si>
    <t>Resubmitted with Riddle last name - Tricare active on DOS - VA doesn't cover BH</t>
  </si>
  <si>
    <t>Resubmitted again - Aisha said peoria is active from jan 2026 - Reprocessing claim - Confirmation Number: 26119900211</t>
  </si>
  <si>
    <t>PAID - Rep Paul - PTAN issue holding payment - Escalation to Recoupment Dept. so they can confirm EFT info update made on 06/18/2025 and close the PTAN alert dated 05/26/2023 - When solved, TAT for checks to be sent is 7-10 bd - Ref # 0634705-26</t>
  </si>
  <si>
    <t>Reprocess claim - CCN 26084823876002 Pending</t>
  </si>
  <si>
    <t>secondary - I need to crossover claim - Corrected adjustments, and resubmitted</t>
  </si>
  <si>
    <t>secondary - I need to crossover claim - Edited charges for A6219, and resubmitted</t>
  </si>
  <si>
    <t xml:space="preserve">Tfierro working on PT eligibility on dos  </t>
  </si>
  <si>
    <t>secondary - Resubmitted to AmeTrust</t>
  </si>
  <si>
    <t xml:space="preserve">Jess uploaded MR </t>
  </si>
  <si>
    <t>Under Review</t>
  </si>
  <si>
    <t>Waiting for account to get activated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</si>
</sst>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11"/>
      <color rgb="FFFFFFFF"/>
      <name val="Calibri"/>
    </font>
    <font>
      <sz val="11"/>
      <name val="Calibri"/>
    </font>
    <font>
      <b/>
      <sz val="14"/>
      <color rgb="FF1F4E79"/>
      <name val="Calibri"/>
    </font>
    <font>
      <b/>
      <sz val="11"/>
      <color rgb="FF1F4E79"/>
      <name val="Calibri"/>
    </font>
    <font>
      <sz val="11"/>
      <name val="Calibri"/>
      <family val="2"/>
    </font>
  </fonts>
  <fills count="4">
    <fill>
      <patternFill patternType="none"/>
    </fill>
    <fill>
      <patternFill patternType="gray125"/>
    </fill>
    <fill>
      <patternFill patternType="solid">
        <fgColor rgb="FF1F4E79"/>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0" fontId="2" fillId="3" borderId="1" xfId="0" applyFont="1" applyFill="1" applyBorder="1" applyAlignment="1">
      <alignment vertical="top" wrapText="1"/>
    </xf>
    <xf numFmtId="164" fontId="2" fillId="3" borderId="1" xfId="0" applyNumberFormat="1" applyFont="1" applyFill="1" applyBorder="1" applyAlignment="1">
      <alignment vertical="top"/>
    </xf>
    <xf numFmtId="1" fontId="2" fillId="0" borderId="1" xfId="0" applyNumberFormat="1" applyFont="1" applyBorder="1" applyAlignment="1">
      <alignment vertical="top"/>
    </xf>
    <xf numFmtId="0" fontId="2" fillId="0" borderId="1" xfId="0" applyFont="1" applyBorder="1" applyAlignment="1">
      <alignment vertical="top"/>
    </xf>
    <xf numFmtId="164" fontId="2" fillId="0" borderId="1" xfId="0" applyNumberFormat="1" applyFont="1" applyBorder="1" applyAlignment="1">
      <alignment vertical="top"/>
    </xf>
    <xf numFmtId="0" fontId="2" fillId="0" borderId="1" xfId="0" applyFont="1" applyBorder="1" applyAlignment="1">
      <alignment vertical="top" wrapText="1"/>
    </xf>
    <xf numFmtId="4" fontId="2" fillId="0" borderId="1" xfId="0" applyNumberFormat="1" applyFont="1" applyBorder="1" applyAlignment="1">
      <alignment vertical="top"/>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1" fillId="2" borderId="1" xfId="0" applyFont="1" applyFill="1" applyBorder="1" applyAlignment="1">
      <alignment horizontal="center" vertical="center"/>
    </xf>
    <xf numFmtId="1" fontId="2" fillId="0" borderId="1" xfId="0" applyNumberFormat="1" applyFont="1" applyBorder="1" applyAlignment="1">
      <alignment horizontal="left" vertical="top"/>
    </xf>
    <xf numFmtId="0" fontId="5" fillId="3" borderId="1" xfId="0" applyFont="1" applyFill="1" applyBorder="1" applyAlignment="1">
      <alignment vertical="top"/>
    </xf>
  </cellXfs>
  <cellStyles count="1">
    <cellStyle name="Normal" xfId="0" builtinId="0"/>
  </cellStyles>
  <dxfs count="108">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ill>
        <patternFill patternType="solid">
          <bgColor rgb="FFC6E0B4"/>
        </patternFill>
      </fill>
    </dxf>
    <dxf>
      <fill>
        <patternFill patternType="solid">
          <bgColor rgb="FFBDD7EE"/>
        </patternFill>
      </fill>
    </dxf>
    <dxf>
      <fill>
        <patternFill patternType="solid">
          <bgColor rgb="FFD9D2E9"/>
        </patternFill>
      </fill>
    </dxf>
    <dxf>
      <fill>
        <patternFill patternType="solid">
          <bgColor rgb="FFFFE699"/>
        </patternFill>
      </fill>
    </dxf>
    <dxf>
      <fill>
        <patternFill patternType="solid">
          <bgColor rgb="FFF8CBAD"/>
        </patternFill>
      </fill>
    </dxf>
    <dxf>
      <fill>
        <patternFill patternType="solid">
          <bgColor rgb="FFFF9F9F"/>
        </patternFill>
      </fill>
    </dxf>
    <dxf>
      <fill>
        <patternFill patternType="solid">
          <bgColor rgb="FFE4A0C8"/>
        </patternFill>
      </fill>
    </dxf>
    <dxf>
      <fill>
        <patternFill patternType="solid">
          <bgColor rgb="FFBFBFB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7"/>
  <sheetViews>
    <sheetView tabSelected="1" zoomScale="90" workbookViewId="0">
      <pane xSplit="2" ySplit="1" topLeftCell="C2" activePane="bottomRight" state="frozen"/>
      <selection pane="topRight"/>
      <selection pane="bottomLeft"/>
      <selection pane="bottomRight" activeCell="H10" sqref="H10"/>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31.28515625" customWidth="1"/>
    <col min="11" max="11" width="12.42578125" customWidth="1"/>
    <col min="12" max="12" width="12" customWidth="1"/>
    <col min="13" max="13" width="18.85546875" customWidth="1"/>
    <col min="14" max="14" width="15" customWidth="1"/>
    <col min="15" max="15" width="17" customWidth="1"/>
    <col min="16" max="16" width="14" customWidth="1"/>
    <col min="17" max="17" width="30" customWidth="1"/>
    <col min="18" max="18" width="14" customWidth="1"/>
    <col min="19" max="19" width="16" customWidth="1"/>
    <col min="20" max="20" width="13" customWidth="1"/>
    <col min="21" max="21" width="16"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3" t="s">
        <v>0</v>
      </c>
      <c r="B1" s="13" t="s">
        <v>1</v>
      </c>
      <c r="C1" s="13" t="s">
        <v>2</v>
      </c>
      <c r="D1" s="13" t="s">
        <v>3</v>
      </c>
      <c r="E1" s="13" t="s">
        <v>4</v>
      </c>
      <c r="F1" s="13" t="s">
        <v>5</v>
      </c>
      <c r="G1" s="13" t="s">
        <v>6</v>
      </c>
      <c r="H1" s="13" t="s">
        <v>7</v>
      </c>
      <c r="I1" s="13" t="s">
        <v>8</v>
      </c>
      <c r="J1" s="13" t="s">
        <v>9</v>
      </c>
      <c r="K1" s="1" t="s">
        <v>10</v>
      </c>
      <c r="L1" s="1" t="s">
        <v>11</v>
      </c>
      <c r="M1" s="1" t="s">
        <v>12</v>
      </c>
      <c r="N1" s="1" t="s">
        <v>13</v>
      </c>
      <c r="O1" s="13" t="s">
        <v>14</v>
      </c>
      <c r="P1" s="13"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c r="AJ1" s="13" t="s">
        <v>35</v>
      </c>
      <c r="AK1" s="13" t="s">
        <v>36</v>
      </c>
      <c r="AL1" s="13" t="s">
        <v>37</v>
      </c>
      <c r="AM1" s="13" t="s">
        <v>38</v>
      </c>
      <c r="AN1" s="13" t="s">
        <v>39</v>
      </c>
    </row>
    <row r="2" spans="1:40" x14ac:dyDescent="0.25">
      <c r="A2" s="2" t="s">
        <v>109</v>
      </c>
      <c r="B2" s="2" t="s">
        <v>110</v>
      </c>
      <c r="C2" s="4">
        <v>46098</v>
      </c>
      <c r="D2" s="5">
        <v>557090486</v>
      </c>
      <c r="E2" s="6" t="s">
        <v>111</v>
      </c>
      <c r="F2" s="7">
        <v>46036</v>
      </c>
      <c r="G2" s="6" t="s">
        <v>112</v>
      </c>
      <c r="H2" s="6" t="s">
        <v>112</v>
      </c>
      <c r="I2" s="6" t="s">
        <v>76</v>
      </c>
      <c r="J2" s="6" t="s">
        <v>113</v>
      </c>
      <c r="K2" s="4">
        <v>46135</v>
      </c>
      <c r="L2" s="14">
        <f ca="1">IF($O2="","",$O2-TODAY())</f>
        <v>-148</v>
      </c>
      <c r="M2" s="14">
        <f ca="1">IF($C2="","",$C2+365-TODAY())</f>
        <v>159</v>
      </c>
      <c r="N2" s="14">
        <f ca="1">IF($C2="","",$C2+90-TODAY())</f>
        <v>-116</v>
      </c>
      <c r="O2" s="7">
        <v>46156</v>
      </c>
      <c r="P2" s="6" t="s">
        <v>49</v>
      </c>
      <c r="Q2" s="6" t="s">
        <v>114</v>
      </c>
      <c r="R2" s="6" t="s">
        <v>46</v>
      </c>
      <c r="S2" s="6" t="s">
        <v>48</v>
      </c>
      <c r="T2" s="6" t="s">
        <v>78</v>
      </c>
      <c r="U2" s="6" t="s">
        <v>48</v>
      </c>
      <c r="V2" s="6"/>
      <c r="W2" s="6"/>
      <c r="X2" s="6"/>
      <c r="Y2" s="6" t="s">
        <v>115</v>
      </c>
      <c r="Z2" s="9">
        <v>1769.18</v>
      </c>
      <c r="AA2" s="9">
        <v>0</v>
      </c>
      <c r="AB2" s="9">
        <v>0</v>
      </c>
      <c r="AC2" s="7">
        <v>46098</v>
      </c>
      <c r="AD2" s="9">
        <v>1769.18</v>
      </c>
      <c r="AE2" s="5">
        <v>206</v>
      </c>
      <c r="AF2" s="6" t="s">
        <v>116</v>
      </c>
      <c r="AG2" s="6"/>
      <c r="AH2" s="6"/>
      <c r="AI2" s="6"/>
      <c r="AJ2" s="5"/>
      <c r="AK2" s="6" t="s">
        <v>61</v>
      </c>
      <c r="AL2" s="6" t="s">
        <v>62</v>
      </c>
      <c r="AM2" s="7">
        <v>46056</v>
      </c>
      <c r="AN2" s="6" t="s">
        <v>54</v>
      </c>
    </row>
    <row r="3" spans="1:40" x14ac:dyDescent="0.25">
      <c r="A3" s="2" t="s">
        <v>109</v>
      </c>
      <c r="B3" s="15" t="s">
        <v>315</v>
      </c>
      <c r="C3" s="4">
        <v>46070</v>
      </c>
      <c r="D3" s="5">
        <v>565238310</v>
      </c>
      <c r="E3" s="6" t="s">
        <v>117</v>
      </c>
      <c r="F3" s="7">
        <v>46045</v>
      </c>
      <c r="G3" s="6" t="s">
        <v>118</v>
      </c>
      <c r="H3" s="6" t="s">
        <v>118</v>
      </c>
      <c r="I3" s="6" t="s">
        <v>76</v>
      </c>
      <c r="J3" s="6" t="s">
        <v>100</v>
      </c>
      <c r="K3" s="4">
        <v>46289</v>
      </c>
      <c r="L3" s="14">
        <f ca="1">IF($O3="","",$O3-TODAY())</f>
        <v>-79</v>
      </c>
      <c r="M3" s="14">
        <f ca="1">IF($C3="","",$C3+365-TODAY())</f>
        <v>131</v>
      </c>
      <c r="N3" s="14">
        <f ca="1">IF($C3="","",$C3+365-TODAY())</f>
        <v>131</v>
      </c>
      <c r="O3" s="7">
        <v>46225</v>
      </c>
      <c r="P3" s="6" t="s">
        <v>80</v>
      </c>
      <c r="Q3" s="6" t="s">
        <v>119</v>
      </c>
      <c r="R3" s="6" t="s">
        <v>46</v>
      </c>
      <c r="S3" s="6" t="s">
        <v>48</v>
      </c>
      <c r="T3" s="6" t="s">
        <v>46</v>
      </c>
      <c r="U3" s="6" t="s">
        <v>48</v>
      </c>
      <c r="V3" s="6"/>
      <c r="W3" s="6"/>
      <c r="X3" s="6"/>
      <c r="Y3" s="6" t="s">
        <v>59</v>
      </c>
      <c r="Z3" s="9">
        <v>1426.25</v>
      </c>
      <c r="AA3" s="9">
        <v>0</v>
      </c>
      <c r="AB3" s="9">
        <v>0</v>
      </c>
      <c r="AC3" s="7">
        <v>46070</v>
      </c>
      <c r="AD3" s="9">
        <v>1426.25</v>
      </c>
      <c r="AE3" s="5">
        <v>197</v>
      </c>
      <c r="AF3" s="6" t="s">
        <v>71</v>
      </c>
      <c r="AG3" s="6"/>
      <c r="AH3" s="6"/>
      <c r="AI3" s="6"/>
      <c r="AJ3" s="5"/>
      <c r="AK3" s="6" t="s">
        <v>67</v>
      </c>
      <c r="AL3" s="6" t="s">
        <v>90</v>
      </c>
      <c r="AM3" s="7">
        <v>46057</v>
      </c>
      <c r="AN3" s="6" t="s">
        <v>54</v>
      </c>
    </row>
    <row r="4" spans="1:40" x14ac:dyDescent="0.25">
      <c r="A4" s="2" t="s">
        <v>55</v>
      </c>
      <c r="B4" s="2" t="s">
        <v>41</v>
      </c>
      <c r="C4" s="4">
        <v>46071</v>
      </c>
      <c r="D4" s="5">
        <v>547309790</v>
      </c>
      <c r="E4" s="6" t="s">
        <v>56</v>
      </c>
      <c r="F4" s="7">
        <v>46043</v>
      </c>
      <c r="G4" s="6" t="s">
        <v>57</v>
      </c>
      <c r="H4" s="6" t="s">
        <v>44</v>
      </c>
      <c r="I4" s="6" t="s">
        <v>57</v>
      </c>
      <c r="J4" s="6" t="s">
        <v>58</v>
      </c>
      <c r="K4" s="4"/>
      <c r="L4" s="14">
        <f ca="1">IF($O4="","",$O4-TODAY())</f>
        <v>104</v>
      </c>
      <c r="M4" s="14">
        <f ca="1">IF($C4="","",$C4+365-TODAY())</f>
        <v>132</v>
      </c>
      <c r="N4" s="14">
        <f ca="1">IF($C4="","",$C4+120-TODAY())</f>
        <v>-113</v>
      </c>
      <c r="O4" s="7">
        <v>46408</v>
      </c>
      <c r="P4" s="6" t="s">
        <v>46</v>
      </c>
      <c r="Q4" s="6" t="s">
        <v>47</v>
      </c>
      <c r="R4" s="6" t="s">
        <v>46</v>
      </c>
      <c r="S4" s="6" t="s">
        <v>48</v>
      </c>
      <c r="T4" s="6" t="s">
        <v>49</v>
      </c>
      <c r="U4" s="6" t="s">
        <v>48</v>
      </c>
      <c r="V4" s="6"/>
      <c r="W4" s="6"/>
      <c r="X4" s="6"/>
      <c r="Y4" s="6" t="s">
        <v>59</v>
      </c>
      <c r="Z4" s="9">
        <v>976.64</v>
      </c>
      <c r="AA4" s="9">
        <v>846.88</v>
      </c>
      <c r="AB4" s="9">
        <v>101.35</v>
      </c>
      <c r="AC4" s="7">
        <v>46071</v>
      </c>
      <c r="AD4" s="9">
        <v>28.41</v>
      </c>
      <c r="AE4" s="5">
        <v>199</v>
      </c>
      <c r="AF4" s="6" t="s">
        <v>60</v>
      </c>
      <c r="AG4" s="6"/>
      <c r="AH4" s="6"/>
      <c r="AI4" s="6"/>
      <c r="AJ4" s="5">
        <v>550866344</v>
      </c>
      <c r="AK4" s="6" t="s">
        <v>61</v>
      </c>
      <c r="AL4" s="6" t="s">
        <v>62</v>
      </c>
      <c r="AM4" s="7">
        <v>46056</v>
      </c>
      <c r="AN4" s="6" t="s">
        <v>54</v>
      </c>
    </row>
    <row r="5" spans="1:40" x14ac:dyDescent="0.25">
      <c r="A5" s="2" t="s">
        <v>63</v>
      </c>
      <c r="B5" s="2"/>
      <c r="C5" s="4">
        <v>46129</v>
      </c>
      <c r="D5" s="5">
        <v>555619522</v>
      </c>
      <c r="E5" s="6" t="s">
        <v>64</v>
      </c>
      <c r="F5" s="7">
        <v>46044</v>
      </c>
      <c r="G5" s="6" t="s">
        <v>44</v>
      </c>
      <c r="H5" s="6" t="s">
        <v>44</v>
      </c>
      <c r="I5" s="6" t="s">
        <v>65</v>
      </c>
      <c r="J5" s="6" t="s">
        <v>66</v>
      </c>
      <c r="K5" s="4"/>
      <c r="L5" s="14">
        <f ca="1">IF($O5="","",$O5-TODAY())</f>
        <v>105</v>
      </c>
      <c r="M5" s="14">
        <f ca="1">IF($C5="","",$C5+365-TODAY())</f>
        <v>190</v>
      </c>
      <c r="N5" s="14">
        <f ca="1">IF($C5="","",$C5+120-TODAY())</f>
        <v>-55</v>
      </c>
      <c r="O5" s="7">
        <v>46409</v>
      </c>
      <c r="P5" s="6" t="s">
        <v>46</v>
      </c>
      <c r="Q5" s="6" t="s">
        <v>47</v>
      </c>
      <c r="R5" s="6" t="s">
        <v>46</v>
      </c>
      <c r="S5" s="6" t="s">
        <v>48</v>
      </c>
      <c r="T5" s="6" t="s">
        <v>49</v>
      </c>
      <c r="U5" s="6" t="s">
        <v>48</v>
      </c>
      <c r="V5" s="6"/>
      <c r="W5" s="6"/>
      <c r="X5" s="6"/>
      <c r="Y5" s="6" t="s">
        <v>59</v>
      </c>
      <c r="Z5" s="9">
        <v>1426.25</v>
      </c>
      <c r="AA5" s="9">
        <v>0</v>
      </c>
      <c r="AB5" s="9">
        <v>0</v>
      </c>
      <c r="AC5" s="7">
        <v>46129</v>
      </c>
      <c r="AD5" s="9">
        <v>1426.25</v>
      </c>
      <c r="AE5" s="5">
        <v>198</v>
      </c>
      <c r="AF5" s="6" t="s">
        <v>51</v>
      </c>
      <c r="AG5" s="6"/>
      <c r="AH5" s="6"/>
      <c r="AI5" s="6"/>
      <c r="AJ5" s="5"/>
      <c r="AK5" s="6" t="s">
        <v>67</v>
      </c>
      <c r="AL5" s="6" t="s">
        <v>62</v>
      </c>
      <c r="AM5" s="7">
        <v>46056</v>
      </c>
      <c r="AN5" s="6" t="s">
        <v>54</v>
      </c>
    </row>
    <row r="6" spans="1:40" x14ac:dyDescent="0.25">
      <c r="A6" s="2" t="s">
        <v>55</v>
      </c>
      <c r="B6" s="2" t="s">
        <v>68</v>
      </c>
      <c r="C6" s="4">
        <v>46072</v>
      </c>
      <c r="D6" s="5">
        <v>547756234</v>
      </c>
      <c r="E6" s="6" t="s">
        <v>69</v>
      </c>
      <c r="F6" s="7">
        <v>46050</v>
      </c>
      <c r="G6" s="6" t="s">
        <v>70</v>
      </c>
      <c r="H6" s="6" t="s">
        <v>44</v>
      </c>
      <c r="I6" s="6" t="s">
        <v>70</v>
      </c>
      <c r="J6" s="6" t="s">
        <v>58</v>
      </c>
      <c r="K6" s="4"/>
      <c r="L6" s="14">
        <f ca="1">IF($O6="","",$O6-TODAY())</f>
        <v>111</v>
      </c>
      <c r="M6" s="14">
        <f ca="1">IF($C6="","",$C6+365-TODAY())</f>
        <v>133</v>
      </c>
      <c r="N6" s="14">
        <f ca="1">IF($C6="","",$C6+120-TODAY())</f>
        <v>-112</v>
      </c>
      <c r="O6" s="7">
        <v>46415</v>
      </c>
      <c r="P6" s="6" t="s">
        <v>46</v>
      </c>
      <c r="Q6" s="6" t="s">
        <v>47</v>
      </c>
      <c r="R6" s="6" t="s">
        <v>46</v>
      </c>
      <c r="S6" s="6" t="s">
        <v>48</v>
      </c>
      <c r="T6" s="6" t="s">
        <v>49</v>
      </c>
      <c r="U6" s="6" t="s">
        <v>48</v>
      </c>
      <c r="V6" s="6"/>
      <c r="W6" s="6"/>
      <c r="X6" s="6"/>
      <c r="Y6" s="6" t="s">
        <v>59</v>
      </c>
      <c r="Z6" s="9">
        <v>976.64</v>
      </c>
      <c r="AA6" s="9">
        <v>844.25</v>
      </c>
      <c r="AB6" s="9">
        <v>103.98</v>
      </c>
      <c r="AC6" s="7">
        <v>46072</v>
      </c>
      <c r="AD6" s="9">
        <v>28.41</v>
      </c>
      <c r="AE6" s="5">
        <v>192</v>
      </c>
      <c r="AF6" s="6" t="s">
        <v>71</v>
      </c>
      <c r="AG6" s="6"/>
      <c r="AH6" s="6"/>
      <c r="AI6" s="6"/>
      <c r="AJ6" s="5">
        <v>550865889</v>
      </c>
      <c r="AK6" s="6" t="s">
        <v>72</v>
      </c>
      <c r="AL6" s="6" t="s">
        <v>53</v>
      </c>
      <c r="AM6" s="7">
        <v>46057</v>
      </c>
      <c r="AN6" s="6" t="s">
        <v>54</v>
      </c>
    </row>
    <row r="7" spans="1:40" x14ac:dyDescent="0.25">
      <c r="A7" s="2" t="s">
        <v>63</v>
      </c>
      <c r="B7" s="2" t="s">
        <v>317</v>
      </c>
      <c r="C7" s="4">
        <v>46063</v>
      </c>
      <c r="D7" s="5">
        <v>545484752</v>
      </c>
      <c r="E7" s="6" t="s">
        <v>81</v>
      </c>
      <c r="F7" s="7">
        <v>46029</v>
      </c>
      <c r="G7" s="6" t="s">
        <v>43</v>
      </c>
      <c r="H7" s="6" t="s">
        <v>43</v>
      </c>
      <c r="I7" s="6" t="s">
        <v>76</v>
      </c>
      <c r="J7" s="6" t="s">
        <v>66</v>
      </c>
      <c r="K7" s="4"/>
      <c r="L7" s="14">
        <f ca="1">IF($O7="","",$O7-TODAY())</f>
        <v>-185</v>
      </c>
      <c r="M7" s="14">
        <f ca="1">IF($F7="","",$F7+90-TODAY())</f>
        <v>-185</v>
      </c>
      <c r="N7" s="14">
        <f ca="1">IF($C7="","",$C7+365-TODAY())</f>
        <v>124</v>
      </c>
      <c r="O7" s="7">
        <v>46119</v>
      </c>
      <c r="P7" s="6" t="s">
        <v>78</v>
      </c>
      <c r="Q7" s="6" t="s">
        <v>82</v>
      </c>
      <c r="R7" s="6" t="s">
        <v>78</v>
      </c>
      <c r="S7" s="6" t="s">
        <v>124</v>
      </c>
      <c r="T7" s="6" t="s">
        <v>46</v>
      </c>
      <c r="U7" s="6" t="s">
        <v>48</v>
      </c>
      <c r="V7" s="6"/>
      <c r="W7" s="6"/>
      <c r="X7" s="6"/>
      <c r="Y7" s="6" t="s">
        <v>59</v>
      </c>
      <c r="Z7" s="9">
        <v>1426.25</v>
      </c>
      <c r="AA7" s="9">
        <v>0</v>
      </c>
      <c r="AB7" s="9">
        <v>0</v>
      </c>
      <c r="AC7" s="7">
        <v>46063</v>
      </c>
      <c r="AD7" s="9">
        <v>1426.25</v>
      </c>
      <c r="AE7" s="5">
        <v>213</v>
      </c>
      <c r="AF7" s="6" t="s">
        <v>51</v>
      </c>
      <c r="AG7" s="6"/>
      <c r="AH7" s="6"/>
      <c r="AI7" s="6"/>
      <c r="AJ7" s="5"/>
      <c r="AK7" s="6" t="s">
        <v>83</v>
      </c>
      <c r="AL7" s="6" t="s">
        <v>53</v>
      </c>
      <c r="AM7" s="7">
        <v>46057</v>
      </c>
      <c r="AN7" s="6" t="s">
        <v>54</v>
      </c>
    </row>
    <row r="8" spans="1:40" x14ac:dyDescent="0.25">
      <c r="A8" s="2" t="s">
        <v>63</v>
      </c>
      <c r="B8" s="2" t="s">
        <v>317</v>
      </c>
      <c r="C8" s="4">
        <v>46141</v>
      </c>
      <c r="D8" s="5">
        <v>545748574</v>
      </c>
      <c r="E8" s="6" t="s">
        <v>84</v>
      </c>
      <c r="F8" s="7">
        <v>46031</v>
      </c>
      <c r="G8" s="6" t="s">
        <v>75</v>
      </c>
      <c r="H8" s="6" t="s">
        <v>75</v>
      </c>
      <c r="I8" s="6" t="s">
        <v>76</v>
      </c>
      <c r="J8" s="6" t="s">
        <v>66</v>
      </c>
      <c r="K8" s="4"/>
      <c r="L8" s="14">
        <f ca="1">IF($O8="","",$O8-TODAY())</f>
        <v>-183</v>
      </c>
      <c r="M8" s="14">
        <f ca="1">IF($C8="","",$C8+180-TODAY())</f>
        <v>17</v>
      </c>
      <c r="N8" s="14">
        <f ca="1">IF($C8="","",$C8+365-TODAY())</f>
        <v>202</v>
      </c>
      <c r="O8" s="7">
        <v>46121</v>
      </c>
      <c r="P8" s="6" t="s">
        <v>78</v>
      </c>
      <c r="Q8" s="6" t="s">
        <v>79</v>
      </c>
      <c r="R8" s="6" t="s">
        <v>80</v>
      </c>
      <c r="S8" s="6" t="s">
        <v>48</v>
      </c>
      <c r="T8" s="6" t="s">
        <v>46</v>
      </c>
      <c r="U8" s="6" t="s">
        <v>48</v>
      </c>
      <c r="V8" s="6"/>
      <c r="W8" s="6"/>
      <c r="X8" s="6"/>
      <c r="Y8" s="6" t="s">
        <v>59</v>
      </c>
      <c r="Z8" s="9">
        <v>1426.25</v>
      </c>
      <c r="AA8" s="9">
        <v>0</v>
      </c>
      <c r="AB8" s="9">
        <v>0</v>
      </c>
      <c r="AC8" s="7">
        <v>46141</v>
      </c>
      <c r="AD8" s="9">
        <v>1426.25</v>
      </c>
      <c r="AE8" s="5">
        <v>211</v>
      </c>
      <c r="AF8" s="6" t="s">
        <v>51</v>
      </c>
      <c r="AG8" s="6"/>
      <c r="AH8" s="6"/>
      <c r="AI8" s="6"/>
      <c r="AJ8" s="5"/>
      <c r="AK8" s="6" t="s">
        <v>61</v>
      </c>
      <c r="AL8" s="6" t="s">
        <v>53</v>
      </c>
      <c r="AM8" s="7">
        <v>46057</v>
      </c>
      <c r="AN8" s="6" t="s">
        <v>54</v>
      </c>
    </row>
    <row r="9" spans="1:40" x14ac:dyDescent="0.25">
      <c r="A9" s="2" t="s">
        <v>63</v>
      </c>
      <c r="B9" s="2" t="s">
        <v>73</v>
      </c>
      <c r="C9" s="4">
        <v>46142</v>
      </c>
      <c r="D9" s="5">
        <v>545332485</v>
      </c>
      <c r="E9" s="6" t="s">
        <v>74</v>
      </c>
      <c r="F9" s="7">
        <v>46028</v>
      </c>
      <c r="G9" s="6" t="s">
        <v>75</v>
      </c>
      <c r="H9" s="6" t="s">
        <v>75</v>
      </c>
      <c r="I9" s="6" t="s">
        <v>76</v>
      </c>
      <c r="J9" s="6" t="s">
        <v>77</v>
      </c>
      <c r="K9" s="4">
        <v>46122</v>
      </c>
      <c r="L9" s="14">
        <f ca="1">IF($O9="","",$O9-TODAY())</f>
        <v>-186</v>
      </c>
      <c r="M9" s="14">
        <f ca="1">IF($C9="","",$C9+180-TODAY())</f>
        <v>18</v>
      </c>
      <c r="N9" s="14">
        <f ca="1">IF($C9="","",$C9+365-TODAY())</f>
        <v>203</v>
      </c>
      <c r="O9" s="7">
        <v>46118</v>
      </c>
      <c r="P9" s="6" t="s">
        <v>78</v>
      </c>
      <c r="Q9" s="6" t="s">
        <v>79</v>
      </c>
      <c r="R9" s="6" t="s">
        <v>80</v>
      </c>
      <c r="S9" s="6" t="s">
        <v>48</v>
      </c>
      <c r="T9" s="6" t="s">
        <v>46</v>
      </c>
      <c r="U9" s="6" t="s">
        <v>48</v>
      </c>
      <c r="V9" s="6"/>
      <c r="W9" s="6"/>
      <c r="X9" s="6"/>
      <c r="Y9" s="6" t="s">
        <v>59</v>
      </c>
      <c r="Z9" s="9">
        <v>396.27</v>
      </c>
      <c r="AA9" s="9">
        <v>0</v>
      </c>
      <c r="AB9" s="9">
        <v>0</v>
      </c>
      <c r="AC9" s="7">
        <v>46142</v>
      </c>
      <c r="AD9" s="9">
        <v>396.27</v>
      </c>
      <c r="AE9" s="5">
        <v>214</v>
      </c>
      <c r="AF9" s="6" t="s">
        <v>51</v>
      </c>
      <c r="AG9" s="6"/>
      <c r="AH9" s="6"/>
      <c r="AI9" s="6"/>
      <c r="AJ9" s="5"/>
      <c r="AK9" s="6" t="s">
        <v>67</v>
      </c>
      <c r="AL9" s="6" t="s">
        <v>53</v>
      </c>
      <c r="AM9" s="7">
        <v>46057</v>
      </c>
      <c r="AN9" s="6" t="s">
        <v>54</v>
      </c>
    </row>
    <row r="10" spans="1:40" x14ac:dyDescent="0.25">
      <c r="A10" s="2" t="s">
        <v>63</v>
      </c>
      <c r="B10" s="2" t="s">
        <v>85</v>
      </c>
      <c r="C10" s="4">
        <v>46133</v>
      </c>
      <c r="D10" s="5">
        <v>556348109</v>
      </c>
      <c r="E10" s="6" t="s">
        <v>86</v>
      </c>
      <c r="F10" s="7">
        <v>46036</v>
      </c>
      <c r="G10" s="6" t="s">
        <v>87</v>
      </c>
      <c r="H10" s="6" t="s">
        <v>87</v>
      </c>
      <c r="I10" s="6" t="s">
        <v>76</v>
      </c>
      <c r="J10" s="6" t="s">
        <v>58</v>
      </c>
      <c r="K10" s="4">
        <v>46129</v>
      </c>
      <c r="L10" s="14">
        <f ca="1">IF($O10="","",$O10-TODAY())</f>
        <v>-178</v>
      </c>
      <c r="M10" s="14">
        <f ca="1">IF($C10="","",$C10+365-TODAY())</f>
        <v>194</v>
      </c>
      <c r="N10" s="14">
        <f ca="1">IF($C10="","",$C10+365-TODAY())</f>
        <v>194</v>
      </c>
      <c r="O10" s="7">
        <v>46126</v>
      </c>
      <c r="P10" s="6" t="s">
        <v>78</v>
      </c>
      <c r="Q10" s="6" t="s">
        <v>88</v>
      </c>
      <c r="R10" s="6" t="s">
        <v>46</v>
      </c>
      <c r="S10" s="6" t="s">
        <v>48</v>
      </c>
      <c r="T10" s="6" t="s">
        <v>46</v>
      </c>
      <c r="U10" s="6" t="s">
        <v>48</v>
      </c>
      <c r="V10" s="6"/>
      <c r="W10" s="6"/>
      <c r="X10" s="6"/>
      <c r="Y10" s="6" t="s">
        <v>59</v>
      </c>
      <c r="Z10" s="9">
        <v>976.64</v>
      </c>
      <c r="AA10" s="9">
        <v>0</v>
      </c>
      <c r="AB10" s="9">
        <v>0</v>
      </c>
      <c r="AC10" s="7">
        <v>46133</v>
      </c>
      <c r="AD10" s="9">
        <v>976.64</v>
      </c>
      <c r="AE10" s="5">
        <v>206</v>
      </c>
      <c r="AF10" s="6" t="s">
        <v>89</v>
      </c>
      <c r="AG10" s="6"/>
      <c r="AH10" s="6"/>
      <c r="AI10" s="6"/>
      <c r="AJ10" s="5"/>
      <c r="AK10" s="6" t="s">
        <v>52</v>
      </c>
      <c r="AL10" s="6" t="s">
        <v>90</v>
      </c>
      <c r="AM10" s="7">
        <v>46057</v>
      </c>
      <c r="AN10" s="6" t="s">
        <v>54</v>
      </c>
    </row>
    <row r="11" spans="1:40" x14ac:dyDescent="0.25">
      <c r="A11" s="2" t="s">
        <v>63</v>
      </c>
      <c r="B11" s="2" t="s">
        <v>91</v>
      </c>
      <c r="C11" s="4">
        <v>46064</v>
      </c>
      <c r="D11" s="5">
        <v>548015539</v>
      </c>
      <c r="E11" s="6" t="s">
        <v>92</v>
      </c>
      <c r="F11" s="7">
        <v>46043</v>
      </c>
      <c r="G11" s="6" t="s">
        <v>43</v>
      </c>
      <c r="H11" s="6" t="s">
        <v>43</v>
      </c>
      <c r="I11" s="6" t="s">
        <v>44</v>
      </c>
      <c r="J11" s="6" t="s">
        <v>66</v>
      </c>
      <c r="K11" s="4">
        <v>46134</v>
      </c>
      <c r="L11" s="14">
        <f ca="1">IF($O11="","",$O11-TODAY())</f>
        <v>-171</v>
      </c>
      <c r="M11" s="14">
        <f ca="1">IF($F11="","",$F11+90-TODAY())</f>
        <v>-171</v>
      </c>
      <c r="N11" s="14">
        <f ca="1">IF($C11="","",$C11+365-TODAY())</f>
        <v>125</v>
      </c>
      <c r="O11" s="7">
        <v>46133</v>
      </c>
      <c r="P11" s="6" t="s">
        <v>78</v>
      </c>
      <c r="Q11" s="6" t="s">
        <v>82</v>
      </c>
      <c r="R11" s="6" t="s">
        <v>78</v>
      </c>
      <c r="S11" s="6" t="s">
        <v>124</v>
      </c>
      <c r="T11" s="6" t="s">
        <v>46</v>
      </c>
      <c r="U11" s="6" t="s">
        <v>48</v>
      </c>
      <c r="V11" s="6"/>
      <c r="W11" s="6"/>
      <c r="X11" s="6"/>
      <c r="Y11" s="6" t="s">
        <v>59</v>
      </c>
      <c r="Z11" s="9">
        <v>1426.25</v>
      </c>
      <c r="AA11" s="9">
        <v>0</v>
      </c>
      <c r="AB11" s="9">
        <v>0</v>
      </c>
      <c r="AC11" s="7">
        <v>46064</v>
      </c>
      <c r="AD11" s="9">
        <v>1426.25</v>
      </c>
      <c r="AE11" s="5">
        <v>199</v>
      </c>
      <c r="AF11" s="6" t="s">
        <v>93</v>
      </c>
      <c r="AG11" s="6"/>
      <c r="AH11" s="6"/>
      <c r="AI11" s="6"/>
      <c r="AJ11" s="5"/>
      <c r="AK11" s="6" t="s">
        <v>52</v>
      </c>
      <c r="AL11" s="6" t="s">
        <v>90</v>
      </c>
      <c r="AM11" s="7">
        <v>46057</v>
      </c>
      <c r="AN11" s="6" t="s">
        <v>54</v>
      </c>
    </row>
    <row r="12" spans="1:40" x14ac:dyDescent="0.25">
      <c r="A12" s="2" t="s">
        <v>55</v>
      </c>
      <c r="B12" s="2" t="s">
        <v>316</v>
      </c>
      <c r="C12" s="4">
        <v>46094</v>
      </c>
      <c r="D12" s="5">
        <v>547442681</v>
      </c>
      <c r="E12" s="6" t="s">
        <v>95</v>
      </c>
      <c r="F12" s="7">
        <v>46044</v>
      </c>
      <c r="G12" s="6" t="s">
        <v>96</v>
      </c>
      <c r="H12" s="6" t="s">
        <v>43</v>
      </c>
      <c r="I12" s="6" t="s">
        <v>96</v>
      </c>
      <c r="J12" s="6" t="s">
        <v>58</v>
      </c>
      <c r="K12" s="4">
        <v>46304</v>
      </c>
      <c r="L12" s="14">
        <f ca="1">IF($O12="","",$O12-TODAY())</f>
        <v>-170</v>
      </c>
      <c r="M12" s="14">
        <f ca="1">IF($F12="","",$F12+90-TODAY())</f>
        <v>-170</v>
      </c>
      <c r="N12" s="14">
        <f ca="1">IF($C12="","",$C12+365-TODAY())</f>
        <v>155</v>
      </c>
      <c r="O12" s="7">
        <v>46134</v>
      </c>
      <c r="P12" s="6" t="s">
        <v>78</v>
      </c>
      <c r="Q12" s="6" t="s">
        <v>82</v>
      </c>
      <c r="R12" s="6" t="s">
        <v>78</v>
      </c>
      <c r="S12" s="6" t="s">
        <v>124</v>
      </c>
      <c r="T12" s="6" t="s">
        <v>46</v>
      </c>
      <c r="U12" s="6" t="s">
        <v>48</v>
      </c>
      <c r="V12" s="6"/>
      <c r="W12" s="6"/>
      <c r="X12" s="6"/>
      <c r="Y12" s="6" t="s">
        <v>59</v>
      </c>
      <c r="Z12" s="9">
        <v>976.64</v>
      </c>
      <c r="AA12" s="9">
        <v>840.66</v>
      </c>
      <c r="AB12" s="9">
        <v>0</v>
      </c>
      <c r="AC12" s="7">
        <v>46094</v>
      </c>
      <c r="AD12" s="9">
        <v>135.97999999999999</v>
      </c>
      <c r="AE12" s="5">
        <v>198</v>
      </c>
      <c r="AF12" s="6" t="s">
        <v>71</v>
      </c>
      <c r="AG12" s="6"/>
      <c r="AH12" s="6"/>
      <c r="AI12" s="6"/>
      <c r="AJ12" s="5">
        <v>556556161</v>
      </c>
      <c r="AK12" s="6" t="s">
        <v>52</v>
      </c>
      <c r="AL12" s="6" t="s">
        <v>62</v>
      </c>
      <c r="AM12" s="7">
        <v>46056</v>
      </c>
      <c r="AN12" s="6" t="s">
        <v>54</v>
      </c>
    </row>
    <row r="13" spans="1:40" x14ac:dyDescent="0.25">
      <c r="A13" s="2" t="s">
        <v>97</v>
      </c>
      <c r="B13" s="2" t="s">
        <v>98</v>
      </c>
      <c r="C13" s="4">
        <v>46128</v>
      </c>
      <c r="D13" s="5">
        <v>555599776</v>
      </c>
      <c r="E13" s="6" t="s">
        <v>99</v>
      </c>
      <c r="F13" s="7">
        <v>46049</v>
      </c>
      <c r="G13" s="6" t="s">
        <v>43</v>
      </c>
      <c r="H13" s="6" t="s">
        <v>43</v>
      </c>
      <c r="I13" s="6" t="s">
        <v>76</v>
      </c>
      <c r="J13" s="6" t="s">
        <v>100</v>
      </c>
      <c r="K13" s="4">
        <v>46122</v>
      </c>
      <c r="L13" s="14">
        <f ca="1">IF($O13="","",$O13-TODAY())</f>
        <v>-165</v>
      </c>
      <c r="M13" s="14">
        <f ca="1">IF($F13="","",$F13+90-TODAY())</f>
        <v>-165</v>
      </c>
      <c r="N13" s="14">
        <f ca="1">IF($C13="","",$C13+365-TODAY())</f>
        <v>189</v>
      </c>
      <c r="O13" s="7">
        <v>46139</v>
      </c>
      <c r="P13" s="6" t="s">
        <v>78</v>
      </c>
      <c r="Q13" s="6" t="s">
        <v>82</v>
      </c>
      <c r="R13" s="6" t="s">
        <v>78</v>
      </c>
      <c r="S13" s="6" t="s">
        <v>124</v>
      </c>
      <c r="T13" s="6" t="s">
        <v>46</v>
      </c>
      <c r="U13" s="6" t="s">
        <v>48</v>
      </c>
      <c r="V13" s="6"/>
      <c r="W13" s="6"/>
      <c r="X13" s="6"/>
      <c r="Y13" s="6" t="s">
        <v>59</v>
      </c>
      <c r="Z13" s="9">
        <v>1426.25</v>
      </c>
      <c r="AA13" s="9">
        <v>0</v>
      </c>
      <c r="AB13" s="9">
        <v>0</v>
      </c>
      <c r="AC13" s="7">
        <v>46128</v>
      </c>
      <c r="AD13" s="9">
        <v>1426.25</v>
      </c>
      <c r="AE13" s="5">
        <v>193</v>
      </c>
      <c r="AF13" s="6" t="s">
        <v>51</v>
      </c>
      <c r="AG13" s="6"/>
      <c r="AH13" s="6"/>
      <c r="AI13" s="6"/>
      <c r="AJ13" s="5"/>
      <c r="AK13" s="6" t="s">
        <v>101</v>
      </c>
      <c r="AL13" s="6" t="s">
        <v>53</v>
      </c>
      <c r="AM13" s="7">
        <v>46057</v>
      </c>
      <c r="AN13" s="6" t="s">
        <v>54</v>
      </c>
    </row>
    <row r="14" spans="1:40" x14ac:dyDescent="0.25">
      <c r="A14" s="2" t="s">
        <v>63</v>
      </c>
      <c r="B14" s="2" t="s">
        <v>308</v>
      </c>
      <c r="C14" s="4">
        <v>46287</v>
      </c>
      <c r="D14" s="5">
        <v>556349314</v>
      </c>
      <c r="E14" s="6" t="s">
        <v>102</v>
      </c>
      <c r="F14" s="7">
        <v>46049</v>
      </c>
      <c r="G14" s="6" t="s">
        <v>87</v>
      </c>
      <c r="H14" s="6" t="s">
        <v>87</v>
      </c>
      <c r="I14" s="6" t="s">
        <v>76</v>
      </c>
      <c r="J14" s="6" t="s">
        <v>58</v>
      </c>
      <c r="K14" s="4">
        <v>46300</v>
      </c>
      <c r="L14" s="14">
        <f ca="1">IF($O14="","",$O14-TODAY())</f>
        <v>-165</v>
      </c>
      <c r="M14" s="14">
        <f ca="1">IF($C14="","",$C14+365-TODAY())</f>
        <v>348</v>
      </c>
      <c r="N14" s="14">
        <f ca="1">IF($C14="","",$C14+365-TODAY())</f>
        <v>348</v>
      </c>
      <c r="O14" s="7">
        <v>46139</v>
      </c>
      <c r="P14" s="6" t="s">
        <v>78</v>
      </c>
      <c r="Q14" s="6" t="s">
        <v>88</v>
      </c>
      <c r="R14" s="6" t="s">
        <v>46</v>
      </c>
      <c r="S14" s="6" t="s">
        <v>48</v>
      </c>
      <c r="T14" s="6" t="s">
        <v>46</v>
      </c>
      <c r="U14" s="6" t="s">
        <v>48</v>
      </c>
      <c r="V14" s="6"/>
      <c r="W14" s="6"/>
      <c r="X14" s="6"/>
      <c r="Y14" s="6" t="s">
        <v>59</v>
      </c>
      <c r="Z14" s="9">
        <v>976.64</v>
      </c>
      <c r="AA14" s="9">
        <v>0</v>
      </c>
      <c r="AB14" s="9">
        <v>0</v>
      </c>
      <c r="AC14" s="7">
        <v>46133</v>
      </c>
      <c r="AD14" s="9">
        <v>976.64</v>
      </c>
      <c r="AE14" s="5">
        <v>193</v>
      </c>
      <c r="AF14" s="6" t="s">
        <v>103</v>
      </c>
      <c r="AG14" s="6" t="s">
        <v>71</v>
      </c>
      <c r="AH14" s="6"/>
      <c r="AI14" s="6"/>
      <c r="AJ14" s="5"/>
      <c r="AK14" s="6" t="s">
        <v>101</v>
      </c>
      <c r="AL14" s="6" t="s">
        <v>104</v>
      </c>
      <c r="AM14" s="7">
        <v>46056</v>
      </c>
      <c r="AN14" s="6" t="s">
        <v>54</v>
      </c>
    </row>
    <row r="15" spans="1:40" x14ac:dyDescent="0.25">
      <c r="A15" s="2" t="s">
        <v>55</v>
      </c>
      <c r="B15" s="2" t="s">
        <v>105</v>
      </c>
      <c r="C15" s="4">
        <v>46066</v>
      </c>
      <c r="D15" s="5">
        <v>547976909</v>
      </c>
      <c r="E15" s="6" t="s">
        <v>106</v>
      </c>
      <c r="F15" s="7">
        <v>46051</v>
      </c>
      <c r="G15" s="6" t="s">
        <v>43</v>
      </c>
      <c r="H15" s="6" t="s">
        <v>43</v>
      </c>
      <c r="I15" s="6" t="s">
        <v>107</v>
      </c>
      <c r="J15" s="6" t="s">
        <v>58</v>
      </c>
      <c r="K15" s="4">
        <v>46245</v>
      </c>
      <c r="L15" s="14">
        <f ca="1">IF($O15="","",$O15-TODAY())</f>
        <v>-163</v>
      </c>
      <c r="M15" s="14">
        <f ca="1">IF($F15="","",$F15+90-TODAY())</f>
        <v>-163</v>
      </c>
      <c r="N15" s="14">
        <f ca="1">IF($C15="","",$C15+365-TODAY())</f>
        <v>127</v>
      </c>
      <c r="O15" s="7">
        <v>46141</v>
      </c>
      <c r="P15" s="6" t="s">
        <v>78</v>
      </c>
      <c r="Q15" s="6" t="s">
        <v>82</v>
      </c>
      <c r="R15" s="6" t="s">
        <v>78</v>
      </c>
      <c r="S15" s="6" t="s">
        <v>124</v>
      </c>
      <c r="T15" s="6" t="s">
        <v>46</v>
      </c>
      <c r="U15" s="6" t="s">
        <v>48</v>
      </c>
      <c r="V15" s="6"/>
      <c r="W15" s="6"/>
      <c r="X15" s="6"/>
      <c r="Y15" s="6" t="s">
        <v>59</v>
      </c>
      <c r="Z15" s="9">
        <v>976.64</v>
      </c>
      <c r="AA15" s="9">
        <v>0</v>
      </c>
      <c r="AB15" s="9">
        <v>0</v>
      </c>
      <c r="AC15" s="7">
        <v>46066</v>
      </c>
      <c r="AD15" s="9">
        <v>976.64</v>
      </c>
      <c r="AE15" s="5">
        <v>191</v>
      </c>
      <c r="AF15" s="6" t="s">
        <v>108</v>
      </c>
      <c r="AG15" s="6"/>
      <c r="AH15" s="6"/>
      <c r="AI15" s="6"/>
      <c r="AJ15" s="5"/>
      <c r="AK15" s="6" t="s">
        <v>61</v>
      </c>
      <c r="AL15" s="6" t="s">
        <v>62</v>
      </c>
      <c r="AM15" s="7">
        <v>46056</v>
      </c>
      <c r="AN15" s="6" t="s">
        <v>54</v>
      </c>
    </row>
    <row r="16" spans="1:40" x14ac:dyDescent="0.25">
      <c r="A16" s="2" t="s">
        <v>63</v>
      </c>
      <c r="B16" s="15" t="s">
        <v>309</v>
      </c>
      <c r="C16" s="4">
        <v>46198</v>
      </c>
      <c r="D16" s="5">
        <v>566830437</v>
      </c>
      <c r="E16" s="6" t="s">
        <v>120</v>
      </c>
      <c r="F16" s="7">
        <v>46050</v>
      </c>
      <c r="G16" s="6" t="s">
        <v>121</v>
      </c>
      <c r="H16" s="6" t="s">
        <v>121</v>
      </c>
      <c r="I16" s="6" t="s">
        <v>76</v>
      </c>
      <c r="J16" s="6" t="s">
        <v>122</v>
      </c>
      <c r="K16" s="4">
        <v>46300</v>
      </c>
      <c r="L16" s="14">
        <f ca="1">IF($O16="","",$O16-TODAY())</f>
        <v>-74</v>
      </c>
      <c r="M16" s="14">
        <f ca="1">IF($F16="","",$F16+365-TODAY())</f>
        <v>111</v>
      </c>
      <c r="N16" s="14">
        <f ca="1">IF($F16="","",$F16+365-TODAY())</f>
        <v>111</v>
      </c>
      <c r="O16" s="7">
        <v>46230</v>
      </c>
      <c r="P16" s="6" t="s">
        <v>80</v>
      </c>
      <c r="Q16" s="6" t="s">
        <v>123</v>
      </c>
      <c r="R16" s="6" t="s">
        <v>46</v>
      </c>
      <c r="S16" s="6" t="s">
        <v>124</v>
      </c>
      <c r="T16" s="6" t="s">
        <v>46</v>
      </c>
      <c r="U16" s="6" t="s">
        <v>124</v>
      </c>
      <c r="V16" s="6"/>
      <c r="W16" s="6"/>
      <c r="X16" s="6"/>
      <c r="Y16" s="6" t="s">
        <v>59</v>
      </c>
      <c r="Z16" s="9">
        <v>1372.91</v>
      </c>
      <c r="AA16" s="9">
        <v>0</v>
      </c>
      <c r="AB16" s="9">
        <v>0</v>
      </c>
      <c r="AC16" s="7">
        <v>46198</v>
      </c>
      <c r="AD16" s="9">
        <v>1372.91</v>
      </c>
      <c r="AE16" s="5">
        <v>192</v>
      </c>
      <c r="AF16" s="6" t="s">
        <v>71</v>
      </c>
      <c r="AG16" s="6"/>
      <c r="AH16" s="6"/>
      <c r="AI16" s="6"/>
      <c r="AJ16" s="5"/>
      <c r="AK16" s="6" t="s">
        <v>52</v>
      </c>
      <c r="AL16" s="6" t="s">
        <v>90</v>
      </c>
      <c r="AM16" s="7">
        <v>46188</v>
      </c>
      <c r="AN16" s="6" t="s">
        <v>54</v>
      </c>
    </row>
    <row r="17" spans="1:40" x14ac:dyDescent="0.25">
      <c r="A17" s="2" t="s">
        <v>40</v>
      </c>
      <c r="B17" s="2" t="s">
        <v>41</v>
      </c>
      <c r="C17" s="4">
        <v>46071</v>
      </c>
      <c r="D17" s="5">
        <v>545752977</v>
      </c>
      <c r="E17" s="6" t="s">
        <v>42</v>
      </c>
      <c r="F17" s="7">
        <v>46031</v>
      </c>
      <c r="G17" s="6" t="s">
        <v>43</v>
      </c>
      <c r="H17" s="6" t="s">
        <v>44</v>
      </c>
      <c r="I17" s="6" t="s">
        <v>43</v>
      </c>
      <c r="J17" s="6" t="s">
        <v>45</v>
      </c>
      <c r="K17" s="4">
        <v>46129</v>
      </c>
      <c r="L17" s="14">
        <f ca="1">IF($O17="","",$O17-TODAY())</f>
        <v>92</v>
      </c>
      <c r="M17" s="14">
        <f ca="1">IF($C17="","",$C17+365-TODAY())</f>
        <v>132</v>
      </c>
      <c r="N17" s="14">
        <f ca="1">IF($C17="","",$C17+120-TODAY())</f>
        <v>-113</v>
      </c>
      <c r="O17" s="7">
        <v>46396</v>
      </c>
      <c r="P17" s="6" t="s">
        <v>46</v>
      </c>
      <c r="Q17" s="6" t="s">
        <v>47</v>
      </c>
      <c r="R17" s="6" t="s">
        <v>46</v>
      </c>
      <c r="S17" s="6" t="s">
        <v>48</v>
      </c>
      <c r="T17" s="6" t="s">
        <v>49</v>
      </c>
      <c r="U17" s="6" t="s">
        <v>48</v>
      </c>
      <c r="V17" s="6"/>
      <c r="W17" s="6"/>
      <c r="X17" s="6"/>
      <c r="Y17" s="6" t="s">
        <v>50</v>
      </c>
      <c r="Z17" s="9">
        <v>1822.52</v>
      </c>
      <c r="AA17" s="9">
        <v>1569.38</v>
      </c>
      <c r="AB17" s="9">
        <v>197.72</v>
      </c>
      <c r="AC17" s="7">
        <v>46071</v>
      </c>
      <c r="AD17" s="9">
        <v>55.42</v>
      </c>
      <c r="AE17" s="5">
        <v>211</v>
      </c>
      <c r="AF17" s="6" t="s">
        <v>51</v>
      </c>
      <c r="AG17" s="6"/>
      <c r="AH17" s="6"/>
      <c r="AI17" s="6"/>
      <c r="AJ17" s="5">
        <v>550866078</v>
      </c>
      <c r="AK17" s="6" t="s">
        <v>52</v>
      </c>
      <c r="AL17" s="6" t="s">
        <v>53</v>
      </c>
      <c r="AM17" s="7">
        <v>46057</v>
      </c>
      <c r="AN17" s="6" t="s">
        <v>54</v>
      </c>
    </row>
  </sheetData>
  <autoFilter ref="A1:AN17" xr:uid="{00000000-0009-0000-0000-000000000000}"/>
  <conditionalFormatting sqref="L2:L17">
    <cfRule type="expression" dxfId="99" priority="1">
      <formula>AND($L2&lt;&gt;"", $L2&gt;=0, $L2&lt;=5)</formula>
    </cfRule>
    <cfRule type="expression" dxfId="98" priority="2">
      <formula>AND($L2&lt;&gt;"", $L2&gt;5, $L2&lt;=30)</formula>
    </cfRule>
    <cfRule type="expression" dxfId="97" priority="3">
      <formula>AND($L2&lt;&gt;"", $L2&gt;30)</formula>
    </cfRule>
    <cfRule type="expression" dxfId="96" priority="4">
      <formula>AND($L2&lt;&gt;"", $L2&lt;0)</formula>
    </cfRule>
    <cfRule type="expression" dxfId="95" priority="5">
      <formula>$L2=""</formula>
    </cfRule>
  </conditionalFormatting>
  <conditionalFormatting sqref="M2:M17">
    <cfRule type="expression" dxfId="94" priority="6">
      <formula>AND($M2&lt;&gt;"", $M2&gt;=0, $M2&lt;=5)</formula>
    </cfRule>
    <cfRule type="expression" dxfId="93" priority="7">
      <formula>AND($M2&lt;&gt;"", $M2&gt;5, $M2&lt;=30)</formula>
    </cfRule>
    <cfRule type="expression" dxfId="92" priority="8">
      <formula>AND($M2&lt;&gt;"", $M2&gt;30)</formula>
    </cfRule>
    <cfRule type="expression" dxfId="91" priority="9">
      <formula>AND($M2&lt;&gt;"", $M2&lt;0)</formula>
    </cfRule>
    <cfRule type="expression" dxfId="90" priority="10">
      <formula>$M2=""</formula>
    </cfRule>
  </conditionalFormatting>
  <conditionalFormatting sqref="N2:N17">
    <cfRule type="expression" dxfId="89" priority="11">
      <formula>AND($N2&lt;&gt;"", $N2&gt;=0, $N2&lt;=5)</formula>
    </cfRule>
    <cfRule type="expression" dxfId="88" priority="12">
      <formula>AND($N2&lt;&gt;"", $N2&gt;5, $N2&lt;=30)</formula>
    </cfRule>
    <cfRule type="expression" dxfId="87" priority="13">
      <formula>AND($N2&lt;&gt;"", $N2&gt;30)</formula>
    </cfRule>
    <cfRule type="expression" dxfId="86" priority="14">
      <formula>AND($N2&lt;&gt;"", $N2&lt;0)</formula>
    </cfRule>
    <cfRule type="expression" dxfId="85" priority="15">
      <formula>$N2=""</formula>
    </cfRule>
  </conditionalFormatting>
  <conditionalFormatting sqref="O2:U17">
    <cfRule type="expression" dxfId="84" priority="16">
      <formula>AND($L2&lt;&gt;"", $L2&gt;=0, $L2&lt;=5)</formula>
    </cfRule>
    <cfRule type="expression" dxfId="83" priority="17">
      <formula>AND($L2&lt;&gt;"", $L2&gt;5, $L2&lt;=30)</formula>
    </cfRule>
    <cfRule type="expression" dxfId="82" priority="18">
      <formula>AND($L2&lt;&gt;"", $L2&gt;30)</formula>
    </cfRule>
    <cfRule type="expression" dxfId="81" priority="19">
      <formula>AND($L2&lt;&gt;"", $L2&lt;0)</formula>
    </cfRule>
    <cfRule type="expression" dxfId="8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TRIM($A2)="Denied"</formula>
    </cfRule>
    <cfRule type="expression" dxfId="106" priority="27">
      <formula>TRIM($A2)="Rejected"</formula>
    </cfRule>
    <cfRule type="expression" dxfId="107" priority="28">
      <formula>TRIM($A2)="Not found"</formula>
    </cfRule>
  </conditionalFormatting>
  <dataValidations count="1">
    <dataValidation type="list" allowBlank="1" showInputMessage="1" promptTitle="Claim Status" prompt="Pick a status, or type a new one." sqref="A2:A17" xr:uid="{00000000-0002-0000-0000-000000000000}">
      <formula1>"Denied,Finalized,PAID,Pending,Received,Rejected,Under Review"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8"/>
  <sheetViews>
    <sheetView zoomScale="90" workbookViewId="0">
      <pane xSplit="2" ySplit="1" topLeftCell="C2" activePane="bottomRight" state="frozen"/>
      <selection pane="topRight"/>
      <selection pane="bottomLeft"/>
      <selection pane="bottomRight" activeCell="M17" sqref="M17"/>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0.28515625" bestFit="1" customWidth="1"/>
    <col min="11" max="11" width="14" customWidth="1"/>
    <col min="12" max="12" width="12" customWidth="1"/>
    <col min="13" max="14" width="18.140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3" t="s">
        <v>0</v>
      </c>
      <c r="B1" s="13" t="s">
        <v>1</v>
      </c>
      <c r="C1" s="13" t="s">
        <v>2</v>
      </c>
      <c r="D1" s="13" t="s">
        <v>3</v>
      </c>
      <c r="E1" s="13" t="s">
        <v>4</v>
      </c>
      <c r="F1" s="13" t="s">
        <v>5</v>
      </c>
      <c r="G1" s="13" t="s">
        <v>6</v>
      </c>
      <c r="H1" s="13" t="s">
        <v>7</v>
      </c>
      <c r="I1" s="13" t="s">
        <v>8</v>
      </c>
      <c r="J1" s="13" t="s">
        <v>9</v>
      </c>
      <c r="K1" s="1" t="s">
        <v>125</v>
      </c>
      <c r="L1" s="1" t="s">
        <v>11</v>
      </c>
      <c r="M1" s="1" t="s">
        <v>12</v>
      </c>
      <c r="N1" s="1" t="s">
        <v>13</v>
      </c>
      <c r="O1" s="1" t="s">
        <v>14</v>
      </c>
      <c r="P1" s="1"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c r="AJ1" s="13" t="s">
        <v>35</v>
      </c>
      <c r="AK1" s="13" t="s">
        <v>36</v>
      </c>
      <c r="AL1" s="13" t="s">
        <v>37</v>
      </c>
      <c r="AM1" s="13" t="s">
        <v>38</v>
      </c>
      <c r="AN1" s="13" t="s">
        <v>39</v>
      </c>
    </row>
    <row r="2" spans="1:40" x14ac:dyDescent="0.25">
      <c r="A2" s="2" t="s">
        <v>63</v>
      </c>
      <c r="B2" s="2" t="s">
        <v>310</v>
      </c>
      <c r="C2" s="4">
        <v>46148</v>
      </c>
      <c r="D2" s="5">
        <v>546188740</v>
      </c>
      <c r="E2" s="6" t="s">
        <v>126</v>
      </c>
      <c r="F2" s="7">
        <v>46031</v>
      </c>
      <c r="G2" s="6" t="s">
        <v>127</v>
      </c>
      <c r="H2" s="6" t="s">
        <v>127</v>
      </c>
      <c r="I2" s="6" t="s">
        <v>128</v>
      </c>
      <c r="J2" s="6" t="s">
        <v>129</v>
      </c>
      <c r="K2" s="4">
        <v>46300</v>
      </c>
      <c r="L2" s="5">
        <f ca="1">IF($O2="","",$O2-TODAY())</f>
        <v>92</v>
      </c>
      <c r="M2" s="5">
        <f ca="1">IF($C2="","",$C2+365-TODAY())</f>
        <v>209</v>
      </c>
      <c r="N2" s="5">
        <f ca="1">IF($C2="","",$C2+120-TODAY())</f>
        <v>-36</v>
      </c>
      <c r="O2" s="7">
        <v>46396</v>
      </c>
      <c r="P2" s="6" t="s">
        <v>46</v>
      </c>
      <c r="Q2" s="6" t="s">
        <v>47</v>
      </c>
      <c r="R2" s="6" t="s">
        <v>46</v>
      </c>
      <c r="S2" s="6" t="s">
        <v>48</v>
      </c>
      <c r="T2" s="6" t="s">
        <v>49</v>
      </c>
      <c r="U2" s="6" t="s">
        <v>48</v>
      </c>
      <c r="V2" s="6" t="s">
        <v>130</v>
      </c>
      <c r="W2" s="6"/>
      <c r="X2" s="6"/>
      <c r="Y2" s="6" t="s">
        <v>131</v>
      </c>
      <c r="Z2" s="9">
        <v>2958.2</v>
      </c>
      <c r="AA2" s="9">
        <v>0</v>
      </c>
      <c r="AB2" s="9">
        <v>0</v>
      </c>
      <c r="AC2" s="7">
        <v>46148</v>
      </c>
      <c r="AD2" s="9">
        <v>2958.2</v>
      </c>
      <c r="AE2" s="5">
        <v>211</v>
      </c>
      <c r="AF2" s="6" t="s">
        <v>132</v>
      </c>
      <c r="AG2" s="6" t="s">
        <v>133</v>
      </c>
      <c r="AH2" s="6"/>
      <c r="AI2" s="6"/>
      <c r="AJ2" s="5"/>
      <c r="AK2" s="6" t="s">
        <v>134</v>
      </c>
      <c r="AL2" s="6" t="s">
        <v>135</v>
      </c>
      <c r="AM2" s="7">
        <v>46036</v>
      </c>
      <c r="AN2" s="6" t="s">
        <v>136</v>
      </c>
    </row>
    <row r="3" spans="1:40" x14ac:dyDescent="0.25">
      <c r="A3" s="2" t="s">
        <v>63</v>
      </c>
      <c r="B3" s="2" t="s">
        <v>312</v>
      </c>
      <c r="C3" s="4">
        <v>46196</v>
      </c>
      <c r="D3" s="5">
        <v>561884409</v>
      </c>
      <c r="E3" s="6" t="s">
        <v>148</v>
      </c>
      <c r="F3" s="7">
        <v>46051</v>
      </c>
      <c r="G3" s="6" t="s">
        <v>127</v>
      </c>
      <c r="H3" s="6" t="s">
        <v>127</v>
      </c>
      <c r="I3" s="6" t="s">
        <v>149</v>
      </c>
      <c r="J3" s="6" t="s">
        <v>150</v>
      </c>
      <c r="K3" s="4">
        <v>46300</v>
      </c>
      <c r="L3" s="5">
        <f ca="1">IF($O3="","",$O3-TODAY())</f>
        <v>112</v>
      </c>
      <c r="M3" s="5">
        <f ca="1">IF($C3="","",$C3+365-TODAY())</f>
        <v>257</v>
      </c>
      <c r="N3" s="5">
        <f ca="1">IF($C3="","",$C3+120-TODAY())</f>
        <v>12</v>
      </c>
      <c r="O3" s="7">
        <v>46416</v>
      </c>
      <c r="P3" s="6" t="s">
        <v>46</v>
      </c>
      <c r="Q3" s="6" t="s">
        <v>47</v>
      </c>
      <c r="R3" s="6" t="s">
        <v>46</v>
      </c>
      <c r="S3" s="6" t="s">
        <v>48</v>
      </c>
      <c r="T3" s="6" t="s">
        <v>49</v>
      </c>
      <c r="U3" s="6" t="s">
        <v>48</v>
      </c>
      <c r="V3" s="6" t="s">
        <v>130</v>
      </c>
      <c r="W3" s="6"/>
      <c r="X3" s="6"/>
      <c r="Y3" s="6" t="s">
        <v>151</v>
      </c>
      <c r="Z3" s="9">
        <v>5857</v>
      </c>
      <c r="AA3" s="9">
        <v>0</v>
      </c>
      <c r="AB3" s="9">
        <v>0</v>
      </c>
      <c r="AC3" s="7">
        <v>46196</v>
      </c>
      <c r="AD3" s="9">
        <v>5857</v>
      </c>
      <c r="AE3" s="5">
        <v>191</v>
      </c>
      <c r="AF3" s="6" t="s">
        <v>132</v>
      </c>
      <c r="AG3" s="6" t="s">
        <v>141</v>
      </c>
      <c r="AH3" s="6" t="s">
        <v>152</v>
      </c>
      <c r="AI3" s="6"/>
      <c r="AJ3" s="5"/>
      <c r="AK3" s="6" t="s">
        <v>134</v>
      </c>
      <c r="AL3" s="6" t="s">
        <v>135</v>
      </c>
      <c r="AM3" s="7">
        <v>46183</v>
      </c>
      <c r="AN3" s="6" t="s">
        <v>136</v>
      </c>
    </row>
    <row r="4" spans="1:40" x14ac:dyDescent="0.25">
      <c r="A4" s="2" t="s">
        <v>55</v>
      </c>
      <c r="B4" s="15" t="s">
        <v>313</v>
      </c>
      <c r="C4" s="4">
        <v>46089</v>
      </c>
      <c r="D4" s="5">
        <v>546184427</v>
      </c>
      <c r="E4" s="6" t="s">
        <v>153</v>
      </c>
      <c r="F4" s="7">
        <v>46027</v>
      </c>
      <c r="G4" s="6" t="s">
        <v>138</v>
      </c>
      <c r="H4" s="6" t="s">
        <v>154</v>
      </c>
      <c r="I4" s="6" t="s">
        <v>138</v>
      </c>
      <c r="J4" s="6" t="s">
        <v>155</v>
      </c>
      <c r="K4" s="4">
        <v>46141</v>
      </c>
      <c r="L4" s="5">
        <f ca="1">IF($O4="","",$O4-TODAY())</f>
        <v>-187</v>
      </c>
      <c r="M4" s="5">
        <f ca="1">IF($F4="","",$F4+90-TODAY())</f>
        <v>-187</v>
      </c>
      <c r="N4" s="5">
        <f ca="1">IF($C4="","",$C4+60-TODAY())</f>
        <v>-155</v>
      </c>
      <c r="O4" s="7">
        <v>46117</v>
      </c>
      <c r="P4" s="6" t="s">
        <v>78</v>
      </c>
      <c r="Q4" s="6" t="s">
        <v>156</v>
      </c>
      <c r="R4" s="6" t="s">
        <v>78</v>
      </c>
      <c r="S4" s="6" t="s">
        <v>124</v>
      </c>
      <c r="T4" s="6" t="s">
        <v>157</v>
      </c>
      <c r="U4" s="6" t="s">
        <v>48</v>
      </c>
      <c r="V4" s="6" t="s">
        <v>158</v>
      </c>
      <c r="W4" s="6"/>
      <c r="X4" s="6"/>
      <c r="Y4" s="6" t="s">
        <v>151</v>
      </c>
      <c r="Z4" s="9">
        <v>36353.800000000003</v>
      </c>
      <c r="AA4" s="9">
        <v>33154.53</v>
      </c>
      <c r="AB4" s="9">
        <v>2833.13</v>
      </c>
      <c r="AC4" s="7">
        <v>46089</v>
      </c>
      <c r="AD4" s="9">
        <v>366.14</v>
      </c>
      <c r="AE4" s="5">
        <v>215</v>
      </c>
      <c r="AF4" s="6" t="s">
        <v>132</v>
      </c>
      <c r="AG4" s="6" t="s">
        <v>159</v>
      </c>
      <c r="AH4" s="6" t="s">
        <v>160</v>
      </c>
      <c r="AI4" s="6"/>
      <c r="AJ4" s="5">
        <v>557644876</v>
      </c>
      <c r="AK4" s="6" t="s">
        <v>161</v>
      </c>
      <c r="AL4" s="6" t="s">
        <v>162</v>
      </c>
      <c r="AM4" s="7">
        <v>46036</v>
      </c>
      <c r="AN4" s="6" t="s">
        <v>136</v>
      </c>
    </row>
    <row r="5" spans="1:40" x14ac:dyDescent="0.25">
      <c r="A5" s="2" t="s">
        <v>55</v>
      </c>
      <c r="B5" s="15" t="s">
        <v>314</v>
      </c>
      <c r="C5" s="4">
        <v>46156</v>
      </c>
      <c r="D5" s="5">
        <v>557162806</v>
      </c>
      <c r="E5" s="6" t="s">
        <v>163</v>
      </c>
      <c r="F5" s="7">
        <v>46041</v>
      </c>
      <c r="G5" s="6" t="s">
        <v>65</v>
      </c>
      <c r="H5" s="6" t="s">
        <v>164</v>
      </c>
      <c r="I5" s="6" t="s">
        <v>65</v>
      </c>
      <c r="J5" s="6" t="s">
        <v>165</v>
      </c>
      <c r="K5" s="4">
        <v>46136</v>
      </c>
      <c r="L5" s="5">
        <f ca="1">IF($O5="","",$O5-TODAY())</f>
        <v>-168</v>
      </c>
      <c r="M5" s="5">
        <f ca="1">IF($C5="","",$C5+90-TODAY())</f>
        <v>-58</v>
      </c>
      <c r="N5" s="5">
        <f ca="1">IF($C5="","",$C5+90-TODAY())</f>
        <v>-58</v>
      </c>
      <c r="O5" s="7">
        <v>46136</v>
      </c>
      <c r="P5" s="6" t="s">
        <v>166</v>
      </c>
      <c r="Q5" s="6" t="s">
        <v>167</v>
      </c>
      <c r="R5" s="6" t="s">
        <v>78</v>
      </c>
      <c r="S5" s="6" t="s">
        <v>48</v>
      </c>
      <c r="T5" s="6" t="s">
        <v>78</v>
      </c>
      <c r="U5" s="6" t="s">
        <v>48</v>
      </c>
      <c r="V5" s="6" t="s">
        <v>158</v>
      </c>
      <c r="W5" s="6"/>
      <c r="X5" s="6"/>
      <c r="Y5" s="6" t="s">
        <v>131</v>
      </c>
      <c r="Z5" s="9">
        <v>18176.900000000001</v>
      </c>
      <c r="AA5" s="9">
        <v>16142.75</v>
      </c>
      <c r="AB5" s="9">
        <v>1627.48</v>
      </c>
      <c r="AC5" s="7">
        <v>46156</v>
      </c>
      <c r="AD5" s="9">
        <v>406.67</v>
      </c>
      <c r="AE5" s="5">
        <v>201</v>
      </c>
      <c r="AF5" s="6" t="s">
        <v>132</v>
      </c>
      <c r="AG5" s="6" t="s">
        <v>160</v>
      </c>
      <c r="AH5" s="6" t="s">
        <v>133</v>
      </c>
      <c r="AI5" s="6"/>
      <c r="AJ5" s="5">
        <v>551367817</v>
      </c>
      <c r="AK5" s="6" t="s">
        <v>168</v>
      </c>
      <c r="AL5" s="6" t="s">
        <v>169</v>
      </c>
      <c r="AM5" s="7">
        <v>46063</v>
      </c>
      <c r="AN5" s="6" t="s">
        <v>136</v>
      </c>
    </row>
    <row r="6" spans="1:40" x14ac:dyDescent="0.25">
      <c r="A6" s="2" t="s">
        <v>94</v>
      </c>
      <c r="B6" s="2" t="s">
        <v>311</v>
      </c>
      <c r="C6" s="4">
        <v>46160</v>
      </c>
      <c r="D6" s="5">
        <v>557650217</v>
      </c>
      <c r="E6" s="6" t="s">
        <v>137</v>
      </c>
      <c r="F6" s="7">
        <v>46031</v>
      </c>
      <c r="G6" s="6" t="s">
        <v>127</v>
      </c>
      <c r="H6" s="6" t="s">
        <v>127</v>
      </c>
      <c r="I6" s="6" t="s">
        <v>138</v>
      </c>
      <c r="J6" s="6" t="s">
        <v>139</v>
      </c>
      <c r="K6" s="4">
        <v>46261</v>
      </c>
      <c r="L6" s="5">
        <f ca="1">IF($O6="","",$O6-TODAY())</f>
        <v>92</v>
      </c>
      <c r="M6" s="5">
        <f ca="1">IF($C6="","",$C6+365-TODAY())</f>
        <v>221</v>
      </c>
      <c r="N6" s="5">
        <f ca="1">IF($C6="","",$C6+120-TODAY())</f>
        <v>-24</v>
      </c>
      <c r="O6" s="7">
        <v>46396</v>
      </c>
      <c r="P6" s="6" t="s">
        <v>46</v>
      </c>
      <c r="Q6" s="6" t="s">
        <v>47</v>
      </c>
      <c r="R6" s="6" t="s">
        <v>46</v>
      </c>
      <c r="S6" s="6" t="s">
        <v>48</v>
      </c>
      <c r="T6" s="6" t="s">
        <v>49</v>
      </c>
      <c r="U6" s="6" t="s">
        <v>48</v>
      </c>
      <c r="V6" s="6" t="s">
        <v>140</v>
      </c>
      <c r="W6" s="6"/>
      <c r="X6" s="6"/>
      <c r="Y6" s="6" t="s">
        <v>59</v>
      </c>
      <c r="Z6" s="9">
        <v>5492.55</v>
      </c>
      <c r="AA6" s="9">
        <v>0</v>
      </c>
      <c r="AB6" s="9">
        <v>135.05000000000001</v>
      </c>
      <c r="AC6" s="7">
        <v>46160</v>
      </c>
      <c r="AD6" s="9">
        <v>5357.5</v>
      </c>
      <c r="AE6" s="5">
        <v>211</v>
      </c>
      <c r="AF6" s="6" t="s">
        <v>141</v>
      </c>
      <c r="AG6" s="6"/>
      <c r="AH6" s="6"/>
      <c r="AI6" s="6"/>
      <c r="AJ6" s="5"/>
      <c r="AK6" s="6" t="s">
        <v>142</v>
      </c>
      <c r="AL6" s="6" t="s">
        <v>143</v>
      </c>
      <c r="AM6" s="7">
        <v>46036</v>
      </c>
      <c r="AN6" s="6" t="s">
        <v>136</v>
      </c>
    </row>
    <row r="7" spans="1:40" x14ac:dyDescent="0.25">
      <c r="A7" s="2" t="s">
        <v>94</v>
      </c>
      <c r="B7" s="2" t="s">
        <v>311</v>
      </c>
      <c r="C7" s="4">
        <v>46086</v>
      </c>
      <c r="D7" s="5">
        <v>546883608</v>
      </c>
      <c r="E7" s="6" t="s">
        <v>144</v>
      </c>
      <c r="F7" s="7">
        <v>46041</v>
      </c>
      <c r="G7" s="6" t="s">
        <v>127</v>
      </c>
      <c r="H7" s="6" t="s">
        <v>127</v>
      </c>
      <c r="I7" s="6" t="s">
        <v>145</v>
      </c>
      <c r="J7" s="6" t="s">
        <v>129</v>
      </c>
      <c r="K7" s="4">
        <v>46261</v>
      </c>
      <c r="L7" s="5">
        <f ca="1">IF($O7="","",$O7-TODAY())</f>
        <v>102</v>
      </c>
      <c r="M7" s="5">
        <f ca="1">IF($C7="","",$C7+365-TODAY())</f>
        <v>147</v>
      </c>
      <c r="N7" s="5">
        <f ca="1">IF($C7="","",$C7+120-TODAY())</f>
        <v>-98</v>
      </c>
      <c r="O7" s="7">
        <v>46406</v>
      </c>
      <c r="P7" s="6" t="s">
        <v>46</v>
      </c>
      <c r="Q7" s="6" t="s">
        <v>47</v>
      </c>
      <c r="R7" s="6" t="s">
        <v>46</v>
      </c>
      <c r="S7" s="6" t="s">
        <v>48</v>
      </c>
      <c r="T7" s="6" t="s">
        <v>49</v>
      </c>
      <c r="U7" s="6" t="s">
        <v>48</v>
      </c>
      <c r="V7" s="6" t="s">
        <v>130</v>
      </c>
      <c r="W7" s="6"/>
      <c r="X7" s="6"/>
      <c r="Y7" s="6" t="s">
        <v>131</v>
      </c>
      <c r="Z7" s="9">
        <v>2958.2</v>
      </c>
      <c r="AA7" s="9">
        <v>0</v>
      </c>
      <c r="AB7" s="9">
        <v>31.68</v>
      </c>
      <c r="AC7" s="7">
        <v>46086</v>
      </c>
      <c r="AD7" s="9">
        <v>2926.52</v>
      </c>
      <c r="AE7" s="5">
        <v>201</v>
      </c>
      <c r="AF7" s="6" t="s">
        <v>132</v>
      </c>
      <c r="AG7" s="6" t="s">
        <v>133</v>
      </c>
      <c r="AH7" s="6"/>
      <c r="AI7" s="6"/>
      <c r="AJ7" s="5"/>
      <c r="AK7" s="6" t="s">
        <v>142</v>
      </c>
      <c r="AL7" s="6" t="s">
        <v>143</v>
      </c>
      <c r="AM7" s="7">
        <v>46043</v>
      </c>
      <c r="AN7" s="6" t="s">
        <v>136</v>
      </c>
    </row>
    <row r="8" spans="1:40" x14ac:dyDescent="0.25">
      <c r="A8" s="2" t="s">
        <v>94</v>
      </c>
      <c r="B8" s="2" t="s">
        <v>311</v>
      </c>
      <c r="C8" s="4">
        <v>46071</v>
      </c>
      <c r="D8" s="5">
        <v>546884583</v>
      </c>
      <c r="E8" s="6" t="s">
        <v>146</v>
      </c>
      <c r="F8" s="7">
        <v>46041</v>
      </c>
      <c r="G8" s="6" t="s">
        <v>127</v>
      </c>
      <c r="H8" s="6" t="s">
        <v>127</v>
      </c>
      <c r="I8" s="6" t="s">
        <v>43</v>
      </c>
      <c r="J8" s="6" t="s">
        <v>129</v>
      </c>
      <c r="K8" s="4">
        <v>46261</v>
      </c>
      <c r="L8" s="5">
        <f ca="1">IF($O8="","",$O8-TODAY())</f>
        <v>102</v>
      </c>
      <c r="M8" s="5">
        <f ca="1">IF($C8="","",$C8+365-TODAY())</f>
        <v>132</v>
      </c>
      <c r="N8" s="5">
        <f ca="1">IF($C8="","",$C8+120-TODAY())</f>
        <v>-113</v>
      </c>
      <c r="O8" s="7">
        <v>46406</v>
      </c>
      <c r="P8" s="6" t="s">
        <v>46</v>
      </c>
      <c r="Q8" s="6" t="s">
        <v>47</v>
      </c>
      <c r="R8" s="6" t="s">
        <v>46</v>
      </c>
      <c r="S8" s="6" t="s">
        <v>48</v>
      </c>
      <c r="T8" s="6" t="s">
        <v>49</v>
      </c>
      <c r="U8" s="6" t="s">
        <v>48</v>
      </c>
      <c r="V8" s="6" t="s">
        <v>130</v>
      </c>
      <c r="W8" s="6"/>
      <c r="X8" s="6"/>
      <c r="Y8" s="6" t="s">
        <v>131</v>
      </c>
      <c r="Z8" s="9">
        <v>2958.2</v>
      </c>
      <c r="AA8" s="9">
        <v>0</v>
      </c>
      <c r="AB8" s="9">
        <v>80.84</v>
      </c>
      <c r="AC8" s="7">
        <v>46071</v>
      </c>
      <c r="AD8" s="9">
        <v>2877.36</v>
      </c>
      <c r="AE8" s="5">
        <v>201</v>
      </c>
      <c r="AF8" s="6" t="s">
        <v>132</v>
      </c>
      <c r="AG8" s="6" t="s">
        <v>147</v>
      </c>
      <c r="AH8" s="6"/>
      <c r="AI8" s="6"/>
      <c r="AJ8" s="5"/>
      <c r="AK8" s="6" t="s">
        <v>142</v>
      </c>
      <c r="AL8" s="6" t="s">
        <v>143</v>
      </c>
      <c r="AM8" s="7">
        <v>46043</v>
      </c>
      <c r="AN8" s="6" t="s">
        <v>136</v>
      </c>
    </row>
  </sheetData>
  <autoFilter ref="A1:AN8" xr:uid="{00000000-0009-0000-0000-000001000000}"/>
  <conditionalFormatting sqref="L2:L8">
    <cfRule type="expression" dxfId="79" priority="1">
      <formula>AND($L2&lt;&gt;"", $L2&gt;=0, $L2&lt;=5)</formula>
    </cfRule>
    <cfRule type="expression" dxfId="78" priority="2">
      <formula>AND($L2&lt;&gt;"", $L2&gt;5, $L2&lt;=30)</formula>
    </cfRule>
    <cfRule type="expression" dxfId="77" priority="3">
      <formula>AND($L2&lt;&gt;"", $L2&gt;30)</formula>
    </cfRule>
    <cfRule type="expression" dxfId="76" priority="4">
      <formula>AND($L2&lt;&gt;"", $L2&lt;0)</formula>
    </cfRule>
    <cfRule type="expression" dxfId="75" priority="5">
      <formula>$L2=""</formula>
    </cfRule>
  </conditionalFormatting>
  <conditionalFormatting sqref="M2:M8">
    <cfRule type="expression" dxfId="74" priority="6">
      <formula>AND($M2&lt;&gt;"", $M2&gt;=0, $M2&lt;=5)</formula>
    </cfRule>
    <cfRule type="expression" dxfId="73" priority="7">
      <formula>AND($M2&lt;&gt;"", $M2&gt;5, $M2&lt;=30)</formula>
    </cfRule>
    <cfRule type="expression" dxfId="72" priority="8">
      <formula>AND($M2&lt;&gt;"", $M2&gt;30)</formula>
    </cfRule>
    <cfRule type="expression" dxfId="71" priority="9">
      <formula>AND($M2&lt;&gt;"", $M2&lt;0)</formula>
    </cfRule>
    <cfRule type="expression" dxfId="70" priority="10">
      <formula>$M2=""</formula>
    </cfRule>
  </conditionalFormatting>
  <conditionalFormatting sqref="N2:N8">
    <cfRule type="expression" dxfId="69" priority="11">
      <formula>AND($N2&lt;&gt;"", $N2&gt;=0, $N2&lt;=5)</formula>
    </cfRule>
    <cfRule type="expression" dxfId="68" priority="12">
      <formula>AND($N2&lt;&gt;"", $N2&gt;5, $N2&lt;=30)</formula>
    </cfRule>
    <cfRule type="expression" dxfId="67" priority="13">
      <formula>AND($N2&lt;&gt;"", $N2&gt;30)</formula>
    </cfRule>
    <cfRule type="expression" dxfId="66" priority="14">
      <formula>AND($N2&lt;&gt;"", $N2&lt;0)</formula>
    </cfRule>
    <cfRule type="expression" dxfId="65" priority="15">
      <formula>$N2=""</formula>
    </cfRule>
  </conditionalFormatting>
  <conditionalFormatting sqref="O2:U8">
    <cfRule type="expression" dxfId="64" priority="16">
      <formula>AND($L2&lt;&gt;"", $L2&gt;=0, $L2&lt;=5)</formula>
    </cfRule>
    <cfRule type="expression" dxfId="63" priority="17">
      <formula>AND($L2&lt;&gt;"", $L2&gt;5, $L2&lt;=30)</formula>
    </cfRule>
    <cfRule type="expression" dxfId="62" priority="18">
      <formula>AND($L2&lt;&gt;"", $L2&gt;30)</formula>
    </cfRule>
    <cfRule type="expression" dxfId="61" priority="19">
      <formula>AND($L2&lt;&gt;"", $L2&lt;0)</formula>
    </cfRule>
    <cfRule type="expression" dxfId="6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TRIM($A2)="Denied"</formula>
    </cfRule>
    <cfRule type="expression" dxfId="106" priority="27">
      <formula>TRIM($A2)="Rejected"</formula>
    </cfRule>
    <cfRule type="expression" dxfId="107" priority="28">
      <formula>TRIM($A2)="Not found"</formula>
    </cfRule>
  </conditionalFormatting>
  <dataValidations count="1">
    <dataValidation type="list" allowBlank="1" showInputMessage="1" promptTitle="Claim Status" prompt="Pick a status, or type a new one." sqref="A2:A8" xr:uid="{00000000-0002-0000-0100-000000000000}">
      <formula1>"Denied,Finalized,PAID,Pending,Received,Rejected,Under Review"</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12"/>
  <sheetViews>
    <sheetView zoomScale="90" workbookViewId="0">
      <pane xSplit="2" ySplit="1" topLeftCell="C2" activePane="bottomRight" state="frozen"/>
      <selection pane="topRight"/>
      <selection pane="bottomLeft"/>
      <selection pane="bottomRight"/>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customWidth="1"/>
    <col min="10" max="10" width="42" customWidth="1"/>
    <col min="11" max="11" width="14" customWidth="1"/>
    <col min="12" max="12" width="12" customWidth="1"/>
    <col min="13" max="13" width="15" customWidth="1"/>
    <col min="14" max="14" width="13" customWidth="1"/>
    <col min="15" max="15" width="17" customWidth="1"/>
    <col min="16" max="16" width="14" customWidth="1"/>
    <col min="17" max="17" width="30" customWidth="1"/>
    <col min="18" max="18" width="14" customWidth="1"/>
    <col min="19" max="19" width="16" customWidth="1"/>
    <col min="20" max="20" width="13" customWidth="1"/>
    <col min="21" max="21" width="16"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 t="s">
        <v>0</v>
      </c>
      <c r="B1" s="1" t="s">
        <v>1</v>
      </c>
      <c r="C1" s="1" t="s">
        <v>2</v>
      </c>
      <c r="D1" s="1" t="s">
        <v>3</v>
      </c>
      <c r="E1" s="1" t="s">
        <v>4</v>
      </c>
      <c r="F1" s="1" t="s">
        <v>5</v>
      </c>
      <c r="G1" s="1" t="s">
        <v>6</v>
      </c>
      <c r="H1" s="1" t="s">
        <v>7</v>
      </c>
      <c r="I1" s="1" t="s">
        <v>8</v>
      </c>
      <c r="J1" s="1" t="s">
        <v>9</v>
      </c>
      <c r="K1" s="1" t="s">
        <v>125</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ht="45" x14ac:dyDescent="0.25">
      <c r="A2" s="2" t="s">
        <v>94</v>
      </c>
      <c r="B2" s="3"/>
      <c r="C2" s="4">
        <v>46135</v>
      </c>
      <c r="D2" s="5">
        <v>548880209</v>
      </c>
      <c r="E2" s="6" t="s">
        <v>170</v>
      </c>
      <c r="F2" s="7">
        <v>46034</v>
      </c>
      <c r="G2" s="6" t="s">
        <v>43</v>
      </c>
      <c r="H2" s="6" t="s">
        <v>44</v>
      </c>
      <c r="I2" s="6" t="s">
        <v>43</v>
      </c>
      <c r="J2" s="8" t="s">
        <v>171</v>
      </c>
      <c r="K2" s="4"/>
      <c r="L2" s="5">
        <f ca="1">IF($O2="","",$O2-TODAY())</f>
        <v>95</v>
      </c>
      <c r="M2" s="5">
        <f ca="1">IF($C2="","",$C2+365-TODAY())</f>
        <v>196</v>
      </c>
      <c r="N2" s="5">
        <f ca="1">IF($C2="","",$C2+120-TODAY())</f>
        <v>-49</v>
      </c>
      <c r="O2" s="7">
        <v>46399</v>
      </c>
      <c r="P2" s="6" t="s">
        <v>46</v>
      </c>
      <c r="Q2" s="6" t="s">
        <v>47</v>
      </c>
      <c r="R2" s="6" t="s">
        <v>46</v>
      </c>
      <c r="S2" s="6" t="s">
        <v>48</v>
      </c>
      <c r="T2" s="6" t="s">
        <v>49</v>
      </c>
      <c r="U2" s="6" t="s">
        <v>48</v>
      </c>
      <c r="V2" s="6" t="s">
        <v>172</v>
      </c>
      <c r="W2" s="6" t="s">
        <v>173</v>
      </c>
      <c r="X2" s="6" t="s">
        <v>174</v>
      </c>
      <c r="Y2" s="6" t="s">
        <v>175</v>
      </c>
      <c r="Z2" s="9">
        <v>67599.91</v>
      </c>
      <c r="AA2" s="9">
        <v>66731.289999999994</v>
      </c>
      <c r="AB2" s="9">
        <v>867.75</v>
      </c>
      <c r="AC2" s="7">
        <v>46135</v>
      </c>
      <c r="AD2" s="9">
        <v>0.87</v>
      </c>
      <c r="AE2" s="5">
        <v>208</v>
      </c>
      <c r="AF2" s="6" t="s">
        <v>176</v>
      </c>
      <c r="AG2" s="6" t="s">
        <v>177</v>
      </c>
      <c r="AH2" s="6"/>
      <c r="AI2" s="6"/>
      <c r="AJ2" s="5">
        <v>566386933</v>
      </c>
      <c r="AK2" s="6" t="s">
        <v>178</v>
      </c>
      <c r="AL2" s="6" t="s">
        <v>179</v>
      </c>
      <c r="AM2" s="7">
        <v>46062</v>
      </c>
      <c r="AN2" s="6" t="s">
        <v>180</v>
      </c>
    </row>
    <row r="3" spans="1:40" x14ac:dyDescent="0.25">
      <c r="A3" s="2" t="s">
        <v>94</v>
      </c>
      <c r="B3" s="3"/>
      <c r="C3" s="4">
        <v>46147</v>
      </c>
      <c r="D3" s="5">
        <v>548873847</v>
      </c>
      <c r="E3" s="6" t="s">
        <v>181</v>
      </c>
      <c r="F3" s="7">
        <v>46041</v>
      </c>
      <c r="G3" s="6" t="s">
        <v>182</v>
      </c>
      <c r="H3" s="6" t="s">
        <v>44</v>
      </c>
      <c r="I3" s="6" t="s">
        <v>182</v>
      </c>
      <c r="J3" s="8" t="s">
        <v>183</v>
      </c>
      <c r="K3" s="4"/>
      <c r="L3" s="5">
        <f ca="1">IF($O3="","",$O3-TODAY())</f>
        <v>102</v>
      </c>
      <c r="M3" s="5">
        <f ca="1">IF($C3="","",$C3+365-TODAY())</f>
        <v>208</v>
      </c>
      <c r="N3" s="5">
        <f ca="1">IF($C3="","",$C3+120-TODAY())</f>
        <v>-37</v>
      </c>
      <c r="O3" s="7">
        <v>46406</v>
      </c>
      <c r="P3" s="6" t="s">
        <v>46</v>
      </c>
      <c r="Q3" s="6" t="s">
        <v>47</v>
      </c>
      <c r="R3" s="6" t="s">
        <v>46</v>
      </c>
      <c r="S3" s="6" t="s">
        <v>48</v>
      </c>
      <c r="T3" s="6" t="s">
        <v>49</v>
      </c>
      <c r="U3" s="6" t="s">
        <v>48</v>
      </c>
      <c r="V3" s="6"/>
      <c r="W3" s="6"/>
      <c r="X3" s="6"/>
      <c r="Y3" s="6" t="s">
        <v>59</v>
      </c>
      <c r="Z3" s="9">
        <v>49162.82</v>
      </c>
      <c r="AA3" s="9">
        <v>48759.59</v>
      </c>
      <c r="AB3" s="9">
        <v>233.16</v>
      </c>
      <c r="AC3" s="7">
        <v>46147</v>
      </c>
      <c r="AD3" s="9">
        <v>170.07</v>
      </c>
      <c r="AE3" s="5">
        <v>201</v>
      </c>
      <c r="AF3" s="6" t="s">
        <v>184</v>
      </c>
      <c r="AG3" s="6" t="s">
        <v>177</v>
      </c>
      <c r="AH3" s="6" t="s">
        <v>176</v>
      </c>
      <c r="AI3" s="6"/>
      <c r="AJ3" s="5">
        <v>565292656</v>
      </c>
      <c r="AK3" s="6" t="s">
        <v>178</v>
      </c>
      <c r="AL3" s="6" t="s">
        <v>185</v>
      </c>
      <c r="AM3" s="7">
        <v>46062</v>
      </c>
      <c r="AN3" s="6" t="s">
        <v>180</v>
      </c>
    </row>
    <row r="4" spans="1:40" ht="45" x14ac:dyDescent="0.25">
      <c r="A4" s="2" t="s">
        <v>63</v>
      </c>
      <c r="B4" s="3"/>
      <c r="C4" s="4">
        <v>46135</v>
      </c>
      <c r="D4" s="5">
        <v>548883662</v>
      </c>
      <c r="E4" s="6" t="s">
        <v>186</v>
      </c>
      <c r="F4" s="7">
        <v>46041</v>
      </c>
      <c r="G4" s="6" t="s">
        <v>187</v>
      </c>
      <c r="H4" s="6" t="s">
        <v>44</v>
      </c>
      <c r="I4" s="6" t="s">
        <v>187</v>
      </c>
      <c r="J4" s="8" t="s">
        <v>188</v>
      </c>
      <c r="K4" s="4"/>
      <c r="L4" s="5">
        <f ca="1">IF($O4="","",$O4-TODAY())</f>
        <v>102</v>
      </c>
      <c r="M4" s="5">
        <f ca="1">IF($C4="","",$C4+365-TODAY())</f>
        <v>196</v>
      </c>
      <c r="N4" s="5">
        <f ca="1">IF($C4="","",$C4+120-TODAY())</f>
        <v>-49</v>
      </c>
      <c r="O4" s="7">
        <v>46406</v>
      </c>
      <c r="P4" s="6" t="s">
        <v>46</v>
      </c>
      <c r="Q4" s="6" t="s">
        <v>47</v>
      </c>
      <c r="R4" s="6" t="s">
        <v>46</v>
      </c>
      <c r="S4" s="6" t="s">
        <v>48</v>
      </c>
      <c r="T4" s="6" t="s">
        <v>49</v>
      </c>
      <c r="U4" s="6" t="s">
        <v>48</v>
      </c>
      <c r="V4" s="6" t="s">
        <v>189</v>
      </c>
      <c r="W4" s="6" t="s">
        <v>190</v>
      </c>
      <c r="X4" s="6" t="s">
        <v>174</v>
      </c>
      <c r="Y4" s="6" t="s">
        <v>175</v>
      </c>
      <c r="Z4" s="9">
        <v>67599.91</v>
      </c>
      <c r="AA4" s="9">
        <v>66731.289999999994</v>
      </c>
      <c r="AB4" s="9">
        <v>867.75</v>
      </c>
      <c r="AC4" s="7">
        <v>46135</v>
      </c>
      <c r="AD4" s="9">
        <v>0.87</v>
      </c>
      <c r="AE4" s="5">
        <v>201</v>
      </c>
      <c r="AF4" s="6" t="s">
        <v>184</v>
      </c>
      <c r="AG4" s="6" t="s">
        <v>177</v>
      </c>
      <c r="AH4" s="6" t="s">
        <v>176</v>
      </c>
      <c r="AI4" s="6"/>
      <c r="AJ4" s="5">
        <v>551561155</v>
      </c>
      <c r="AK4" s="6" t="s">
        <v>178</v>
      </c>
      <c r="AL4" s="6" t="s">
        <v>185</v>
      </c>
      <c r="AM4" s="7">
        <v>46062</v>
      </c>
      <c r="AN4" s="6" t="s">
        <v>180</v>
      </c>
    </row>
    <row r="5" spans="1:40" ht="45" x14ac:dyDescent="0.25">
      <c r="A5" s="2" t="s">
        <v>94</v>
      </c>
      <c r="B5" s="3"/>
      <c r="C5" s="4">
        <v>46120</v>
      </c>
      <c r="D5" s="5">
        <v>548916508</v>
      </c>
      <c r="E5" s="6" t="s">
        <v>191</v>
      </c>
      <c r="F5" s="7">
        <v>46041</v>
      </c>
      <c r="G5" s="6" t="s">
        <v>192</v>
      </c>
      <c r="H5" s="6" t="s">
        <v>44</v>
      </c>
      <c r="I5" s="6" t="s">
        <v>192</v>
      </c>
      <c r="J5" s="8" t="s">
        <v>193</v>
      </c>
      <c r="K5" s="4"/>
      <c r="L5" s="5">
        <f ca="1">IF($O5="","",$O5-TODAY())</f>
        <v>102</v>
      </c>
      <c r="M5" s="5">
        <f ca="1">IF($C5="","",$C5+365-TODAY())</f>
        <v>181</v>
      </c>
      <c r="N5" s="5">
        <f ca="1">IF($C5="","",$C5+120-TODAY())</f>
        <v>-64</v>
      </c>
      <c r="O5" s="7">
        <v>46406</v>
      </c>
      <c r="P5" s="6" t="s">
        <v>46</v>
      </c>
      <c r="Q5" s="6" t="s">
        <v>47</v>
      </c>
      <c r="R5" s="6" t="s">
        <v>46</v>
      </c>
      <c r="S5" s="6" t="s">
        <v>48</v>
      </c>
      <c r="T5" s="6" t="s">
        <v>49</v>
      </c>
      <c r="U5" s="6" t="s">
        <v>48</v>
      </c>
      <c r="V5" s="6" t="s">
        <v>189</v>
      </c>
      <c r="W5" s="6" t="s">
        <v>190</v>
      </c>
      <c r="X5" s="6" t="s">
        <v>174</v>
      </c>
      <c r="Y5" s="6" t="s">
        <v>175</v>
      </c>
      <c r="Z5" s="9">
        <v>67599.91</v>
      </c>
      <c r="AA5" s="9">
        <v>66555.62</v>
      </c>
      <c r="AB5" s="9">
        <v>867.75</v>
      </c>
      <c r="AC5" s="7">
        <v>46120</v>
      </c>
      <c r="AD5" s="9">
        <v>176.54</v>
      </c>
      <c r="AE5" s="5">
        <v>201</v>
      </c>
      <c r="AF5" s="6" t="s">
        <v>184</v>
      </c>
      <c r="AG5" s="6" t="s">
        <v>177</v>
      </c>
      <c r="AH5" s="6" t="s">
        <v>176</v>
      </c>
      <c r="AI5" s="6"/>
      <c r="AJ5" s="5">
        <v>565292638</v>
      </c>
      <c r="AK5" s="6" t="s">
        <v>178</v>
      </c>
      <c r="AL5" s="6" t="s">
        <v>185</v>
      </c>
      <c r="AM5" s="7">
        <v>46062</v>
      </c>
      <c r="AN5" s="6" t="s">
        <v>180</v>
      </c>
    </row>
    <row r="6" spans="1:40" ht="45" x14ac:dyDescent="0.25">
      <c r="A6" s="2" t="s">
        <v>94</v>
      </c>
      <c r="B6" s="3"/>
      <c r="C6" s="4">
        <v>46120</v>
      </c>
      <c r="D6" s="5">
        <v>548917446</v>
      </c>
      <c r="E6" s="6" t="s">
        <v>194</v>
      </c>
      <c r="F6" s="7">
        <v>46048</v>
      </c>
      <c r="G6" s="6" t="s">
        <v>149</v>
      </c>
      <c r="H6" s="6" t="s">
        <v>44</v>
      </c>
      <c r="I6" s="6" t="s">
        <v>149</v>
      </c>
      <c r="J6" s="8" t="s">
        <v>195</v>
      </c>
      <c r="K6" s="4"/>
      <c r="L6" s="5">
        <f ca="1">IF($O6="","",$O6-TODAY())</f>
        <v>109</v>
      </c>
      <c r="M6" s="5">
        <f ca="1">IF($C6="","",$C6+365-TODAY())</f>
        <v>181</v>
      </c>
      <c r="N6" s="5">
        <f ca="1">IF($C6="","",$C6+120-TODAY())</f>
        <v>-64</v>
      </c>
      <c r="O6" s="7">
        <v>46413</v>
      </c>
      <c r="P6" s="6" t="s">
        <v>46</v>
      </c>
      <c r="Q6" s="6" t="s">
        <v>47</v>
      </c>
      <c r="R6" s="6" t="s">
        <v>46</v>
      </c>
      <c r="S6" s="6" t="s">
        <v>48</v>
      </c>
      <c r="T6" s="6" t="s">
        <v>49</v>
      </c>
      <c r="U6" s="6" t="s">
        <v>48</v>
      </c>
      <c r="V6" s="6" t="s">
        <v>172</v>
      </c>
      <c r="W6" s="6" t="s">
        <v>190</v>
      </c>
      <c r="X6" s="6" t="s">
        <v>174</v>
      </c>
      <c r="Y6" s="6" t="s">
        <v>196</v>
      </c>
      <c r="Z6" s="9">
        <v>21394.87</v>
      </c>
      <c r="AA6" s="9">
        <v>20631.18</v>
      </c>
      <c r="AB6" s="9">
        <v>506.12</v>
      </c>
      <c r="AC6" s="7">
        <v>46120</v>
      </c>
      <c r="AD6" s="9">
        <v>257.57</v>
      </c>
      <c r="AE6" s="5">
        <v>194</v>
      </c>
      <c r="AF6" s="6" t="s">
        <v>184</v>
      </c>
      <c r="AG6" s="6" t="s">
        <v>177</v>
      </c>
      <c r="AH6" s="6" t="s">
        <v>176</v>
      </c>
      <c r="AI6" s="6"/>
      <c r="AJ6" s="5">
        <v>565292666</v>
      </c>
      <c r="AK6" s="6" t="s">
        <v>178</v>
      </c>
      <c r="AL6" s="6" t="s">
        <v>185</v>
      </c>
      <c r="AM6" s="7">
        <v>46062</v>
      </c>
      <c r="AN6" s="6" t="s">
        <v>180</v>
      </c>
    </row>
    <row r="7" spans="1:40" x14ac:dyDescent="0.25">
      <c r="A7" s="2" t="s">
        <v>63</v>
      </c>
      <c r="B7" s="3"/>
      <c r="C7" s="4">
        <v>46099</v>
      </c>
      <c r="D7" s="5">
        <v>552345092</v>
      </c>
      <c r="E7" s="6" t="s">
        <v>197</v>
      </c>
      <c r="F7" s="7">
        <v>46048</v>
      </c>
      <c r="G7" s="6" t="s">
        <v>145</v>
      </c>
      <c r="H7" s="6" t="s">
        <v>44</v>
      </c>
      <c r="I7" s="6" t="s">
        <v>145</v>
      </c>
      <c r="J7" s="8" t="s">
        <v>198</v>
      </c>
      <c r="K7" s="4"/>
      <c r="L7" s="5">
        <f ca="1">IF($O7="","",$O7-TODAY())</f>
        <v>109</v>
      </c>
      <c r="M7" s="5">
        <f ca="1">IF($C7="","",$C7+365-TODAY())</f>
        <v>160</v>
      </c>
      <c r="N7" s="5">
        <f ca="1">IF($C7="","",$C7+120-TODAY())</f>
        <v>-85</v>
      </c>
      <c r="O7" s="7">
        <v>46413</v>
      </c>
      <c r="P7" s="6" t="s">
        <v>46</v>
      </c>
      <c r="Q7" s="6" t="s">
        <v>47</v>
      </c>
      <c r="R7" s="6" t="s">
        <v>46</v>
      </c>
      <c r="S7" s="6" t="s">
        <v>48</v>
      </c>
      <c r="T7" s="6" t="s">
        <v>49</v>
      </c>
      <c r="U7" s="6" t="s">
        <v>48</v>
      </c>
      <c r="V7" s="6" t="s">
        <v>199</v>
      </c>
      <c r="W7" s="6"/>
      <c r="X7" s="6"/>
      <c r="Y7" s="6" t="s">
        <v>59</v>
      </c>
      <c r="Z7" s="9">
        <v>52944.639999999999</v>
      </c>
      <c r="AA7" s="9">
        <v>3692.6</v>
      </c>
      <c r="AB7" s="9">
        <v>89.13</v>
      </c>
      <c r="AC7" s="7">
        <v>46099</v>
      </c>
      <c r="AD7" s="9">
        <v>49162.91</v>
      </c>
      <c r="AE7" s="5">
        <v>194</v>
      </c>
      <c r="AF7" s="6" t="s">
        <v>184</v>
      </c>
      <c r="AG7" s="6" t="s">
        <v>177</v>
      </c>
      <c r="AH7" s="6" t="s">
        <v>176</v>
      </c>
      <c r="AI7" s="6" t="s">
        <v>200</v>
      </c>
      <c r="AJ7" s="5">
        <v>551630154</v>
      </c>
      <c r="AK7" s="6" t="s">
        <v>178</v>
      </c>
      <c r="AL7" s="6" t="s">
        <v>185</v>
      </c>
      <c r="AM7" s="7">
        <v>46063</v>
      </c>
      <c r="AN7" s="6" t="s">
        <v>180</v>
      </c>
    </row>
    <row r="8" spans="1:40" ht="30" x14ac:dyDescent="0.25">
      <c r="A8" s="2"/>
      <c r="B8" s="3"/>
      <c r="C8" s="4">
        <v>46121</v>
      </c>
      <c r="D8" s="5">
        <v>548877808</v>
      </c>
      <c r="E8" s="6" t="s">
        <v>201</v>
      </c>
      <c r="F8" s="7">
        <v>46027</v>
      </c>
      <c r="G8" s="6" t="s">
        <v>202</v>
      </c>
      <c r="H8" s="6" t="s">
        <v>202</v>
      </c>
      <c r="I8" s="6" t="s">
        <v>76</v>
      </c>
      <c r="J8" s="8" t="s">
        <v>203</v>
      </c>
      <c r="K8" s="4"/>
      <c r="L8" s="5">
        <f ca="1">IF($O8="","",$O8-TODAY())</f>
        <v>-187</v>
      </c>
      <c r="M8" s="5">
        <f ca="1">IF($F8="","",$F8+90-TODAY())</f>
        <v>-187</v>
      </c>
      <c r="N8" s="5">
        <f ca="1">IF($C8="","",$C8+540-TODAY())</f>
        <v>357</v>
      </c>
      <c r="O8" s="7">
        <v>46117</v>
      </c>
      <c r="P8" s="6" t="s">
        <v>78</v>
      </c>
      <c r="Q8" s="6" t="s">
        <v>204</v>
      </c>
      <c r="R8" s="6" t="s">
        <v>78</v>
      </c>
      <c r="S8" s="6" t="s">
        <v>124</v>
      </c>
      <c r="T8" s="6" t="s">
        <v>303</v>
      </c>
      <c r="U8" s="6" t="s">
        <v>48</v>
      </c>
      <c r="V8" s="6" t="s">
        <v>205</v>
      </c>
      <c r="W8" s="6" t="s">
        <v>174</v>
      </c>
      <c r="X8" s="6"/>
      <c r="Y8" s="6" t="s">
        <v>175</v>
      </c>
      <c r="Z8" s="9">
        <v>65892.820000000007</v>
      </c>
      <c r="AA8" s="9">
        <v>0</v>
      </c>
      <c r="AB8" s="9">
        <v>0</v>
      </c>
      <c r="AC8" s="7">
        <v>46121</v>
      </c>
      <c r="AD8" s="9">
        <v>65892.820000000007</v>
      </c>
      <c r="AE8" s="5">
        <v>215</v>
      </c>
      <c r="AF8" s="6" t="s">
        <v>184</v>
      </c>
      <c r="AG8" s="6" t="s">
        <v>177</v>
      </c>
      <c r="AH8" s="6" t="s">
        <v>176</v>
      </c>
      <c r="AI8" s="6"/>
      <c r="AJ8" s="5"/>
      <c r="AK8" s="6" t="s">
        <v>178</v>
      </c>
      <c r="AL8" s="6" t="s">
        <v>185</v>
      </c>
      <c r="AM8" s="7">
        <v>46062</v>
      </c>
      <c r="AN8" s="6" t="s">
        <v>180</v>
      </c>
    </row>
    <row r="9" spans="1:40" ht="30" x14ac:dyDescent="0.25">
      <c r="A9" s="2"/>
      <c r="B9" s="3"/>
      <c r="C9" s="4">
        <v>46142</v>
      </c>
      <c r="D9" s="5">
        <v>554116779</v>
      </c>
      <c r="E9" s="6" t="s">
        <v>206</v>
      </c>
      <c r="F9" s="7">
        <v>46027</v>
      </c>
      <c r="G9" s="6" t="s">
        <v>202</v>
      </c>
      <c r="H9" s="6" t="s">
        <v>202</v>
      </c>
      <c r="I9" s="6" t="s">
        <v>76</v>
      </c>
      <c r="J9" s="8" t="s">
        <v>207</v>
      </c>
      <c r="K9" s="4"/>
      <c r="L9" s="5">
        <f ca="1">IF($O9="","",$O9-TODAY())</f>
        <v>-187</v>
      </c>
      <c r="M9" s="5">
        <f ca="1">IF($F9="","",$F9+90-TODAY())</f>
        <v>-187</v>
      </c>
      <c r="N9" s="5">
        <f ca="1">IF($C9="","",$C9+540-TODAY())</f>
        <v>378</v>
      </c>
      <c r="O9" s="7">
        <v>46117</v>
      </c>
      <c r="P9" s="6" t="s">
        <v>78</v>
      </c>
      <c r="Q9" s="6" t="s">
        <v>204</v>
      </c>
      <c r="R9" s="6" t="s">
        <v>78</v>
      </c>
      <c r="S9" s="6" t="s">
        <v>124</v>
      </c>
      <c r="T9" s="6" t="s">
        <v>303</v>
      </c>
      <c r="U9" s="6" t="s">
        <v>48</v>
      </c>
      <c r="V9" s="6" t="s">
        <v>205</v>
      </c>
      <c r="W9" s="6" t="s">
        <v>174</v>
      </c>
      <c r="X9" s="6"/>
      <c r="Y9" s="6" t="s">
        <v>115</v>
      </c>
      <c r="Z9" s="9">
        <v>65085.23</v>
      </c>
      <c r="AA9" s="9">
        <v>0</v>
      </c>
      <c r="AB9" s="9">
        <v>0</v>
      </c>
      <c r="AC9" s="7">
        <v>46142</v>
      </c>
      <c r="AD9" s="9">
        <v>65085.23</v>
      </c>
      <c r="AE9" s="5">
        <v>215</v>
      </c>
      <c r="AF9" s="6" t="s">
        <v>184</v>
      </c>
      <c r="AG9" s="6" t="s">
        <v>177</v>
      </c>
      <c r="AH9" s="6" t="s">
        <v>176</v>
      </c>
      <c r="AI9" s="6"/>
      <c r="AJ9" s="5"/>
      <c r="AK9" s="6" t="s">
        <v>178</v>
      </c>
      <c r="AL9" s="6" t="s">
        <v>185</v>
      </c>
      <c r="AM9" s="7">
        <v>46062</v>
      </c>
      <c r="AN9" s="6" t="s">
        <v>180</v>
      </c>
    </row>
    <row r="10" spans="1:40" ht="30" x14ac:dyDescent="0.25">
      <c r="A10" s="2"/>
      <c r="B10" s="3"/>
      <c r="C10" s="4">
        <v>46111</v>
      </c>
      <c r="D10" s="5">
        <v>552170540</v>
      </c>
      <c r="E10" s="6" t="s">
        <v>208</v>
      </c>
      <c r="F10" s="7">
        <v>46048</v>
      </c>
      <c r="G10" s="6" t="s">
        <v>202</v>
      </c>
      <c r="H10" s="6" t="s">
        <v>202</v>
      </c>
      <c r="I10" s="6" t="s">
        <v>76</v>
      </c>
      <c r="J10" s="8" t="s">
        <v>209</v>
      </c>
      <c r="K10" s="4"/>
      <c r="L10" s="5">
        <f ca="1">IF($O10="","",$O10-TODAY())</f>
        <v>-166</v>
      </c>
      <c r="M10" s="5">
        <f ca="1">IF($F10="","",$F10+90-TODAY())</f>
        <v>-166</v>
      </c>
      <c r="N10" s="5">
        <f ca="1">IF($C10="","",$C10+540-TODAY())</f>
        <v>347</v>
      </c>
      <c r="O10" s="7">
        <v>46138</v>
      </c>
      <c r="P10" s="6" t="s">
        <v>78</v>
      </c>
      <c r="Q10" s="6" t="s">
        <v>204</v>
      </c>
      <c r="R10" s="6" t="s">
        <v>78</v>
      </c>
      <c r="S10" s="6" t="s">
        <v>124</v>
      </c>
      <c r="T10" s="6" t="s">
        <v>303</v>
      </c>
      <c r="U10" s="6" t="s">
        <v>48</v>
      </c>
      <c r="V10" s="6" t="s">
        <v>205</v>
      </c>
      <c r="W10" s="6" t="s">
        <v>174</v>
      </c>
      <c r="X10" s="6"/>
      <c r="Y10" s="6" t="s">
        <v>59</v>
      </c>
      <c r="Z10" s="9">
        <v>64277.64</v>
      </c>
      <c r="AA10" s="9">
        <v>0</v>
      </c>
      <c r="AB10" s="9">
        <v>0</v>
      </c>
      <c r="AC10" s="7">
        <v>46111</v>
      </c>
      <c r="AD10" s="9">
        <v>64277.64</v>
      </c>
      <c r="AE10" s="5">
        <v>194</v>
      </c>
      <c r="AF10" s="6" t="s">
        <v>184</v>
      </c>
      <c r="AG10" s="6" t="s">
        <v>177</v>
      </c>
      <c r="AH10" s="6" t="s">
        <v>176</v>
      </c>
      <c r="AI10" s="6"/>
      <c r="AJ10" s="5"/>
      <c r="AK10" s="6" t="s">
        <v>178</v>
      </c>
      <c r="AL10" s="6" t="s">
        <v>185</v>
      </c>
      <c r="AM10" s="7">
        <v>46062</v>
      </c>
      <c r="AN10" s="6" t="s">
        <v>180</v>
      </c>
    </row>
    <row r="11" spans="1:40" x14ac:dyDescent="0.25">
      <c r="A11" s="2"/>
      <c r="B11" s="3"/>
      <c r="C11" s="4">
        <v>46127</v>
      </c>
      <c r="D11" s="5">
        <v>555373347</v>
      </c>
      <c r="E11" s="6" t="s">
        <v>210</v>
      </c>
      <c r="F11" s="7">
        <v>46027</v>
      </c>
      <c r="G11" s="6" t="s">
        <v>211</v>
      </c>
      <c r="H11" s="6" t="s">
        <v>211</v>
      </c>
      <c r="I11" s="6" t="s">
        <v>76</v>
      </c>
      <c r="J11" s="8" t="s">
        <v>212</v>
      </c>
      <c r="K11" s="4"/>
      <c r="L11" s="5">
        <f ca="1">IF($O11="","",$O11-TODAY())</f>
        <v>-157</v>
      </c>
      <c r="M11" s="5">
        <f ca="1">IF($C11="","",$C11+180-TODAY())</f>
        <v>3</v>
      </c>
      <c r="N11" s="5">
        <f ca="1">IF($C11="","",$C11+180-TODAY())</f>
        <v>3</v>
      </c>
      <c r="O11" s="7">
        <v>46147</v>
      </c>
      <c r="P11" s="6" t="s">
        <v>49</v>
      </c>
      <c r="Q11" s="6" t="s">
        <v>213</v>
      </c>
      <c r="R11" s="6" t="s">
        <v>80</v>
      </c>
      <c r="S11" s="6" t="s">
        <v>48</v>
      </c>
      <c r="T11" s="6" t="s">
        <v>80</v>
      </c>
      <c r="U11" s="6" t="s">
        <v>48</v>
      </c>
      <c r="V11" s="6" t="s">
        <v>205</v>
      </c>
      <c r="W11" s="6" t="s">
        <v>174</v>
      </c>
      <c r="X11" s="6"/>
      <c r="Y11" s="6" t="s">
        <v>214</v>
      </c>
      <c r="Z11" s="9">
        <v>57326.78</v>
      </c>
      <c r="AA11" s="9">
        <v>0</v>
      </c>
      <c r="AB11" s="9">
        <v>0</v>
      </c>
      <c r="AC11" s="7">
        <v>46127</v>
      </c>
      <c r="AD11" s="9">
        <v>57326.78</v>
      </c>
      <c r="AE11" s="5">
        <v>215</v>
      </c>
      <c r="AF11" s="6" t="s">
        <v>184</v>
      </c>
      <c r="AG11" s="6" t="s">
        <v>177</v>
      </c>
      <c r="AH11" s="6" t="s">
        <v>176</v>
      </c>
      <c r="AI11" s="6"/>
      <c r="AJ11" s="5"/>
      <c r="AK11" s="6" t="s">
        <v>178</v>
      </c>
      <c r="AL11" s="6" t="s">
        <v>62</v>
      </c>
      <c r="AM11" s="7">
        <v>46062</v>
      </c>
      <c r="AN11" s="6" t="s">
        <v>180</v>
      </c>
    </row>
    <row r="12" spans="1:40" ht="30" x14ac:dyDescent="0.25">
      <c r="A12" s="2"/>
      <c r="B12" s="3"/>
      <c r="C12" s="4">
        <v>46141</v>
      </c>
      <c r="D12" s="5">
        <v>548926996</v>
      </c>
      <c r="E12" s="6" t="s">
        <v>215</v>
      </c>
      <c r="F12" s="7">
        <v>46034</v>
      </c>
      <c r="G12" s="6" t="s">
        <v>216</v>
      </c>
      <c r="H12" s="6" t="s">
        <v>216</v>
      </c>
      <c r="I12" s="6" t="s">
        <v>217</v>
      </c>
      <c r="J12" s="8" t="s">
        <v>218</v>
      </c>
      <c r="K12" s="4"/>
      <c r="L12" s="5" t="str">
        <f ca="1">IF($O12="","",$O12-TODAY())</f>
        <v/>
      </c>
      <c r="M12" s="5"/>
      <c r="N12" s="5">
        <f ca="1">IF($C12="","",$C12+180-TODAY())</f>
        <v>17</v>
      </c>
      <c r="O12" s="7"/>
      <c r="P12" s="6"/>
      <c r="Q12" s="6" t="s">
        <v>219</v>
      </c>
      <c r="R12" s="6"/>
      <c r="S12" s="6"/>
      <c r="T12" s="6" t="s">
        <v>80</v>
      </c>
      <c r="U12" s="6" t="s">
        <v>48</v>
      </c>
      <c r="V12" s="6" t="s">
        <v>220</v>
      </c>
      <c r="W12" s="6" t="s">
        <v>174</v>
      </c>
      <c r="X12" s="6"/>
      <c r="Y12" s="6" t="s">
        <v>221</v>
      </c>
      <c r="Z12" s="9">
        <v>70557.69</v>
      </c>
      <c r="AA12" s="9">
        <v>0</v>
      </c>
      <c r="AB12" s="9">
        <v>0</v>
      </c>
      <c r="AC12" s="7">
        <v>46141</v>
      </c>
      <c r="AD12" s="9">
        <v>70557.69</v>
      </c>
      <c r="AE12" s="5">
        <v>208</v>
      </c>
      <c r="AF12" s="6" t="s">
        <v>184</v>
      </c>
      <c r="AG12" s="6" t="s">
        <v>177</v>
      </c>
      <c r="AH12" s="6" t="s">
        <v>176</v>
      </c>
      <c r="AI12" s="6"/>
      <c r="AJ12" s="5"/>
      <c r="AK12" s="6" t="s">
        <v>178</v>
      </c>
      <c r="AL12" s="6" t="s">
        <v>90</v>
      </c>
      <c r="AM12" s="7">
        <v>46062</v>
      </c>
      <c r="AN12" s="6" t="s">
        <v>180</v>
      </c>
    </row>
  </sheetData>
  <autoFilter ref="A1:AN12" xr:uid="{00000000-0009-0000-0000-000002000000}"/>
  <conditionalFormatting sqref="L2:L12">
    <cfRule type="expression" dxfId="59" priority="1">
      <formula>AND($L2&lt;&gt;"", $L2&gt;=0, $L2&lt;=5)</formula>
    </cfRule>
    <cfRule type="expression" dxfId="58" priority="2">
      <formula>AND($L2&lt;&gt;"", $L2&gt;5, $L2&lt;=30)</formula>
    </cfRule>
    <cfRule type="expression" dxfId="57" priority="3">
      <formula>AND($L2&lt;&gt;"", $L2&gt;30)</formula>
    </cfRule>
    <cfRule type="expression" dxfId="56" priority="4">
      <formula>AND($L2&lt;&gt;"", $L2&lt;0)</formula>
    </cfRule>
    <cfRule type="expression" dxfId="55" priority="5">
      <formula>$L2=""</formula>
    </cfRule>
  </conditionalFormatting>
  <conditionalFormatting sqref="M2:M12">
    <cfRule type="expression" dxfId="54" priority="6">
      <formula>AND($M2&lt;&gt;"", $M2&gt;=0, $M2&lt;=5)</formula>
    </cfRule>
    <cfRule type="expression" dxfId="53" priority="7">
      <formula>AND($M2&lt;&gt;"", $M2&gt;5, $M2&lt;=30)</formula>
    </cfRule>
    <cfRule type="expression" dxfId="52" priority="8">
      <formula>AND($M2&lt;&gt;"", $M2&gt;30)</formula>
    </cfRule>
    <cfRule type="expression" dxfId="51" priority="9">
      <formula>AND($M2&lt;&gt;"", $M2&lt;0)</formula>
    </cfRule>
    <cfRule type="expression" dxfId="50" priority="10">
      <formula>$M2=""</formula>
    </cfRule>
  </conditionalFormatting>
  <conditionalFormatting sqref="N2:N12">
    <cfRule type="expression" dxfId="49" priority="11">
      <formula>AND($N2&lt;&gt;"", $N2&gt;=0, $N2&lt;=5)</formula>
    </cfRule>
    <cfRule type="expression" dxfId="48" priority="12">
      <formula>AND($N2&lt;&gt;"", $N2&gt;5, $N2&lt;=30)</formula>
    </cfRule>
    <cfRule type="expression" dxfId="47" priority="13">
      <formula>AND($N2&lt;&gt;"", $N2&gt;30)</formula>
    </cfRule>
    <cfRule type="expression" dxfId="46" priority="14">
      <formula>AND($N2&lt;&gt;"", $N2&lt;0)</formula>
    </cfRule>
    <cfRule type="expression" dxfId="45" priority="15">
      <formula>$N2=""</formula>
    </cfRule>
  </conditionalFormatting>
  <conditionalFormatting sqref="O2:U12">
    <cfRule type="expression" dxfId="44" priority="16">
      <formula>AND($L2&lt;&gt;"", $L2&gt;=0, $L2&lt;=5)</formula>
    </cfRule>
    <cfRule type="expression" dxfId="43" priority="17">
      <formula>AND($L2&lt;&gt;"", $L2&gt;5, $L2&lt;=30)</formula>
    </cfRule>
    <cfRule type="expression" dxfId="42" priority="18">
      <formula>AND($L2&lt;&gt;"", $L2&gt;30)</formula>
    </cfRule>
    <cfRule type="expression" dxfId="41" priority="19">
      <formula>AND($L2&lt;&gt;"", $L2&lt;0)</formula>
    </cfRule>
    <cfRule type="expression" dxfId="4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TRIM($A2)="Denied"</formula>
    </cfRule>
    <cfRule type="expression" dxfId="106" priority="27">
      <formula>TRIM($A2)="Rejected"</formula>
    </cfRule>
    <cfRule type="expression" dxfId="107" priority="28">
      <formula>TRIM($A2)="Not found"</formula>
    </cfRule>
  </conditionalFormatting>
  <dataValidations count="1">
    <dataValidation type="list" allowBlank="1" showInputMessage="1" promptTitle="Claim Status" prompt="Pick a status, or type a new one." sqref="A2:A12" xr:uid="{00000000-0002-0000-0200-000000000000}">
      <formula1>"Denied,Finalized,PAID,Pending,Received,Rejected,Under Review"</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10"/>
  <sheetViews>
    <sheetView zoomScale="90" workbookViewId="0">
      <pane xSplit="2" ySplit="1" topLeftCell="C2" activePane="bottomRight" state="frozen"/>
      <selection pane="topRight"/>
      <selection pane="bottomLeft"/>
      <selection pane="bottomRight" activeCell="B8" sqref="B8"/>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customWidth="1"/>
    <col min="10" max="10" width="42" customWidth="1"/>
    <col min="11" max="11" width="14" customWidth="1"/>
    <col min="12" max="12" width="12" customWidth="1"/>
    <col min="13" max="13" width="15" customWidth="1"/>
    <col min="14" max="14" width="13" customWidth="1"/>
    <col min="15" max="15" width="17" customWidth="1"/>
    <col min="16" max="16" width="14" customWidth="1"/>
    <col min="17" max="17" width="30" customWidth="1"/>
    <col min="18" max="18" width="14" customWidth="1"/>
    <col min="19" max="19" width="16" customWidth="1"/>
    <col min="20" max="20" width="13" customWidth="1"/>
    <col min="21" max="21" width="16"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 t="s">
        <v>0</v>
      </c>
      <c r="B1" s="1" t="s">
        <v>1</v>
      </c>
      <c r="C1" s="1" t="s">
        <v>2</v>
      </c>
      <c r="D1" s="1" t="s">
        <v>3</v>
      </c>
      <c r="E1" s="1" t="s">
        <v>4</v>
      </c>
      <c r="F1" s="1" t="s">
        <v>5</v>
      </c>
      <c r="G1" s="1" t="s">
        <v>6</v>
      </c>
      <c r="H1" s="1" t="s">
        <v>7</v>
      </c>
      <c r="I1" s="1" t="s">
        <v>8</v>
      </c>
      <c r="J1" s="1" t="s">
        <v>9</v>
      </c>
      <c r="K1" s="1" t="s">
        <v>125</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x14ac:dyDescent="0.25">
      <c r="A2" s="2"/>
      <c r="B2" s="3"/>
      <c r="C2" s="4"/>
      <c r="D2" s="5">
        <v>557028860</v>
      </c>
      <c r="E2" s="6" t="s">
        <v>222</v>
      </c>
      <c r="F2" s="7">
        <v>46037</v>
      </c>
      <c r="G2" s="6" t="s">
        <v>223</v>
      </c>
      <c r="H2" s="6" t="s">
        <v>223</v>
      </c>
      <c r="I2" s="6" t="s">
        <v>76</v>
      </c>
      <c r="J2" s="8" t="s">
        <v>224</v>
      </c>
      <c r="K2" s="4"/>
      <c r="L2" s="5">
        <f ca="1">IF($O2="","",$O2-TODAY())</f>
        <v>-207</v>
      </c>
      <c r="M2" s="5" t="str">
        <f ca="1">IF($C2="","",$C2+365-TODAY())</f>
        <v/>
      </c>
      <c r="N2" s="5" t="str">
        <f ca="1">IF($C2="","",$C2+365-TODAY())</f>
        <v/>
      </c>
      <c r="O2" s="7">
        <v>46097</v>
      </c>
      <c r="P2" s="6" t="s">
        <v>157</v>
      </c>
      <c r="Q2" s="6" t="s">
        <v>225</v>
      </c>
      <c r="R2" s="6" t="s">
        <v>46</v>
      </c>
      <c r="S2" s="6" t="s">
        <v>48</v>
      </c>
      <c r="T2" s="6" t="s">
        <v>46</v>
      </c>
      <c r="U2" s="6" t="s">
        <v>48</v>
      </c>
      <c r="V2" s="6"/>
      <c r="W2" s="6"/>
      <c r="X2" s="6"/>
      <c r="Y2" s="6" t="s">
        <v>59</v>
      </c>
      <c r="Z2" s="9">
        <v>2493.33</v>
      </c>
      <c r="AA2" s="9">
        <v>0</v>
      </c>
      <c r="AB2" s="9">
        <v>0</v>
      </c>
      <c r="AC2" s="7"/>
      <c r="AD2" s="9">
        <v>2493.33</v>
      </c>
      <c r="AE2" s="5">
        <v>205</v>
      </c>
      <c r="AF2" s="6" t="s">
        <v>160</v>
      </c>
      <c r="AG2" s="6" t="s">
        <v>133</v>
      </c>
      <c r="AH2" s="6"/>
      <c r="AI2" s="6"/>
      <c r="AJ2" s="5"/>
      <c r="AK2" s="6" t="s">
        <v>168</v>
      </c>
      <c r="AL2" s="6" t="s">
        <v>179</v>
      </c>
      <c r="AM2" s="7">
        <v>46048</v>
      </c>
      <c r="AN2" s="6" t="s">
        <v>226</v>
      </c>
    </row>
    <row r="3" spans="1:40" x14ac:dyDescent="0.25">
      <c r="A3" s="2" t="s">
        <v>97</v>
      </c>
      <c r="B3" s="3"/>
      <c r="C3" s="4">
        <v>46112</v>
      </c>
      <c r="D3" s="5">
        <v>545934422</v>
      </c>
      <c r="E3" s="6" t="s">
        <v>227</v>
      </c>
      <c r="F3" s="7">
        <v>46031</v>
      </c>
      <c r="G3" s="6" t="s">
        <v>228</v>
      </c>
      <c r="H3" s="6" t="s">
        <v>228</v>
      </c>
      <c r="I3" s="6" t="s">
        <v>76</v>
      </c>
      <c r="J3" s="8" t="s">
        <v>229</v>
      </c>
      <c r="K3" s="4"/>
      <c r="L3" s="5">
        <f ca="1">IF($O3="","",$O3-TODAY())</f>
        <v>-183</v>
      </c>
      <c r="M3" s="5">
        <f ca="1">IF($F3="","",$F3+90-TODAY())</f>
        <v>-183</v>
      </c>
      <c r="N3" s="5">
        <f ca="1">IF($C3="","",$C3+180-TODAY())</f>
        <v>-12</v>
      </c>
      <c r="O3" s="7">
        <v>46121</v>
      </c>
      <c r="P3" s="6" t="s">
        <v>78</v>
      </c>
      <c r="Q3" s="6" t="s">
        <v>230</v>
      </c>
      <c r="R3" s="6" t="s">
        <v>78</v>
      </c>
      <c r="S3" s="6" t="s">
        <v>124</v>
      </c>
      <c r="T3" s="6" t="s">
        <v>80</v>
      </c>
      <c r="U3" s="6" t="s">
        <v>48</v>
      </c>
      <c r="V3" s="6"/>
      <c r="W3" s="6"/>
      <c r="X3" s="6"/>
      <c r="Y3" s="6" t="s">
        <v>59</v>
      </c>
      <c r="Z3" s="9">
        <v>7623.07</v>
      </c>
      <c r="AA3" s="9">
        <v>0</v>
      </c>
      <c r="AB3" s="9">
        <v>0</v>
      </c>
      <c r="AC3" s="7">
        <v>46112</v>
      </c>
      <c r="AD3" s="9">
        <v>7623.07</v>
      </c>
      <c r="AE3" s="5">
        <v>211</v>
      </c>
      <c r="AF3" s="6" t="s">
        <v>141</v>
      </c>
      <c r="AG3" s="6"/>
      <c r="AH3" s="6"/>
      <c r="AI3" s="6"/>
      <c r="AJ3" s="5"/>
      <c r="AK3" s="6" t="s">
        <v>101</v>
      </c>
      <c r="AL3" s="6" t="s">
        <v>185</v>
      </c>
      <c r="AM3" s="7">
        <v>46037</v>
      </c>
      <c r="AN3" s="6" t="s">
        <v>226</v>
      </c>
    </row>
    <row r="4" spans="1:40" x14ac:dyDescent="0.25">
      <c r="A4" s="2" t="s">
        <v>94</v>
      </c>
      <c r="B4" s="3"/>
      <c r="C4" s="4">
        <v>46156</v>
      </c>
      <c r="D4" s="5">
        <v>545934840</v>
      </c>
      <c r="E4" s="6" t="s">
        <v>231</v>
      </c>
      <c r="F4" s="7">
        <v>46031</v>
      </c>
      <c r="G4" s="6" t="s">
        <v>232</v>
      </c>
      <c r="H4" s="6" t="s">
        <v>75</v>
      </c>
      <c r="I4" s="6" t="s">
        <v>232</v>
      </c>
      <c r="J4" s="8" t="s">
        <v>224</v>
      </c>
      <c r="K4" s="4"/>
      <c r="L4" s="5">
        <f ca="1">IF($O4="","",$O4-TODAY())</f>
        <v>-183</v>
      </c>
      <c r="M4" s="5">
        <f ca="1">IF($C4="","",$C4+180-TODAY())</f>
        <v>32</v>
      </c>
      <c r="N4" s="5">
        <f ca="1">IF($C4="","",$C4+365-TODAY())</f>
        <v>217</v>
      </c>
      <c r="O4" s="7">
        <v>46121</v>
      </c>
      <c r="P4" s="6" t="s">
        <v>78</v>
      </c>
      <c r="Q4" s="6" t="s">
        <v>79</v>
      </c>
      <c r="R4" s="6" t="s">
        <v>80</v>
      </c>
      <c r="S4" s="6" t="s">
        <v>48</v>
      </c>
      <c r="T4" s="6" t="s">
        <v>46</v>
      </c>
      <c r="U4" s="6" t="s">
        <v>48</v>
      </c>
      <c r="V4" s="6"/>
      <c r="W4" s="6"/>
      <c r="X4" s="6"/>
      <c r="Y4" s="6" t="s">
        <v>59</v>
      </c>
      <c r="Z4" s="9">
        <v>2493.33</v>
      </c>
      <c r="AA4" s="9">
        <v>2322.61</v>
      </c>
      <c r="AB4" s="9">
        <v>18.5</v>
      </c>
      <c r="AC4" s="7">
        <v>46156</v>
      </c>
      <c r="AD4" s="9">
        <v>152.22</v>
      </c>
      <c r="AE4" s="5">
        <v>211</v>
      </c>
      <c r="AF4" s="6" t="s">
        <v>233</v>
      </c>
      <c r="AG4" s="6"/>
      <c r="AH4" s="6"/>
      <c r="AI4" s="6"/>
      <c r="AJ4" s="5">
        <v>556916920</v>
      </c>
      <c r="AK4" s="6" t="s">
        <v>101</v>
      </c>
      <c r="AL4" s="6" t="s">
        <v>185</v>
      </c>
      <c r="AM4" s="7">
        <v>46037</v>
      </c>
      <c r="AN4" s="6" t="s">
        <v>226</v>
      </c>
    </row>
    <row r="5" spans="1:40" x14ac:dyDescent="0.25">
      <c r="A5" s="2"/>
      <c r="B5" s="3"/>
      <c r="C5" s="4">
        <v>46045</v>
      </c>
      <c r="D5" s="5">
        <v>546049607</v>
      </c>
      <c r="E5" s="6" t="s">
        <v>234</v>
      </c>
      <c r="F5" s="7">
        <v>46035</v>
      </c>
      <c r="G5" s="6" t="s">
        <v>232</v>
      </c>
      <c r="H5" s="6" t="s">
        <v>232</v>
      </c>
      <c r="I5" s="6" t="s">
        <v>76</v>
      </c>
      <c r="J5" s="8" t="s">
        <v>235</v>
      </c>
      <c r="K5" s="4"/>
      <c r="L5" s="5">
        <f ca="1">IF($O5="","",$O5-TODAY())</f>
        <v>-179</v>
      </c>
      <c r="M5" s="5">
        <f ca="1">IF($C5="","",$C5+180-TODAY())</f>
        <v>-79</v>
      </c>
      <c r="N5" s="5">
        <f ca="1">IF($C5="","",$C5+365-TODAY())</f>
        <v>106</v>
      </c>
      <c r="O5" s="7">
        <v>46125</v>
      </c>
      <c r="P5" s="6" t="s">
        <v>78</v>
      </c>
      <c r="Q5" s="6" t="s">
        <v>236</v>
      </c>
      <c r="R5" s="6" t="s">
        <v>80</v>
      </c>
      <c r="S5" s="6" t="s">
        <v>48</v>
      </c>
      <c r="T5" s="6" t="s">
        <v>46</v>
      </c>
      <c r="U5" s="6" t="s">
        <v>48</v>
      </c>
      <c r="V5" s="6" t="s">
        <v>237</v>
      </c>
      <c r="W5" s="6"/>
      <c r="X5" s="6"/>
      <c r="Y5" s="6" t="s">
        <v>59</v>
      </c>
      <c r="Z5" s="9">
        <v>7623.07</v>
      </c>
      <c r="AA5" s="9">
        <v>0</v>
      </c>
      <c r="AB5" s="9">
        <v>0</v>
      </c>
      <c r="AC5" s="7">
        <v>46045</v>
      </c>
      <c r="AD5" s="9">
        <v>7623.07</v>
      </c>
      <c r="AE5" s="5">
        <v>207</v>
      </c>
      <c r="AF5" s="6" t="s">
        <v>141</v>
      </c>
      <c r="AG5" s="6"/>
      <c r="AH5" s="6"/>
      <c r="AI5" s="6"/>
      <c r="AJ5" s="5"/>
      <c r="AK5" s="6" t="s">
        <v>238</v>
      </c>
      <c r="AL5" s="6" t="s">
        <v>185</v>
      </c>
      <c r="AM5" s="7">
        <v>46037</v>
      </c>
      <c r="AN5" s="6" t="s">
        <v>226</v>
      </c>
    </row>
    <row r="6" spans="1:40" x14ac:dyDescent="0.25">
      <c r="A6" s="2"/>
      <c r="B6" s="3"/>
      <c r="C6" s="4"/>
      <c r="D6" s="5">
        <v>548591390</v>
      </c>
      <c r="E6" s="6" t="s">
        <v>239</v>
      </c>
      <c r="F6" s="7">
        <v>46036</v>
      </c>
      <c r="G6" s="6" t="s">
        <v>43</v>
      </c>
      <c r="H6" s="6" t="s">
        <v>43</v>
      </c>
      <c r="I6" s="6" t="s">
        <v>76</v>
      </c>
      <c r="J6" s="8" t="s">
        <v>229</v>
      </c>
      <c r="K6" s="4"/>
      <c r="L6" s="5">
        <f ca="1">IF($O6="","",$O6-TODAY())</f>
        <v>-178</v>
      </c>
      <c r="M6" s="5">
        <f ca="1">IF($F6="","",$F6+90-TODAY())</f>
        <v>-178</v>
      </c>
      <c r="N6" s="5" t="str">
        <f ca="1">IF($C6="","",$C6+365-TODAY())</f>
        <v/>
      </c>
      <c r="O6" s="7">
        <v>46126</v>
      </c>
      <c r="P6" s="6" t="s">
        <v>78</v>
      </c>
      <c r="Q6" s="6" t="s">
        <v>82</v>
      </c>
      <c r="R6" s="6" t="s">
        <v>78</v>
      </c>
      <c r="S6" s="6" t="s">
        <v>124</v>
      </c>
      <c r="T6" s="6" t="s">
        <v>46</v>
      </c>
      <c r="U6" s="6" t="s">
        <v>48</v>
      </c>
      <c r="V6" s="6"/>
      <c r="W6" s="6"/>
      <c r="X6" s="6"/>
      <c r="Y6" s="6" t="s">
        <v>59</v>
      </c>
      <c r="Z6" s="9">
        <v>7623.07</v>
      </c>
      <c r="AA6" s="9">
        <v>0</v>
      </c>
      <c r="AB6" s="9">
        <v>0</v>
      </c>
      <c r="AC6" s="7"/>
      <c r="AD6" s="9">
        <v>7623.07</v>
      </c>
      <c r="AE6" s="5">
        <v>206</v>
      </c>
      <c r="AF6" s="6" t="s">
        <v>240</v>
      </c>
      <c r="AG6" s="6" t="s">
        <v>133</v>
      </c>
      <c r="AH6" s="6"/>
      <c r="AI6" s="6"/>
      <c r="AJ6" s="5"/>
      <c r="AK6" s="6" t="s">
        <v>241</v>
      </c>
      <c r="AL6" s="6" t="s">
        <v>185</v>
      </c>
      <c r="AM6" s="7">
        <v>46042</v>
      </c>
      <c r="AN6" s="6" t="s">
        <v>226</v>
      </c>
    </row>
    <row r="7" spans="1:40" x14ac:dyDescent="0.25">
      <c r="A7" s="2" t="s">
        <v>63</v>
      </c>
      <c r="B7" s="3"/>
      <c r="C7" s="4">
        <v>46163</v>
      </c>
      <c r="D7" s="5">
        <v>547275123</v>
      </c>
      <c r="E7" s="6" t="s">
        <v>242</v>
      </c>
      <c r="F7" s="7">
        <v>46045</v>
      </c>
      <c r="G7" s="6" t="s">
        <v>75</v>
      </c>
      <c r="H7" s="6" t="s">
        <v>43</v>
      </c>
      <c r="I7" s="6" t="s">
        <v>75</v>
      </c>
      <c r="J7" s="8" t="s">
        <v>243</v>
      </c>
      <c r="K7" s="4"/>
      <c r="L7" s="5">
        <f ca="1">IF($O7="","",$O7-TODAY())</f>
        <v>-169</v>
      </c>
      <c r="M7" s="5">
        <f ca="1">IF($F7="","",$F7+90-TODAY())</f>
        <v>-169</v>
      </c>
      <c r="N7" s="5">
        <f ca="1">IF($C7="","",$C7+365-TODAY())</f>
        <v>224</v>
      </c>
      <c r="O7" s="7">
        <v>46135</v>
      </c>
      <c r="P7" s="6" t="s">
        <v>78</v>
      </c>
      <c r="Q7" s="6" t="s">
        <v>82</v>
      </c>
      <c r="R7" s="6" t="s">
        <v>78</v>
      </c>
      <c r="S7" s="6" t="s">
        <v>124</v>
      </c>
      <c r="T7" s="6" t="s">
        <v>46</v>
      </c>
      <c r="U7" s="6" t="s">
        <v>48</v>
      </c>
      <c r="V7" s="6" t="s">
        <v>237</v>
      </c>
      <c r="W7" s="6"/>
      <c r="X7" s="6"/>
      <c r="Y7" s="6" t="s">
        <v>59</v>
      </c>
      <c r="Z7" s="9">
        <v>5614.63</v>
      </c>
      <c r="AA7" s="9">
        <v>-186.91</v>
      </c>
      <c r="AB7" s="9">
        <v>0</v>
      </c>
      <c r="AC7" s="7">
        <v>46163</v>
      </c>
      <c r="AD7" s="9">
        <v>5614.63</v>
      </c>
      <c r="AE7" s="5">
        <v>197</v>
      </c>
      <c r="AF7" s="6" t="s">
        <v>244</v>
      </c>
      <c r="AG7" s="6"/>
      <c r="AH7" s="6"/>
      <c r="AI7" s="6"/>
      <c r="AJ7" s="5">
        <v>549237390</v>
      </c>
      <c r="AK7" s="6" t="s">
        <v>52</v>
      </c>
      <c r="AL7" s="6" t="s">
        <v>179</v>
      </c>
      <c r="AM7" s="7">
        <v>46049</v>
      </c>
      <c r="AN7" s="6" t="s">
        <v>226</v>
      </c>
    </row>
    <row r="8" spans="1:40" x14ac:dyDescent="0.25">
      <c r="A8" s="2" t="s">
        <v>63</v>
      </c>
      <c r="B8" s="3" t="s">
        <v>245</v>
      </c>
      <c r="C8" s="4">
        <v>46052</v>
      </c>
      <c r="D8" s="5">
        <v>547576017</v>
      </c>
      <c r="E8" s="6" t="s">
        <v>246</v>
      </c>
      <c r="F8" s="7">
        <v>46045</v>
      </c>
      <c r="G8" s="6" t="s">
        <v>43</v>
      </c>
      <c r="H8" s="6" t="s">
        <v>43</v>
      </c>
      <c r="I8" s="6" t="s">
        <v>76</v>
      </c>
      <c r="J8" s="8" t="s">
        <v>229</v>
      </c>
      <c r="K8" s="4"/>
      <c r="L8" s="5">
        <f ca="1">IF($O8="","",$O8-TODAY())</f>
        <v>-169</v>
      </c>
      <c r="M8" s="5">
        <f ca="1">IF($F8="","",$F8+90-TODAY())</f>
        <v>-169</v>
      </c>
      <c r="N8" s="5">
        <f ca="1">IF($C8="","",$C8+365-TODAY())</f>
        <v>113</v>
      </c>
      <c r="O8" s="7">
        <v>46135</v>
      </c>
      <c r="P8" s="6" t="s">
        <v>78</v>
      </c>
      <c r="Q8" s="6" t="s">
        <v>82</v>
      </c>
      <c r="R8" s="6" t="s">
        <v>78</v>
      </c>
      <c r="S8" s="6" t="s">
        <v>124</v>
      </c>
      <c r="T8" s="6" t="s">
        <v>46</v>
      </c>
      <c r="U8" s="6" t="s">
        <v>48</v>
      </c>
      <c r="V8" s="6"/>
      <c r="W8" s="6"/>
      <c r="X8" s="6"/>
      <c r="Y8" s="6" t="s">
        <v>59</v>
      </c>
      <c r="Z8" s="9">
        <v>7623.07</v>
      </c>
      <c r="AA8" s="9">
        <v>0</v>
      </c>
      <c r="AB8" s="9">
        <v>0</v>
      </c>
      <c r="AC8" s="7">
        <v>46052</v>
      </c>
      <c r="AD8" s="9">
        <v>7623.07</v>
      </c>
      <c r="AE8" s="5">
        <v>197</v>
      </c>
      <c r="AF8" s="6" t="s">
        <v>141</v>
      </c>
      <c r="AG8" s="6"/>
      <c r="AH8" s="6"/>
      <c r="AI8" s="6"/>
      <c r="AJ8" s="5"/>
      <c r="AK8" s="6" t="s">
        <v>101</v>
      </c>
      <c r="AL8" s="6" t="s">
        <v>185</v>
      </c>
      <c r="AM8" s="7">
        <v>46049</v>
      </c>
      <c r="AN8" s="6" t="s">
        <v>226</v>
      </c>
    </row>
    <row r="9" spans="1:40" x14ac:dyDescent="0.25">
      <c r="A9" s="2" t="s">
        <v>318</v>
      </c>
      <c r="B9" s="3" t="s">
        <v>319</v>
      </c>
      <c r="C9" s="4">
        <v>46111</v>
      </c>
      <c r="D9" s="5">
        <v>549178846</v>
      </c>
      <c r="E9" s="6" t="s">
        <v>247</v>
      </c>
      <c r="F9" s="7">
        <v>46045</v>
      </c>
      <c r="G9" s="6" t="s">
        <v>248</v>
      </c>
      <c r="H9" s="6" t="s">
        <v>248</v>
      </c>
      <c r="I9" s="6" t="s">
        <v>76</v>
      </c>
      <c r="J9" s="8" t="s">
        <v>249</v>
      </c>
      <c r="K9" s="4"/>
      <c r="L9" s="5" t="str">
        <f ca="1">IF($O9="","",$O9-TODAY())</f>
        <v/>
      </c>
      <c r="M9" s="5"/>
      <c r="N9" s="5"/>
      <c r="O9" s="7"/>
      <c r="P9" s="6"/>
      <c r="Q9" s="6" t="s">
        <v>250</v>
      </c>
      <c r="R9" s="6"/>
      <c r="S9" s="6"/>
      <c r="T9" s="6"/>
      <c r="U9" s="6"/>
      <c r="V9" s="6" t="s">
        <v>251</v>
      </c>
      <c r="W9" s="6" t="s">
        <v>205</v>
      </c>
      <c r="X9" s="6"/>
      <c r="Y9" s="6" t="s">
        <v>59</v>
      </c>
      <c r="Z9" s="9">
        <v>3516.24</v>
      </c>
      <c r="AA9" s="9">
        <v>0</v>
      </c>
      <c r="AB9" s="9">
        <v>0</v>
      </c>
      <c r="AC9" s="7">
        <v>46111</v>
      </c>
      <c r="AD9" s="9">
        <v>3516.24</v>
      </c>
      <c r="AE9" s="5">
        <v>197</v>
      </c>
      <c r="AF9" s="6" t="s">
        <v>252</v>
      </c>
      <c r="AG9" s="6" t="s">
        <v>133</v>
      </c>
      <c r="AH9" s="6"/>
      <c r="AI9" s="6"/>
      <c r="AJ9" s="5"/>
      <c r="AK9" s="6" t="s">
        <v>241</v>
      </c>
      <c r="AL9" s="6" t="s">
        <v>253</v>
      </c>
      <c r="AM9" s="7">
        <v>46058</v>
      </c>
      <c r="AN9" s="6" t="s">
        <v>226</v>
      </c>
    </row>
    <row r="10" spans="1:40" x14ac:dyDescent="0.25">
      <c r="A10" s="2"/>
      <c r="B10" s="3"/>
      <c r="C10" s="4">
        <v>46177</v>
      </c>
      <c r="D10" s="5">
        <v>557657640</v>
      </c>
      <c r="E10" s="6" t="s">
        <v>254</v>
      </c>
      <c r="F10" s="7">
        <v>46048</v>
      </c>
      <c r="G10" s="6" t="s">
        <v>255</v>
      </c>
      <c r="H10" s="6" t="s">
        <v>255</v>
      </c>
      <c r="I10" s="6" t="s">
        <v>76</v>
      </c>
      <c r="J10" s="8" t="s">
        <v>256</v>
      </c>
      <c r="K10" s="4"/>
      <c r="L10" s="5" t="str">
        <f ca="1">IF($O10="","",$O10-TODAY())</f>
        <v/>
      </c>
      <c r="M10" s="5"/>
      <c r="N10" s="5"/>
      <c r="O10" s="7"/>
      <c r="P10" s="6"/>
      <c r="Q10" s="6" t="s">
        <v>250</v>
      </c>
      <c r="R10" s="6"/>
      <c r="S10" s="6"/>
      <c r="T10" s="6"/>
      <c r="U10" s="6"/>
      <c r="V10" s="6" t="s">
        <v>257</v>
      </c>
      <c r="W10" s="6"/>
      <c r="X10" s="6"/>
      <c r="Y10" s="6" t="s">
        <v>59</v>
      </c>
      <c r="Z10" s="9">
        <v>5784.24</v>
      </c>
      <c r="AA10" s="9">
        <v>0</v>
      </c>
      <c r="AB10" s="9">
        <v>0</v>
      </c>
      <c r="AC10" s="7">
        <v>46177</v>
      </c>
      <c r="AD10" s="9">
        <v>5784.24</v>
      </c>
      <c r="AE10" s="5">
        <v>194</v>
      </c>
      <c r="AF10" s="6" t="s">
        <v>233</v>
      </c>
      <c r="AG10" s="6"/>
      <c r="AH10" s="6"/>
      <c r="AI10" s="6"/>
      <c r="AJ10" s="5"/>
      <c r="AK10" s="6" t="s">
        <v>258</v>
      </c>
      <c r="AL10" s="6" t="s">
        <v>185</v>
      </c>
      <c r="AM10" s="7">
        <v>46079</v>
      </c>
      <c r="AN10" s="6" t="s">
        <v>226</v>
      </c>
    </row>
  </sheetData>
  <autoFilter ref="A1:AN10" xr:uid="{00000000-0009-0000-0000-000003000000}"/>
  <conditionalFormatting sqref="L2:L10">
    <cfRule type="expression" dxfId="39" priority="1">
      <formula>AND($L2&lt;&gt;"", $L2&gt;=0, $L2&lt;=5)</formula>
    </cfRule>
    <cfRule type="expression" dxfId="38" priority="2">
      <formula>AND($L2&lt;&gt;"", $L2&gt;5, $L2&lt;=30)</formula>
    </cfRule>
    <cfRule type="expression" dxfId="37" priority="3">
      <formula>AND($L2&lt;&gt;"", $L2&gt;30)</formula>
    </cfRule>
    <cfRule type="expression" dxfId="36" priority="4">
      <formula>AND($L2&lt;&gt;"", $L2&lt;0)</formula>
    </cfRule>
    <cfRule type="expression" dxfId="35" priority="5">
      <formula>$L2=""</formula>
    </cfRule>
  </conditionalFormatting>
  <conditionalFormatting sqref="M2:M10">
    <cfRule type="expression" dxfId="34" priority="6">
      <formula>AND($M2&lt;&gt;"", $M2&gt;=0, $M2&lt;=5)</formula>
    </cfRule>
    <cfRule type="expression" dxfId="33" priority="7">
      <formula>AND($M2&lt;&gt;"", $M2&gt;5, $M2&lt;=30)</formula>
    </cfRule>
    <cfRule type="expression" dxfId="32" priority="8">
      <formula>AND($M2&lt;&gt;"", $M2&gt;30)</formula>
    </cfRule>
    <cfRule type="expression" dxfId="31" priority="9">
      <formula>AND($M2&lt;&gt;"", $M2&lt;0)</formula>
    </cfRule>
    <cfRule type="expression" dxfId="30" priority="10">
      <formula>$M2=""</formula>
    </cfRule>
  </conditionalFormatting>
  <conditionalFormatting sqref="N2:N10">
    <cfRule type="expression" dxfId="29" priority="11">
      <formula>AND($N2&lt;&gt;"", $N2&gt;=0, $N2&lt;=5)</formula>
    </cfRule>
    <cfRule type="expression" dxfId="28" priority="12">
      <formula>AND($N2&lt;&gt;"", $N2&gt;5, $N2&lt;=30)</formula>
    </cfRule>
    <cfRule type="expression" dxfId="27" priority="13">
      <formula>AND($N2&lt;&gt;"", $N2&gt;30)</formula>
    </cfRule>
    <cfRule type="expression" dxfId="26" priority="14">
      <formula>AND($N2&lt;&gt;"", $N2&lt;0)</formula>
    </cfRule>
    <cfRule type="expression" dxfId="25" priority="15">
      <formula>$N2=""</formula>
    </cfRule>
  </conditionalFormatting>
  <conditionalFormatting sqref="O2:U10">
    <cfRule type="expression" dxfId="24" priority="16">
      <formula>AND($L2&lt;&gt;"", $L2&gt;=0, $L2&lt;=5)</formula>
    </cfRule>
    <cfRule type="expression" dxfId="23" priority="17">
      <formula>AND($L2&lt;&gt;"", $L2&gt;5, $L2&lt;=30)</formula>
    </cfRule>
    <cfRule type="expression" dxfId="22" priority="18">
      <formula>AND($L2&lt;&gt;"", $L2&gt;30)</formula>
    </cfRule>
    <cfRule type="expression" dxfId="21" priority="19">
      <formula>AND($L2&lt;&gt;"", $L2&lt;0)</formula>
    </cfRule>
    <cfRule type="expression" dxfId="2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TRIM($A2)="Denied"</formula>
    </cfRule>
    <cfRule type="expression" dxfId="106" priority="27">
      <formula>TRIM($A2)="Rejected"</formula>
    </cfRule>
    <cfRule type="expression" dxfId="107" priority="28">
      <formula>TRIM($A2)="Not found"</formula>
    </cfRule>
  </conditionalFormatting>
  <dataValidations count="1">
    <dataValidation type="list" allowBlank="1" showInputMessage="1" promptTitle="Claim Status" prompt="Pick a status, or type a new one." sqref="A2:A10" xr:uid="{00000000-0002-0000-0300-000000000000}">
      <formula1>"Denied,Finalized,PAID,Pending,Received,Rejected,Under Review"</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8"/>
  <sheetViews>
    <sheetView zoomScale="90" workbookViewId="0">
      <pane xSplit="2" ySplit="1" topLeftCell="C2" activePane="bottomRight" state="frozen"/>
      <selection pane="topRight"/>
      <selection pane="bottomLeft"/>
      <selection pane="bottomRight" activeCell="J1" sqref="J1"/>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customWidth="1"/>
    <col min="10" max="10" width="42" customWidth="1"/>
    <col min="11" max="11" width="14" customWidth="1"/>
    <col min="12" max="12" width="12" customWidth="1"/>
    <col min="13" max="13" width="15" customWidth="1"/>
    <col min="14" max="14" width="13" customWidth="1"/>
    <col min="15" max="15" width="17" customWidth="1"/>
    <col min="16" max="16" width="14" customWidth="1"/>
    <col min="17" max="17" width="30" customWidth="1"/>
    <col min="18" max="18" width="14" customWidth="1"/>
    <col min="19" max="19" width="16" customWidth="1"/>
    <col min="20" max="20" width="13" customWidth="1"/>
    <col min="21" max="21" width="16"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 t="s">
        <v>0</v>
      </c>
      <c r="B1" s="1" t="s">
        <v>1</v>
      </c>
      <c r="C1" s="1" t="s">
        <v>2</v>
      </c>
      <c r="D1" s="1" t="s">
        <v>3</v>
      </c>
      <c r="E1" s="1" t="s">
        <v>4</v>
      </c>
      <c r="F1" s="1" t="s">
        <v>5</v>
      </c>
      <c r="G1" s="1" t="s">
        <v>6</v>
      </c>
      <c r="H1" s="1" t="s">
        <v>7</v>
      </c>
      <c r="I1" s="1" t="s">
        <v>8</v>
      </c>
      <c r="J1" s="1" t="s">
        <v>9</v>
      </c>
      <c r="K1" s="1" t="s">
        <v>125</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x14ac:dyDescent="0.25">
      <c r="A2" s="2" t="s">
        <v>97</v>
      </c>
      <c r="B2" s="3"/>
      <c r="C2" s="4">
        <v>46199</v>
      </c>
      <c r="D2" s="5">
        <v>555109108</v>
      </c>
      <c r="E2" s="6" t="s">
        <v>259</v>
      </c>
      <c r="F2" s="7">
        <v>46030</v>
      </c>
      <c r="G2" s="6" t="s">
        <v>202</v>
      </c>
      <c r="H2" s="6" t="s">
        <v>202</v>
      </c>
      <c r="I2" s="6" t="s">
        <v>76</v>
      </c>
      <c r="J2" s="8" t="s">
        <v>260</v>
      </c>
      <c r="K2" s="4"/>
      <c r="L2" s="5">
        <f ca="1">IF($O2="","",$O2-TODAY())</f>
        <v>-184</v>
      </c>
      <c r="M2" s="5">
        <f ca="1">IF($F2="","",$F2+90-TODAY())</f>
        <v>-184</v>
      </c>
      <c r="N2" s="5">
        <f ca="1">IF($C2="","",$C2+540-TODAY())</f>
        <v>435</v>
      </c>
      <c r="O2" s="7">
        <v>46120</v>
      </c>
      <c r="P2" s="6" t="s">
        <v>78</v>
      </c>
      <c r="Q2" s="6" t="s">
        <v>204</v>
      </c>
      <c r="R2" s="6" t="s">
        <v>78</v>
      </c>
      <c r="S2" s="6" t="s">
        <v>124</v>
      </c>
      <c r="T2" s="6" t="s">
        <v>303</v>
      </c>
      <c r="U2" s="6" t="s">
        <v>48</v>
      </c>
      <c r="V2" s="6"/>
      <c r="W2" s="6"/>
      <c r="X2" s="6"/>
      <c r="Y2" s="6" t="s">
        <v>59</v>
      </c>
      <c r="Z2" s="9">
        <v>1649.2</v>
      </c>
      <c r="AA2" s="9">
        <v>1468.48</v>
      </c>
      <c r="AB2" s="9">
        <v>291.98</v>
      </c>
      <c r="AC2" s="7">
        <v>46199</v>
      </c>
      <c r="AD2" s="9">
        <v>-111.26</v>
      </c>
      <c r="AE2" s="5">
        <v>212</v>
      </c>
      <c r="AF2" s="6" t="s">
        <v>261</v>
      </c>
      <c r="AG2" s="6"/>
      <c r="AH2" s="6"/>
      <c r="AI2" s="6"/>
      <c r="AJ2" s="5"/>
      <c r="AK2" s="6" t="s">
        <v>61</v>
      </c>
      <c r="AL2" s="6" t="s">
        <v>62</v>
      </c>
      <c r="AM2" s="7">
        <v>46048</v>
      </c>
      <c r="AN2" s="6" t="s">
        <v>262</v>
      </c>
    </row>
    <row r="3" spans="1:40" x14ac:dyDescent="0.25">
      <c r="A3" s="2"/>
      <c r="B3" s="3"/>
      <c r="C3" s="4"/>
      <c r="D3" s="5">
        <v>557356991</v>
      </c>
      <c r="E3" s="6" t="s">
        <v>263</v>
      </c>
      <c r="F3" s="7">
        <v>46030</v>
      </c>
      <c r="G3" s="6" t="s">
        <v>87</v>
      </c>
      <c r="H3" s="6" t="s">
        <v>87</v>
      </c>
      <c r="I3" s="6" t="s">
        <v>76</v>
      </c>
      <c r="J3" s="8" t="s">
        <v>264</v>
      </c>
      <c r="K3" s="4"/>
      <c r="L3" s="5">
        <f ca="1">IF($O3="","",$O3-TODAY())</f>
        <v>-184</v>
      </c>
      <c r="M3" s="5" t="str">
        <f ca="1">IF($C3="","",$C3+365-TODAY())</f>
        <v/>
      </c>
      <c r="N3" s="5" t="str">
        <f ca="1">IF($C3="","",$C3+365-TODAY())</f>
        <v/>
      </c>
      <c r="O3" s="7">
        <v>46120</v>
      </c>
      <c r="P3" s="6" t="s">
        <v>78</v>
      </c>
      <c r="Q3" s="6" t="s">
        <v>88</v>
      </c>
      <c r="R3" s="6" t="s">
        <v>46</v>
      </c>
      <c r="S3" s="6" t="s">
        <v>48</v>
      </c>
      <c r="T3" s="6" t="s">
        <v>46</v>
      </c>
      <c r="U3" s="6" t="s">
        <v>48</v>
      </c>
      <c r="V3" s="6"/>
      <c r="W3" s="6"/>
      <c r="X3" s="6"/>
      <c r="Y3" s="6" t="s">
        <v>59</v>
      </c>
      <c r="Z3" s="9">
        <v>1294.23</v>
      </c>
      <c r="AA3" s="9">
        <v>0</v>
      </c>
      <c r="AB3" s="9">
        <v>0</v>
      </c>
      <c r="AC3" s="7"/>
      <c r="AD3" s="9">
        <v>1294.23</v>
      </c>
      <c r="AE3" s="5">
        <v>212</v>
      </c>
      <c r="AF3" s="6" t="s">
        <v>265</v>
      </c>
      <c r="AG3" s="6" t="s">
        <v>266</v>
      </c>
      <c r="AH3" s="6" t="s">
        <v>267</v>
      </c>
      <c r="AI3" s="6"/>
      <c r="AJ3" s="5"/>
      <c r="AK3" s="6" t="s">
        <v>61</v>
      </c>
      <c r="AL3" s="6" t="s">
        <v>62</v>
      </c>
      <c r="AM3" s="7">
        <v>46048</v>
      </c>
      <c r="AN3" s="6" t="s">
        <v>262</v>
      </c>
    </row>
    <row r="4" spans="1:40" x14ac:dyDescent="0.25">
      <c r="A4" s="2" t="s">
        <v>97</v>
      </c>
      <c r="B4" s="3"/>
      <c r="C4" s="4">
        <v>46069</v>
      </c>
      <c r="D4" s="5">
        <v>548717876</v>
      </c>
      <c r="E4" s="6" t="s">
        <v>268</v>
      </c>
      <c r="F4" s="7">
        <v>46035</v>
      </c>
      <c r="G4" s="6" t="s">
        <v>269</v>
      </c>
      <c r="H4" s="6" t="s">
        <v>269</v>
      </c>
      <c r="I4" s="6" t="s">
        <v>76</v>
      </c>
      <c r="J4" s="8" t="s">
        <v>260</v>
      </c>
      <c r="K4" s="4"/>
      <c r="L4" s="5">
        <f ca="1">IF($O4="","",$O4-TODAY())</f>
        <v>-179</v>
      </c>
      <c r="M4" s="5">
        <f ca="1">IF($F4="","",$F4+90-TODAY())</f>
        <v>-179</v>
      </c>
      <c r="N4" s="5">
        <f ca="1">IF($C4="","",$C4+180-TODAY())</f>
        <v>-55</v>
      </c>
      <c r="O4" s="7">
        <v>46125</v>
      </c>
      <c r="P4" s="6" t="s">
        <v>78</v>
      </c>
      <c r="Q4" s="6" t="s">
        <v>230</v>
      </c>
      <c r="R4" s="6" t="s">
        <v>78</v>
      </c>
      <c r="S4" s="6" t="s">
        <v>124</v>
      </c>
      <c r="T4" s="6" t="s">
        <v>80</v>
      </c>
      <c r="U4" s="6" t="s">
        <v>48</v>
      </c>
      <c r="V4" s="6"/>
      <c r="W4" s="6"/>
      <c r="X4" s="6"/>
      <c r="Y4" s="6" t="s">
        <v>59</v>
      </c>
      <c r="Z4" s="9">
        <v>1649.2</v>
      </c>
      <c r="AA4" s="9">
        <v>1478.03</v>
      </c>
      <c r="AB4" s="9">
        <v>390.24</v>
      </c>
      <c r="AC4" s="7">
        <v>46069</v>
      </c>
      <c r="AD4" s="9">
        <v>-219.07</v>
      </c>
      <c r="AE4" s="5">
        <v>207</v>
      </c>
      <c r="AF4" s="6" t="s">
        <v>261</v>
      </c>
      <c r="AG4" s="6"/>
      <c r="AH4" s="6"/>
      <c r="AI4" s="6"/>
      <c r="AJ4" s="5"/>
      <c r="AK4" s="6" t="s">
        <v>52</v>
      </c>
      <c r="AL4" s="6" t="s">
        <v>90</v>
      </c>
      <c r="AM4" s="7">
        <v>46051</v>
      </c>
      <c r="AN4" s="6" t="s">
        <v>262</v>
      </c>
    </row>
    <row r="5" spans="1:40" x14ac:dyDescent="0.25">
      <c r="A5" s="2" t="s">
        <v>97</v>
      </c>
      <c r="B5" s="3"/>
      <c r="C5" s="4">
        <v>46160</v>
      </c>
      <c r="D5" s="5">
        <v>547451314</v>
      </c>
      <c r="E5" s="6" t="s">
        <v>270</v>
      </c>
      <c r="F5" s="7">
        <v>46036</v>
      </c>
      <c r="G5" s="6" t="s">
        <v>269</v>
      </c>
      <c r="H5" s="6" t="s">
        <v>269</v>
      </c>
      <c r="I5" s="6" t="s">
        <v>76</v>
      </c>
      <c r="J5" s="8" t="s">
        <v>260</v>
      </c>
      <c r="K5" s="4"/>
      <c r="L5" s="5">
        <f ca="1">IF($O5="","",$O5-TODAY())</f>
        <v>-178</v>
      </c>
      <c r="M5" s="5">
        <f ca="1">IF($F5="","",$F5+90-TODAY())</f>
        <v>-178</v>
      </c>
      <c r="N5" s="5">
        <f ca="1">IF($C5="","",$C5+180-TODAY())</f>
        <v>36</v>
      </c>
      <c r="O5" s="7">
        <v>46126</v>
      </c>
      <c r="P5" s="6" t="s">
        <v>78</v>
      </c>
      <c r="Q5" s="6" t="s">
        <v>230</v>
      </c>
      <c r="R5" s="6" t="s">
        <v>78</v>
      </c>
      <c r="S5" s="6" t="s">
        <v>124</v>
      </c>
      <c r="T5" s="6" t="s">
        <v>80</v>
      </c>
      <c r="U5" s="6" t="s">
        <v>48</v>
      </c>
      <c r="V5" s="6"/>
      <c r="W5" s="6"/>
      <c r="X5" s="6"/>
      <c r="Y5" s="6" t="s">
        <v>59</v>
      </c>
      <c r="Z5" s="9">
        <v>1649.2</v>
      </c>
      <c r="AA5" s="9">
        <v>-227.03</v>
      </c>
      <c r="AB5" s="9">
        <v>227.03</v>
      </c>
      <c r="AC5" s="7">
        <v>46160</v>
      </c>
      <c r="AD5" s="9">
        <v>1649.2</v>
      </c>
      <c r="AE5" s="5">
        <v>206</v>
      </c>
      <c r="AF5" s="6" t="s">
        <v>267</v>
      </c>
      <c r="AG5" s="6" t="s">
        <v>266</v>
      </c>
      <c r="AH5" s="6" t="s">
        <v>271</v>
      </c>
      <c r="AI5" s="6" t="s">
        <v>272</v>
      </c>
      <c r="AJ5" s="5"/>
      <c r="AK5" s="6" t="s">
        <v>72</v>
      </c>
      <c r="AL5" s="6" t="s">
        <v>162</v>
      </c>
      <c r="AM5" s="7">
        <v>46048</v>
      </c>
      <c r="AN5" s="6" t="s">
        <v>262</v>
      </c>
    </row>
    <row r="6" spans="1:40" x14ac:dyDescent="0.25">
      <c r="A6" s="2"/>
      <c r="B6" s="3"/>
      <c r="C6" s="4">
        <v>46163</v>
      </c>
      <c r="D6" s="5">
        <v>547465291</v>
      </c>
      <c r="E6" s="6" t="s">
        <v>273</v>
      </c>
      <c r="F6" s="7">
        <v>46037</v>
      </c>
      <c r="G6" s="6" t="s">
        <v>75</v>
      </c>
      <c r="H6" s="6" t="s">
        <v>75</v>
      </c>
      <c r="I6" s="6" t="s">
        <v>76</v>
      </c>
      <c r="J6" s="8" t="s">
        <v>264</v>
      </c>
      <c r="K6" s="4"/>
      <c r="L6" s="5">
        <f ca="1">IF($O6="","",$O6-TODAY())</f>
        <v>-177</v>
      </c>
      <c r="M6" s="5">
        <f ca="1">IF($C6="","",$C6+180-TODAY())</f>
        <v>39</v>
      </c>
      <c r="N6" s="5">
        <f ca="1">IF($C6="","",$C6+365-TODAY())</f>
        <v>224</v>
      </c>
      <c r="O6" s="7">
        <v>46127</v>
      </c>
      <c r="P6" s="6" t="s">
        <v>78</v>
      </c>
      <c r="Q6" s="6" t="s">
        <v>79</v>
      </c>
      <c r="R6" s="6" t="s">
        <v>80</v>
      </c>
      <c r="S6" s="6" t="s">
        <v>48</v>
      </c>
      <c r="T6" s="6" t="s">
        <v>46</v>
      </c>
      <c r="U6" s="6" t="s">
        <v>48</v>
      </c>
      <c r="V6" s="6"/>
      <c r="W6" s="6"/>
      <c r="X6" s="6"/>
      <c r="Y6" s="6" t="s">
        <v>59</v>
      </c>
      <c r="Z6" s="9">
        <v>1294.23</v>
      </c>
      <c r="AA6" s="9">
        <v>0</v>
      </c>
      <c r="AB6" s="9">
        <v>0</v>
      </c>
      <c r="AC6" s="7">
        <v>46163</v>
      </c>
      <c r="AD6" s="9">
        <v>1294.23</v>
      </c>
      <c r="AE6" s="5">
        <v>205</v>
      </c>
      <c r="AF6" s="6" t="s">
        <v>265</v>
      </c>
      <c r="AG6" s="6" t="s">
        <v>133</v>
      </c>
      <c r="AH6" s="6"/>
      <c r="AI6" s="6"/>
      <c r="AJ6" s="5"/>
      <c r="AK6" s="6" t="s">
        <v>61</v>
      </c>
      <c r="AL6" s="6" t="s">
        <v>62</v>
      </c>
      <c r="AM6" s="7">
        <v>46048</v>
      </c>
      <c r="AN6" s="6" t="s">
        <v>262</v>
      </c>
    </row>
    <row r="7" spans="1:40" x14ac:dyDescent="0.25">
      <c r="A7" s="2" t="s">
        <v>97</v>
      </c>
      <c r="B7" s="3"/>
      <c r="C7" s="4">
        <v>46160</v>
      </c>
      <c r="D7" s="5">
        <v>547481511</v>
      </c>
      <c r="E7" s="6" t="s">
        <v>274</v>
      </c>
      <c r="F7" s="7">
        <v>46043</v>
      </c>
      <c r="G7" s="6" t="s">
        <v>275</v>
      </c>
      <c r="H7" s="6" t="s">
        <v>275</v>
      </c>
      <c r="I7" s="6" t="s">
        <v>76</v>
      </c>
      <c r="J7" s="8" t="s">
        <v>264</v>
      </c>
      <c r="K7" s="4"/>
      <c r="L7" s="5">
        <f ca="1">IF($O7="","",$O7-TODAY())</f>
        <v>-171</v>
      </c>
      <c r="M7" s="5">
        <f ca="1">IF($F7="","",$F7+90-TODAY())</f>
        <v>-171</v>
      </c>
      <c r="N7" s="5">
        <f ca="1">IF($C7="","",$C7+180-TODAY())</f>
        <v>36</v>
      </c>
      <c r="O7" s="7">
        <v>46133</v>
      </c>
      <c r="P7" s="6" t="s">
        <v>78</v>
      </c>
      <c r="Q7" s="6" t="s">
        <v>230</v>
      </c>
      <c r="R7" s="6" t="s">
        <v>78</v>
      </c>
      <c r="S7" s="6" t="s">
        <v>124</v>
      </c>
      <c r="T7" s="6" t="s">
        <v>80</v>
      </c>
      <c r="U7" s="6" t="s">
        <v>48</v>
      </c>
      <c r="V7" s="6"/>
      <c r="W7" s="6"/>
      <c r="X7" s="6"/>
      <c r="Y7" s="6" t="s">
        <v>59</v>
      </c>
      <c r="Z7" s="9">
        <v>1294.23</v>
      </c>
      <c r="AA7" s="9">
        <v>-176</v>
      </c>
      <c r="AB7" s="9">
        <v>176</v>
      </c>
      <c r="AC7" s="7">
        <v>46160</v>
      </c>
      <c r="AD7" s="9">
        <v>1294.23</v>
      </c>
      <c r="AE7" s="5">
        <v>199</v>
      </c>
      <c r="AF7" s="6" t="s">
        <v>276</v>
      </c>
      <c r="AG7" s="6" t="s">
        <v>277</v>
      </c>
      <c r="AH7" s="6"/>
      <c r="AI7" s="6"/>
      <c r="AJ7" s="5"/>
      <c r="AK7" s="6" t="s">
        <v>72</v>
      </c>
      <c r="AL7" s="6" t="s">
        <v>162</v>
      </c>
      <c r="AM7" s="7">
        <v>46048</v>
      </c>
      <c r="AN7" s="6" t="s">
        <v>262</v>
      </c>
    </row>
    <row r="8" spans="1:40" x14ac:dyDescent="0.25">
      <c r="A8" s="2"/>
      <c r="B8" s="3"/>
      <c r="C8" s="4">
        <v>46156</v>
      </c>
      <c r="D8" s="5">
        <v>548573158</v>
      </c>
      <c r="E8" s="6" t="s">
        <v>84</v>
      </c>
      <c r="F8" s="7">
        <v>46051</v>
      </c>
      <c r="G8" s="6" t="s">
        <v>75</v>
      </c>
      <c r="H8" s="6" t="s">
        <v>75</v>
      </c>
      <c r="I8" s="6" t="s">
        <v>76</v>
      </c>
      <c r="J8" s="8" t="s">
        <v>264</v>
      </c>
      <c r="K8" s="4"/>
      <c r="L8" s="5">
        <f ca="1">IF($O8="","",$O8-TODAY())</f>
        <v>-163</v>
      </c>
      <c r="M8" s="5">
        <f ca="1">IF($C8="","",$C8+180-TODAY())</f>
        <v>32</v>
      </c>
      <c r="N8" s="5">
        <f ca="1">IF($C8="","",$C8+365-TODAY())</f>
        <v>217</v>
      </c>
      <c r="O8" s="7">
        <v>46141</v>
      </c>
      <c r="P8" s="6" t="s">
        <v>78</v>
      </c>
      <c r="Q8" s="6" t="s">
        <v>79</v>
      </c>
      <c r="R8" s="6" t="s">
        <v>80</v>
      </c>
      <c r="S8" s="6" t="s">
        <v>48</v>
      </c>
      <c r="T8" s="6" t="s">
        <v>46</v>
      </c>
      <c r="U8" s="6" t="s">
        <v>48</v>
      </c>
      <c r="V8" s="6"/>
      <c r="W8" s="6"/>
      <c r="X8" s="6"/>
      <c r="Y8" s="6" t="s">
        <v>59</v>
      </c>
      <c r="Z8" s="9">
        <v>1294.23</v>
      </c>
      <c r="AA8" s="9">
        <v>0</v>
      </c>
      <c r="AB8" s="9">
        <v>0</v>
      </c>
      <c r="AC8" s="7">
        <v>46156</v>
      </c>
      <c r="AD8" s="9">
        <v>1294.23</v>
      </c>
      <c r="AE8" s="5">
        <v>191</v>
      </c>
      <c r="AF8" s="6" t="s">
        <v>265</v>
      </c>
      <c r="AG8" s="6" t="s">
        <v>267</v>
      </c>
      <c r="AH8" s="6" t="s">
        <v>266</v>
      </c>
      <c r="AI8" s="6"/>
      <c r="AJ8" s="5"/>
      <c r="AK8" s="6" t="s">
        <v>61</v>
      </c>
      <c r="AL8" s="6" t="s">
        <v>62</v>
      </c>
      <c r="AM8" s="7">
        <v>46058</v>
      </c>
      <c r="AN8" s="6" t="s">
        <v>262</v>
      </c>
    </row>
  </sheetData>
  <autoFilter ref="A1:AN8" xr:uid="{00000000-0009-0000-0000-000004000000}"/>
  <conditionalFormatting sqref="L2:L8">
    <cfRule type="expression" dxfId="19" priority="1">
      <formula>AND($L2&lt;&gt;"", $L2&gt;=0, $L2&lt;=5)</formula>
    </cfRule>
    <cfRule type="expression" dxfId="18" priority="2">
      <formula>AND($L2&lt;&gt;"", $L2&gt;5, $L2&lt;=30)</formula>
    </cfRule>
    <cfRule type="expression" dxfId="17" priority="3">
      <formula>AND($L2&lt;&gt;"", $L2&gt;30)</formula>
    </cfRule>
    <cfRule type="expression" dxfId="16" priority="4">
      <formula>AND($L2&lt;&gt;"", $L2&lt;0)</formula>
    </cfRule>
    <cfRule type="expression" dxfId="15" priority="5">
      <formula>$L2=""</formula>
    </cfRule>
  </conditionalFormatting>
  <conditionalFormatting sqref="M2:M8">
    <cfRule type="expression" dxfId="14" priority="6">
      <formula>AND($M2&lt;&gt;"", $M2&gt;=0, $M2&lt;=5)</formula>
    </cfRule>
    <cfRule type="expression" dxfId="13" priority="7">
      <formula>AND($M2&lt;&gt;"", $M2&gt;5, $M2&lt;=30)</formula>
    </cfRule>
    <cfRule type="expression" dxfId="12" priority="8">
      <formula>AND($M2&lt;&gt;"", $M2&gt;30)</formula>
    </cfRule>
    <cfRule type="expression" dxfId="11" priority="9">
      <formula>AND($M2&lt;&gt;"", $M2&lt;0)</formula>
    </cfRule>
    <cfRule type="expression" dxfId="10" priority="10">
      <formula>$M2=""</formula>
    </cfRule>
  </conditionalFormatting>
  <conditionalFormatting sqref="N2:N8">
    <cfRule type="expression" dxfId="9" priority="11">
      <formula>AND($N2&lt;&gt;"", $N2&gt;=0, $N2&lt;=5)</formula>
    </cfRule>
    <cfRule type="expression" dxfId="8" priority="12">
      <formula>AND($N2&lt;&gt;"", $N2&gt;5, $N2&lt;=30)</formula>
    </cfRule>
    <cfRule type="expression" dxfId="7" priority="13">
      <formula>AND($N2&lt;&gt;"", $N2&gt;30)</formula>
    </cfRule>
    <cfRule type="expression" dxfId="6" priority="14">
      <formula>AND($N2&lt;&gt;"", $N2&lt;0)</formula>
    </cfRule>
    <cfRule type="expression" dxfId="5" priority="15">
      <formula>$N2=""</formula>
    </cfRule>
  </conditionalFormatting>
  <conditionalFormatting sqref="O2:U8">
    <cfRule type="expression" dxfId="4" priority="16">
      <formula>AND($L2&lt;&gt;"", $L2&gt;=0, $L2&lt;=5)</formula>
    </cfRule>
    <cfRule type="expression" dxfId="3" priority="17">
      <formula>AND($L2&lt;&gt;"", $L2&gt;5, $L2&lt;=30)</formula>
    </cfRule>
    <cfRule type="expression" dxfId="2" priority="18">
      <formula>AND($L2&lt;&gt;"", $L2&gt;30)</formula>
    </cfRule>
    <cfRule type="expression" dxfId="1" priority="19">
      <formula>AND($L2&lt;&gt;"", $L2&lt;0)</formula>
    </cfRule>
    <cfRule type="expression" dxfId="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TRIM($A2)="Denied"</formula>
    </cfRule>
    <cfRule type="expression" dxfId="106" priority="27">
      <formula>TRIM($A2)="Rejected"</formula>
    </cfRule>
    <cfRule type="expression" dxfId="107" priority="28">
      <formula>TRIM($A2)="Not found"</formula>
    </cfRule>
  </conditionalFormatting>
  <dataValidations count="1">
    <dataValidation type="list" allowBlank="1" showInputMessage="1" promptTitle="Claim Status" prompt="Pick a status, or type a new one." sqref="A2:A8" xr:uid="{00000000-0002-0000-0400-000000000000}">
      <formula1>"Denied,Finalized,PAID,Pending,Received,Rejected,Under Review"</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A49"/>
  <sheetViews>
    <sheetView showGridLines="0" workbookViewId="0"/>
  </sheetViews>
  <sheetFormatPr defaultRowHeight="15" x14ac:dyDescent="0.25"/>
  <cols>
    <col min="1" max="1" width="118" customWidth="1"/>
  </cols>
  <sheetData>
    <row r="1" spans="1:1" ht="18.75" x14ac:dyDescent="0.25">
      <c r="A1" s="10" t="s">
        <v>278</v>
      </c>
    </row>
    <row r="2" spans="1:1" x14ac:dyDescent="0.25">
      <c r="A2" s="11"/>
    </row>
    <row r="3" spans="1:1" x14ac:dyDescent="0.25">
      <c r="A3" s="11" t="s">
        <v>304</v>
      </c>
    </row>
    <row r="4" spans="1:1" x14ac:dyDescent="0.25">
      <c r="A4" s="11"/>
    </row>
    <row r="5" spans="1:1" x14ac:dyDescent="0.25">
      <c r="A5" s="12" t="s">
        <v>279</v>
      </c>
    </row>
    <row r="6" spans="1:1" ht="90" x14ac:dyDescent="0.25">
      <c r="A6" s="11" t="s">
        <v>305</v>
      </c>
    </row>
    <row r="7" spans="1:1" x14ac:dyDescent="0.25">
      <c r="A7" s="11" t="s">
        <v>306</v>
      </c>
    </row>
    <row r="8" spans="1:1" x14ac:dyDescent="0.25">
      <c r="A8" s="11" t="s">
        <v>280</v>
      </c>
    </row>
    <row r="9" spans="1:1" x14ac:dyDescent="0.25">
      <c r="A9" s="11" t="s">
        <v>281</v>
      </c>
    </row>
    <row r="10" spans="1:1" x14ac:dyDescent="0.25">
      <c r="A10" s="11" t="s">
        <v>282</v>
      </c>
    </row>
    <row r="11" spans="1:1" x14ac:dyDescent="0.25">
      <c r="A11" s="11" t="s">
        <v>283</v>
      </c>
    </row>
    <row r="12" spans="1:1" x14ac:dyDescent="0.25">
      <c r="A12" s="11" t="s">
        <v>284</v>
      </c>
    </row>
    <row r="13" spans="1:1" x14ac:dyDescent="0.25">
      <c r="A13" s="11"/>
    </row>
    <row r="14" spans="1:1" ht="30" x14ac:dyDescent="0.25">
      <c r="A14" s="11" t="s">
        <v>285</v>
      </c>
    </row>
    <row r="15" spans="1:1" ht="60" x14ac:dyDescent="0.25">
      <c r="A15" s="11" t="s">
        <v>286</v>
      </c>
    </row>
    <row r="16" spans="1:1" ht="30" x14ac:dyDescent="0.25">
      <c r="A16" s="11" t="s">
        <v>287</v>
      </c>
    </row>
    <row r="17" spans="1:1" ht="30" x14ac:dyDescent="0.25">
      <c r="A17" s="11" t="s">
        <v>288</v>
      </c>
    </row>
    <row r="18" spans="1:1" x14ac:dyDescent="0.25">
      <c r="A18" s="11"/>
    </row>
    <row r="19" spans="1:1" x14ac:dyDescent="0.25">
      <c r="A19" s="12" t="s">
        <v>289</v>
      </c>
    </row>
    <row r="20" spans="1:1" ht="45" x14ac:dyDescent="0.25">
      <c r="A20" s="11" t="s">
        <v>290</v>
      </c>
    </row>
    <row r="21" spans="1:1" x14ac:dyDescent="0.25">
      <c r="A21" s="11" t="s">
        <v>291</v>
      </c>
    </row>
    <row r="22" spans="1:1" ht="30" x14ac:dyDescent="0.25">
      <c r="A22" s="11" t="s">
        <v>292</v>
      </c>
    </row>
    <row r="23" spans="1:1" x14ac:dyDescent="0.25">
      <c r="A23" s="11"/>
    </row>
    <row r="24" spans="1:1" x14ac:dyDescent="0.25">
      <c r="A24" s="12" t="s">
        <v>293</v>
      </c>
    </row>
    <row r="25" spans="1:1" ht="30" x14ac:dyDescent="0.25">
      <c r="A25" s="11" t="s">
        <v>294</v>
      </c>
    </row>
    <row r="26" spans="1:1" ht="45" x14ac:dyDescent="0.25">
      <c r="A26" s="11" t="s">
        <v>295</v>
      </c>
    </row>
    <row r="27" spans="1:1" x14ac:dyDescent="0.25">
      <c r="A27" s="11"/>
    </row>
    <row r="28" spans="1:1" x14ac:dyDescent="0.25">
      <c r="A28" s="12" t="s">
        <v>296</v>
      </c>
    </row>
    <row r="29" spans="1:1" ht="45" x14ac:dyDescent="0.25">
      <c r="A29" s="11" t="s">
        <v>297</v>
      </c>
    </row>
    <row r="30" spans="1:1" ht="45" x14ac:dyDescent="0.25">
      <c r="A30" s="11" t="s">
        <v>298</v>
      </c>
    </row>
    <row r="31" spans="1:1" ht="30" x14ac:dyDescent="0.25">
      <c r="A31" s="11" t="s">
        <v>299</v>
      </c>
    </row>
    <row r="32" spans="1:1" x14ac:dyDescent="0.25">
      <c r="A32" s="11"/>
    </row>
    <row r="33" spans="1:1" x14ac:dyDescent="0.25">
      <c r="A33" s="12" t="s">
        <v>300</v>
      </c>
    </row>
    <row r="34" spans="1:1" ht="45" x14ac:dyDescent="0.25">
      <c r="A34" s="11" t="s">
        <v>307</v>
      </c>
    </row>
    <row r="35" spans="1:1" ht="30" x14ac:dyDescent="0.25">
      <c r="A35" s="11" t="s">
        <v>301</v>
      </c>
    </row>
    <row r="36" spans="1:1" x14ac:dyDescent="0.25">
      <c r="A36" s="11"/>
    </row>
    <row r="37" spans="1:1" x14ac:dyDescent="0.25">
      <c r="A37" s="11" t="s">
        <v>302</v>
      </c>
    </row>
    <row r="38" spans="1:1">
      <c r="A38" s="11"/>
    </row>
    <row r="39" spans="1:1">
      <c r="A39" s="12" t="inlineStr">
        <is>
          <t xml:space="preserve">Row colours by Claim Status</t>
        </is>
      </c>
    </row>
    <row r="40" spans="1:1" ht="45" customHeight="1">
      <c r="A40" s="11" t="inlineStr">
        <is>
          <t xml:space="preserve">Each claim row is shaded by its Claim Status (column A) using conditional formatting, so the colour follows the status automatically when it is changed. Rows with no Claim Status keep their normal formatting. The deadline countdown columns keep their own colour bands.</t>
        </is>
      </c>
    </row>
    <row r="41" spans="1:1">
      <c r="A41" s="11" t="inlineStr">
        <is>
          <t xml:space="preserve">    PAID - green</t>
        </is>
      </c>
    </row>
    <row r="42" spans="1:1">
      <c r="A42" s="11" t="inlineStr">
        <is>
          <t xml:space="preserve">    Finalized - blue</t>
        </is>
      </c>
    </row>
    <row r="43" spans="1:1">
      <c r="A43" s="11" t="inlineStr">
        <is>
          <t xml:space="preserve">    Received - lavender</t>
        </is>
      </c>
    </row>
    <row r="44" spans="1:1">
      <c r="A44" s="11" t="inlineStr">
        <is>
          <t xml:space="preserve">    Pending - yellow</t>
        </is>
      </c>
    </row>
    <row r="45" spans="1:1">
      <c r="A45" s="11" t="inlineStr">
        <is>
          <t xml:space="preserve">    Under Review - orange</t>
        </is>
      </c>
    </row>
    <row r="46" spans="1:1">
      <c r="A46" s="11" t="inlineStr">
        <is>
          <t xml:space="preserve">    Denied - red</t>
        </is>
      </c>
    </row>
    <row r="47" spans="1:1">
      <c r="A47" s="11" t="inlineStr">
        <is>
          <t xml:space="preserve">    Rejected - pink</t>
        </is>
      </c>
    </row>
    <row r="48" spans="1:1">
      <c r="A48" s="11" t="inlineStr">
        <is>
          <t xml:space="preserve">    Not found - grey</t>
        </is>
      </c>
    </row>
    <row r="49" spans="1:1">
      <c r="A49" s="11" t="inlineStr">
        <is>
          <t xml:space="preserve">Any other status is left unshaded.</t>
        </is>
      </c>
    </row>
  </sheetData>
  <conditionalFormatting sqref="A41">
    <cfRule type="expression" dxfId="100" priority="1">
      <formula>TRUE</formula>
    </cfRule>
  </conditionalFormatting>
  <conditionalFormatting sqref="A42">
    <cfRule type="expression" dxfId="101" priority="2">
      <formula>TRUE</formula>
    </cfRule>
  </conditionalFormatting>
  <conditionalFormatting sqref="A43">
    <cfRule type="expression" dxfId="102" priority="3">
      <formula>TRUE</formula>
    </cfRule>
  </conditionalFormatting>
  <conditionalFormatting sqref="A44">
    <cfRule type="expression" dxfId="103" priority="4">
      <formula>TRUE</formula>
    </cfRule>
  </conditionalFormatting>
  <conditionalFormatting sqref="A45">
    <cfRule type="expression" dxfId="104" priority="5">
      <formula>TRUE</formula>
    </cfRule>
  </conditionalFormatting>
  <conditionalFormatting sqref="A46">
    <cfRule type="expression" dxfId="105" priority="6">
      <formula>TRUE</formula>
    </cfRule>
  </conditionalFormatting>
  <conditionalFormatting sqref="A47">
    <cfRule type="expression" dxfId="106" priority="7">
      <formula>TRUE</formula>
    </cfRule>
  </conditionalFormatting>
  <conditionalFormatting sqref="A48">
    <cfRule type="expression" dxfId="107" priority="8">
      <formula>TRUE</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BH</vt:lpstr>
      <vt:lpstr>DME</vt:lpstr>
      <vt:lpstr>GAE</vt:lpstr>
      <vt:lpstr>ORTHO</vt:lpstr>
      <vt:lpstr>US</vt:lpstr>
      <vt:lpstr>Read 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Linda Mora</cp:lastModifiedBy>
  <cp:revision/>
  <dcterms:created xsi:type="dcterms:W3CDTF">2026-08-13T00:38:29Z</dcterms:created>
  <dcterms:modified xsi:type="dcterms:W3CDTF">2026-10-09T15:53:57Z</dcterms:modified>
  <cp:category/>
  <cp:contentStatus/>
</cp:coreProperties>
</file>