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asappaindocs-my.sharepoint.com/personal/lmora_asappaindocs_com/Documents/2026/SPC26S1/"/>
    </mc:Choice>
  </mc:AlternateContent>
  <xr:revisionPtr revIDLastSave="275" documentId="11_03DB6F9BF979F61BFC02BDBDA2AFBCEE1A17DC7F" xr6:coauthVersionLast="47" xr6:coauthVersionMax="47" xr10:uidLastSave="{EADD835E-DBEB-461B-827A-04DF377C6FC4}"/>
  <bookViews>
    <workbookView xWindow="-28920" yWindow="-1875" windowWidth="29040" windowHeight="15720" activeTab="1" xr2:uid="{00000000-000D-0000-FFFF-FFFF00000000}"/>
  </bookViews>
  <sheets>
    <sheet name="BH" sheetId="1" r:id="rId1"/>
    <sheet name="DME" sheetId="2" r:id="rId2"/>
    <sheet name="GAE" sheetId="3" r:id="rId3"/>
    <sheet name="ORTHO" sheetId="4" r:id="rId4"/>
    <sheet name="US" sheetId="5" r:id="rId5"/>
    <sheet name="Read Me" sheetId="6" r:id="rId6"/>
  </sheets>
  <definedNames>
    <definedName name="_xlnm._FilterDatabase" localSheetId="0" hidden="1">BH!$A$1:$AO$9</definedName>
    <definedName name="_xlnm._FilterDatabase" localSheetId="1" hidden="1">DME!$A$1:$AO$11</definedName>
    <definedName name="_xlnm._FilterDatabase" localSheetId="2" hidden="1">GAE!$A$1:$AO$6</definedName>
    <definedName name="_xlnm._FilterDatabase" localSheetId="3" hidden="1">ORTHO!$A$1:$AO$11</definedName>
    <definedName name="_xlnm._FilterDatabase" localSheetId="4" hidden="1">US!$A$1:$AO$6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0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0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00000000-0006-0000-0000-000003000000}">
      <text>
        <r>
          <rPr>
            <sz val="11"/>
            <color theme="1"/>
            <rFont val="Calibri"/>
            <family val="2"/>
            <scheme val="minor"/>
          </rPr>
          <t>Date you worked this claim, shown MM/DD/YYYY. Blank for you to fill in.</t>
        </r>
      </text>
    </comment>
    <comment ref="L1" authorId="0" shapeId="0" xr:uid="{00000000-0006-0000-00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0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0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0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000-000008000000}">
      <text>
        <r>
          <rPr>
            <sz val="11"/>
            <color theme="1"/>
            <rFont val="Calibri"/>
            <family val="2"/>
            <scheme val="minor"/>
          </rPr>
          <t>The limit applied to this row, as days or calendar months.</t>
        </r>
      </text>
    </comment>
    <comment ref="Q1" authorId="0" shapeId="0" xr:uid="{00000000-0006-0000-0000-000009000000}">
      <text>
        <r>
          <rPr>
            <sz val="11"/>
            <color theme="1"/>
            <rFont val="Calibri"/>
            <family val="2"/>
            <scheme val="minor"/>
          </rPr>
          <t>The carrier row in Carrier_Timely_Filing_Reference.xlsx that the primary payer was matched to.</t>
        </r>
      </text>
    </comment>
    <comment ref="R1" authorId="0" shapeId="0" xr:uid="{00000000-0006-0000-0000-00000A000000}">
      <text>
        <r>
          <rPr>
            <sz val="11"/>
            <color theme="1"/>
            <rFont val="Calibri"/>
            <family val="2"/>
            <scheme val="minor"/>
          </rPr>
          <t>Corrected claim window from Carrier_Timely_Filing_Reference.xlsx.</t>
        </r>
      </text>
    </comment>
    <comment ref="S1" authorId="0" shapeId="0" xr:uid="{00000000-0006-0000-0000-00000B000000}">
      <text>
        <r>
          <rPr>
            <sz val="11"/>
            <color theme="1"/>
            <rFont val="Calibri"/>
            <family val="2"/>
            <scheme val="minor"/>
          </rPr>
          <t>Whether the carrier counts the corrected claim window from the date of service or from the processed date.</t>
        </r>
      </text>
    </comment>
    <comment ref="T1" authorId="0" shapeId="0" xr:uid="{00000000-0006-0000-0000-00000C000000}">
      <text>
        <r>
          <rPr>
            <sz val="11"/>
            <color theme="1"/>
            <rFont val="Calibri"/>
            <family val="2"/>
            <scheme val="minor"/>
          </rPr>
          <t>Reconsideration / appeal window from Carrier_Timely_Filing_Reference.xlsx.</t>
        </r>
      </text>
    </comment>
    <comment ref="U1" authorId="0" shapeId="0" xr:uid="{00000000-0006-0000-0000-00000D000000}">
      <text>
        <r>
          <rPr>
            <sz val="11"/>
            <color theme="1"/>
            <rFont val="Calibri"/>
            <family val="2"/>
            <scheme val="minor"/>
          </rPr>
          <t>Whether the carrier counts the appeal window from the date of service or from the processed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1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1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7A04E042-B6CD-44A4-B670-16D33F984B59}">
      <text>
        <r>
          <rPr>
            <sz val="11"/>
            <color theme="1"/>
            <rFont val="Calibri"/>
            <family val="2"/>
            <scheme val="minor"/>
          </rPr>
          <t>Date you worked this claim, shown MM/DD/YYYY. Blank for you to fill in.</t>
        </r>
      </text>
    </comment>
    <comment ref="L1" authorId="0" shapeId="0" xr:uid="{00000000-0006-0000-01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1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1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1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100-000008000000}">
      <text>
        <r>
          <rPr>
            <sz val="11"/>
            <color theme="1"/>
            <rFont val="Calibri"/>
            <family val="2"/>
            <scheme val="minor"/>
          </rPr>
          <t>The limit applied to this row, as days or calendar months.</t>
        </r>
      </text>
    </comment>
    <comment ref="Q1" authorId="0" shapeId="0" xr:uid="{00000000-0006-0000-0100-000009000000}">
      <text>
        <r>
          <rPr>
            <sz val="11"/>
            <color theme="1"/>
            <rFont val="Calibri"/>
            <family val="2"/>
            <scheme val="minor"/>
          </rPr>
          <t>The carrier row in Carrier_Timely_Filing_Reference.xlsx that the primary payer was matched to.</t>
        </r>
      </text>
    </comment>
    <comment ref="R1" authorId="0" shapeId="0" xr:uid="{00000000-0006-0000-0100-00000A000000}">
      <text>
        <r>
          <rPr>
            <sz val="11"/>
            <color theme="1"/>
            <rFont val="Calibri"/>
            <family val="2"/>
            <scheme val="minor"/>
          </rPr>
          <t>Corrected claim window from Carrier_Timely_Filing_Reference.xlsx.</t>
        </r>
      </text>
    </comment>
    <comment ref="S1" authorId="0" shapeId="0" xr:uid="{00000000-0006-0000-0100-00000B000000}">
      <text>
        <r>
          <rPr>
            <sz val="11"/>
            <color theme="1"/>
            <rFont val="Calibri"/>
            <family val="2"/>
            <scheme val="minor"/>
          </rPr>
          <t>Whether the carrier counts the corrected claim window from the date of service or from the processed date.</t>
        </r>
      </text>
    </comment>
    <comment ref="T1" authorId="0" shapeId="0" xr:uid="{00000000-0006-0000-0100-00000C000000}">
      <text>
        <r>
          <rPr>
            <sz val="11"/>
            <color theme="1"/>
            <rFont val="Calibri"/>
            <family val="2"/>
            <scheme val="minor"/>
          </rPr>
          <t>Reconsideration / appeal window from Carrier_Timely_Filing_Reference.xlsx.</t>
        </r>
      </text>
    </comment>
    <comment ref="U1" authorId="0" shapeId="0" xr:uid="{00000000-0006-0000-0100-00000D000000}">
      <text>
        <r>
          <rPr>
            <sz val="11"/>
            <color theme="1"/>
            <rFont val="Calibri"/>
            <family val="2"/>
            <scheme val="minor"/>
          </rPr>
          <t>Whether the carrier counts the appeal window from the date of service or from the processed date.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2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2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FB8DC1F8-ECF0-4851-B313-1669057B6BD0}">
      <text>
        <r>
          <rPr>
            <sz val="11"/>
            <color theme="1"/>
            <rFont val="Calibri"/>
            <family val="2"/>
            <scheme val="minor"/>
          </rPr>
          <t>Date you worked this claim, shown MM/DD/YYYY. Blank for you to fill in.</t>
        </r>
      </text>
    </comment>
    <comment ref="L1" authorId="0" shapeId="0" xr:uid="{00000000-0006-0000-02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2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2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2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200-000008000000}">
      <text>
        <r>
          <rPr>
            <sz val="11"/>
            <color theme="1"/>
            <rFont val="Calibri"/>
            <family val="2"/>
            <scheme val="minor"/>
          </rPr>
          <t>The limit applied to this row, as days or calendar months.</t>
        </r>
      </text>
    </comment>
    <comment ref="Q1" authorId="0" shapeId="0" xr:uid="{00000000-0006-0000-0200-000009000000}">
      <text>
        <r>
          <rPr>
            <sz val="11"/>
            <color theme="1"/>
            <rFont val="Calibri"/>
            <family val="2"/>
            <scheme val="minor"/>
          </rPr>
          <t>The carrier row in Carrier_Timely_Filing_Reference.xlsx that the primary payer was matched to.</t>
        </r>
      </text>
    </comment>
    <comment ref="R1" authorId="0" shapeId="0" xr:uid="{00000000-0006-0000-0200-00000A000000}">
      <text>
        <r>
          <rPr>
            <sz val="11"/>
            <color theme="1"/>
            <rFont val="Calibri"/>
            <family val="2"/>
            <scheme val="minor"/>
          </rPr>
          <t>Corrected claim window from Carrier_Timely_Filing_Reference.xlsx.</t>
        </r>
      </text>
    </comment>
    <comment ref="S1" authorId="0" shapeId="0" xr:uid="{00000000-0006-0000-0200-00000B000000}">
      <text>
        <r>
          <rPr>
            <sz val="11"/>
            <color theme="1"/>
            <rFont val="Calibri"/>
            <family val="2"/>
            <scheme val="minor"/>
          </rPr>
          <t>Whether the carrier counts the corrected claim window from the date of service or from the processed date.</t>
        </r>
      </text>
    </comment>
    <comment ref="T1" authorId="0" shapeId="0" xr:uid="{00000000-0006-0000-0200-00000C000000}">
      <text>
        <r>
          <rPr>
            <sz val="11"/>
            <color theme="1"/>
            <rFont val="Calibri"/>
            <family val="2"/>
            <scheme val="minor"/>
          </rPr>
          <t>Reconsideration / appeal window from Carrier_Timely_Filing_Reference.xlsx.</t>
        </r>
      </text>
    </comment>
    <comment ref="U1" authorId="0" shapeId="0" xr:uid="{00000000-0006-0000-0200-00000D000000}">
      <text>
        <r>
          <rPr>
            <sz val="11"/>
            <color theme="1"/>
            <rFont val="Calibri"/>
            <family val="2"/>
            <scheme val="minor"/>
          </rPr>
          <t>Whether the carrier counts the appeal window from the date of service or from the processed date.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3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3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6413749E-1DC1-4C69-A485-74B035E66748}">
      <text>
        <r>
          <rPr>
            <sz val="11"/>
            <color theme="1"/>
            <rFont val="Calibri"/>
            <family val="2"/>
            <scheme val="minor"/>
          </rPr>
          <t>Date you worked this claim, shown MM/DD/YYYY. Blank for you to fill in.</t>
        </r>
      </text>
    </comment>
    <comment ref="L1" authorId="0" shapeId="0" xr:uid="{00000000-0006-0000-03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3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3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3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300-000008000000}">
      <text>
        <r>
          <rPr>
            <sz val="11"/>
            <color theme="1"/>
            <rFont val="Calibri"/>
            <family val="2"/>
            <scheme val="minor"/>
          </rPr>
          <t>The limit applied to this row, as days or calendar months.</t>
        </r>
      </text>
    </comment>
    <comment ref="Q1" authorId="0" shapeId="0" xr:uid="{00000000-0006-0000-0300-000009000000}">
      <text>
        <r>
          <rPr>
            <sz val="11"/>
            <color theme="1"/>
            <rFont val="Calibri"/>
            <family val="2"/>
            <scheme val="minor"/>
          </rPr>
          <t>The carrier row in Carrier_Timely_Filing_Reference.xlsx that the primary payer was matched to.</t>
        </r>
      </text>
    </comment>
    <comment ref="R1" authorId="0" shapeId="0" xr:uid="{00000000-0006-0000-0300-00000A000000}">
      <text>
        <r>
          <rPr>
            <sz val="11"/>
            <color theme="1"/>
            <rFont val="Calibri"/>
            <family val="2"/>
            <scheme val="minor"/>
          </rPr>
          <t>Corrected claim window from Carrier_Timely_Filing_Reference.xlsx.</t>
        </r>
      </text>
    </comment>
    <comment ref="S1" authorId="0" shapeId="0" xr:uid="{00000000-0006-0000-0300-00000B000000}">
      <text>
        <r>
          <rPr>
            <sz val="11"/>
            <color theme="1"/>
            <rFont val="Calibri"/>
            <family val="2"/>
            <scheme val="minor"/>
          </rPr>
          <t>Whether the carrier counts the corrected claim window from the date of service or from the processed date.</t>
        </r>
      </text>
    </comment>
    <comment ref="T1" authorId="0" shapeId="0" xr:uid="{00000000-0006-0000-0300-00000C000000}">
      <text>
        <r>
          <rPr>
            <sz val="11"/>
            <color theme="1"/>
            <rFont val="Calibri"/>
            <family val="2"/>
            <scheme val="minor"/>
          </rPr>
          <t>Reconsideration / appeal window from Carrier_Timely_Filing_Reference.xlsx.</t>
        </r>
      </text>
    </comment>
    <comment ref="U1" authorId="0" shapeId="0" xr:uid="{00000000-0006-0000-0300-00000D000000}">
      <text>
        <r>
          <rPr>
            <sz val="11"/>
            <color theme="1"/>
            <rFont val="Calibri"/>
            <family val="2"/>
            <scheme val="minor"/>
          </rPr>
          <t>Whether the carrier counts the appeal window from the date of service or from the processed date.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Claims workbook</author>
  </authors>
  <commentList>
    <comment ref="C1" authorId="0" shapeId="0" xr:uid="{00000000-0006-0000-0400-000001000000}">
      <text>
        <r>
          <rPr>
            <sz val="11"/>
            <color theme="1"/>
            <rFont val="Calibri"/>
            <family val="2"/>
            <scheme val="minor"/>
          </rPr>
          <t>Date the claim was processed, shown MM/DD/YYYY. Pre-filled where a Note recorded one; blank otherwise for you to fill in.</t>
        </r>
      </text>
    </comment>
    <comment ref="D1" authorId="0" shapeId="0" xr:uid="{00000000-0006-0000-0400-000002000000}">
      <text>
        <r>
          <rPr>
            <sz val="11"/>
            <color theme="1"/>
            <rFont val="Calibri"/>
            <family val="2"/>
            <scheme val="minor"/>
          </rPr>
          <t>The master workbook matches on this column to pull Claim Status, Notes, Processed Date and Latest Date Worked back from this file with INDEX/MATCH, so you can freely sort or filter these rows without breaking the link. Do not edit it.</t>
        </r>
      </text>
    </comment>
    <comment ref="K1" authorId="0" shapeId="0" xr:uid="{57D2F582-EF28-4314-90C2-673038635B7E}">
      <text>
        <r>
          <rPr>
            <sz val="11"/>
            <color theme="1"/>
            <rFont val="Calibri"/>
            <family val="2"/>
            <scheme val="minor"/>
          </rPr>
          <t>Date you worked this claim, shown MM/DD/YYYY. Blank for you to fill in.</t>
        </r>
      </text>
    </comment>
    <comment ref="L1" authorId="0" shapeId="0" xr:uid="{00000000-0006-0000-0400-000004000000}">
      <text>
        <r>
          <rPr>
            <sz val="11"/>
            <color theme="1"/>
            <rFont val="Calibri"/>
            <family val="2"/>
            <scheme val="minor"/>
          </rPr>
          <t>Live formula: Filing Deadline minus TODAY(). Negative means the filing window has already closed; blank means no limit is on file. Rows were sorted on 12 August 2026 - sort ascending on this column to bring the order back up to date.</t>
        </r>
      </text>
    </comment>
    <comment ref="M1" authorId="0" shapeId="0" xr:uid="{00000000-0006-0000-0400-000005000000}">
      <text>
        <r>
          <rPr>
            <sz val="11"/>
            <color theme="1"/>
            <rFont val="Calibri"/>
            <family val="2"/>
            <scheme val="minor"/>
          </rPr>
          <t>Live formula: days left to resubmit a corrected claim, counted from whichever date the carrier uses - see Corrected Claim From. Blank means either no window is on file for the carrier or, on a processed-date carrier, that Processed Date is still empty; fill that in and this fills itself.</t>
        </r>
      </text>
    </comment>
    <comment ref="N1" authorId="0" shapeId="0" xr:uid="{00000000-0006-0000-0400-000006000000}">
      <text>
        <r>
          <rPr>
            <sz val="11"/>
            <color theme="1"/>
            <rFont val="Calibri"/>
            <family val="2"/>
            <scheme val="minor"/>
          </rPr>
          <t>Live formula: days left to file a reconsideration or appeal, counted from whichever date the carrier uses - see Appeal From. Blank means either no window is on file or, on a processed-date carrier, that Processed Date is still empty.</t>
        </r>
      </text>
    </comment>
    <comment ref="O1" authorId="0" shapeId="0" xr:uid="{00000000-0006-0000-0400-000007000000}">
      <text>
        <r>
          <rPr>
            <sz val="11"/>
            <color theme="1"/>
            <rFont val="Calibri"/>
            <family val="2"/>
            <scheme val="minor"/>
          </rPr>
          <t>Date of Service plus the primary payer's timely filing limit, from Carrier_Timely_Filing_Reference.xlsx. Blank means no limit is on file for that payer.</t>
        </r>
      </text>
    </comment>
    <comment ref="P1" authorId="0" shapeId="0" xr:uid="{00000000-0006-0000-0400-000008000000}">
      <text>
        <r>
          <rPr>
            <sz val="11"/>
            <color theme="1"/>
            <rFont val="Calibri"/>
            <family val="2"/>
            <scheme val="minor"/>
          </rPr>
          <t>The limit applied to this row, as days or calendar months.</t>
        </r>
      </text>
    </comment>
    <comment ref="Q1" authorId="0" shapeId="0" xr:uid="{00000000-0006-0000-0400-000009000000}">
      <text>
        <r>
          <rPr>
            <sz val="11"/>
            <color theme="1"/>
            <rFont val="Calibri"/>
            <family val="2"/>
            <scheme val="minor"/>
          </rPr>
          <t>The carrier row in Carrier_Timely_Filing_Reference.xlsx that the primary payer was matched to.</t>
        </r>
      </text>
    </comment>
    <comment ref="R1" authorId="0" shapeId="0" xr:uid="{00000000-0006-0000-0400-00000A000000}">
      <text>
        <r>
          <rPr>
            <sz val="11"/>
            <color theme="1"/>
            <rFont val="Calibri"/>
            <family val="2"/>
            <scheme val="minor"/>
          </rPr>
          <t>Corrected claim window from Carrier_Timely_Filing_Reference.xlsx.</t>
        </r>
      </text>
    </comment>
    <comment ref="S1" authorId="0" shapeId="0" xr:uid="{00000000-0006-0000-0400-00000B000000}">
      <text>
        <r>
          <rPr>
            <sz val="11"/>
            <color theme="1"/>
            <rFont val="Calibri"/>
            <family val="2"/>
            <scheme val="minor"/>
          </rPr>
          <t>Whether the carrier counts the corrected claim window from the date of service or from the processed date.</t>
        </r>
      </text>
    </comment>
    <comment ref="T1" authorId="0" shapeId="0" xr:uid="{00000000-0006-0000-0400-00000C000000}">
      <text>
        <r>
          <rPr>
            <sz val="11"/>
            <color theme="1"/>
            <rFont val="Calibri"/>
            <family val="2"/>
            <scheme val="minor"/>
          </rPr>
          <t>Reconsideration / appeal window from Carrier_Timely_Filing_Reference.xlsx.</t>
        </r>
      </text>
    </comment>
    <comment ref="U1" authorId="0" shapeId="0" xr:uid="{00000000-0006-0000-0400-00000D000000}">
      <text>
        <r>
          <rPr>
            <sz val="11"/>
            <color theme="1"/>
            <rFont val="Calibri"/>
            <family val="2"/>
            <scheme val="minor"/>
          </rPr>
          <t>Whether the carrier counts the appeal window from the date of service or from the processed date.</t>
        </r>
      </text>
    </comment>
  </commentList>
</comments>
</file>

<file path=xl/sharedStrings.xml><?xml version="1.0" encoding="utf-8"?>
<sst xmlns="http://schemas.openxmlformats.org/spreadsheetml/2006/main" count="981" uniqueCount="313">
  <si>
    <t>Claim Status</t>
  </si>
  <si>
    <t>Notes</t>
  </si>
  <si>
    <t>Processed Date</t>
  </si>
  <si>
    <t>Primary Claim ID</t>
  </si>
  <si>
    <t>Chart Number</t>
  </si>
  <si>
    <t>Date of Service</t>
  </si>
  <si>
    <t>Responsible Payer</t>
  </si>
  <si>
    <t>Primary Payer Name</t>
  </si>
  <si>
    <t>Secondary Payer Name</t>
  </si>
  <si>
    <t>Procedure Code</t>
  </si>
  <si>
    <t>Latest Date Worked</t>
  </si>
  <si>
    <t>Days Until Deadline</t>
  </si>
  <si>
    <t>Days Until Corrected Claim Deadline</t>
  </si>
  <si>
    <t>Days Until Appeal Deadline</t>
  </si>
  <si>
    <t>Filing Deadline</t>
  </si>
  <si>
    <t>Filing Limit</t>
  </si>
  <si>
    <t>Limit Carrier</t>
  </si>
  <si>
    <t>Corrected Claim Limit</t>
  </si>
  <si>
    <t>Corrected Claim From</t>
  </si>
  <si>
    <t>Appeal Limit</t>
  </si>
  <si>
    <t>Appeal From</t>
  </si>
  <si>
    <t>Modifier 1</t>
  </si>
  <si>
    <t>Modifier 2</t>
  </si>
  <si>
    <t>Modifier 3</t>
  </si>
  <si>
    <t>Units</t>
  </si>
  <si>
    <t>Charge Amount</t>
  </si>
  <si>
    <t>Adjustment</t>
  </si>
  <si>
    <t>Insurance Payment</t>
  </si>
  <si>
    <t>Insurance Check Date</t>
  </si>
  <si>
    <t>Insurance Balance</t>
  </si>
  <si>
    <t>AR Age by Service Date</t>
  </si>
  <si>
    <t>Diagnosis Code 1</t>
  </si>
  <si>
    <t>Diagnosis Code 2</t>
  </si>
  <si>
    <t>Diagnosis Code 3</t>
  </si>
  <si>
    <t>Diagnosis Code 4</t>
  </si>
  <si>
    <t>Secondary Claim ID</t>
  </si>
  <si>
    <t>Rendering Provider</t>
  </si>
  <si>
    <t>Location Name</t>
  </si>
  <si>
    <t>Created Date</t>
  </si>
  <si>
    <t>Specialty</t>
  </si>
  <si>
    <t>Denied</t>
  </si>
  <si>
    <t>Rep Briana - Jarrett Leathem is not contracted with member's Focus Network - Reference number 11216220</t>
  </si>
  <si>
    <t>HF499806568</t>
  </si>
  <si>
    <t>Blue Cross Blue Shield of Arizona (BCBS AZ)</t>
  </si>
  <si>
    <t>No Payer</t>
  </si>
  <si>
    <t>99494 x1; 99493 x1</t>
  </si>
  <si>
    <t>90 days</t>
  </si>
  <si>
    <t>BCBS</t>
  </si>
  <si>
    <t>Date of service</t>
  </si>
  <si>
    <t>365 days</t>
  </si>
  <si>
    <t>Processed date</t>
  </si>
  <si>
    <t>1</t>
  </si>
  <si>
    <t>F4320</t>
  </si>
  <si>
    <t>LEATHEM, JARRETT</t>
  </si>
  <si>
    <t>ASAP - Goodyear</t>
  </si>
  <si>
    <t>BH</t>
  </si>
  <si>
    <t>DND - Non contracted provider</t>
  </si>
  <si>
    <t>HF527306886</t>
  </si>
  <si>
    <t>99493 x1; 99494 x1</t>
  </si>
  <si>
    <t>KALLGREN, MARK</t>
  </si>
  <si>
    <t>ASAP Peoria</t>
  </si>
  <si>
    <t>Finalized</t>
  </si>
  <si>
    <t>HF359780591</t>
  </si>
  <si>
    <t>TRIADA GAP BENEFITS</t>
  </si>
  <si>
    <t>F411</t>
  </si>
  <si>
    <t>ASAP - DEER VALLEY</t>
  </si>
  <si>
    <t>Added Date of Current Illness, claim note, and resubmitted</t>
  </si>
  <si>
    <t>HF434792716</t>
  </si>
  <si>
    <t>Optum Care Medical Network of Arizona, Utah, &amp; Washington (LifePrint)</t>
  </si>
  <si>
    <t>99493 x1</t>
  </si>
  <si>
    <t>OPTUM</t>
  </si>
  <si>
    <t>F1190</t>
  </si>
  <si>
    <t>ASAP - Gilbert</t>
  </si>
  <si>
    <t>HF431164004</t>
  </si>
  <si>
    <t>F331</t>
  </si>
  <si>
    <t>O'NEIL, ROY</t>
  </si>
  <si>
    <t>Rep Muthamma - Under review - Ref # 11253575</t>
  </si>
  <si>
    <t>HF331718997</t>
  </si>
  <si>
    <t>99494 x2; 99492 x1</t>
  </si>
  <si>
    <t>2, 1</t>
  </si>
  <si>
    <t>F4323</t>
  </si>
  <si>
    <t>SARKAR, AWNIK</t>
  </si>
  <si>
    <t>Edited service line 1 - Used cpt 99492, and resubmitted - The reconsideration option is unavailable on portal because the claim has already been adjusted - 99493 paid on claim 26A074466600, DOS 12/12/2025, under prior member ID 1718676 - current claim was billed with member ID 906162197 currently active - DND Subsequent psychiatric CoCM code 99493 is reported on 02/20/2026 and there is no line within the previous 6 months history with psychiatric CoCM codes 99492 or 99493 - Added Date of Current Illness, claim note, and resubmitted</t>
  </si>
  <si>
    <t>HF443112560</t>
  </si>
  <si>
    <t>Changed primary code - Used 99492, and resubmitted</t>
  </si>
  <si>
    <t>HF460603685</t>
  </si>
  <si>
    <t>HF540630932</t>
  </si>
  <si>
    <t>Tricare for Life (All Regions)</t>
  </si>
  <si>
    <t>DME Region D</t>
  </si>
  <si>
    <t>A6010+A1 x20</t>
  </si>
  <si>
    <t>MEDICARE</t>
  </si>
  <si>
    <t>120 days</t>
  </si>
  <si>
    <t>A1</t>
  </si>
  <si>
    <t>20</t>
  </si>
  <si>
    <t>G894</t>
  </si>
  <si>
    <t>Advanced Spine and Pain LLC DME PEO</t>
  </si>
  <si>
    <t>Advanced Spine and Pain LLC DME - Peoria</t>
  </si>
  <si>
    <t>DME</t>
  </si>
  <si>
    <t>HF537353546</t>
  </si>
  <si>
    <t>A6010+A2 x20</t>
  </si>
  <si>
    <t>A2</t>
  </si>
  <si>
    <t>HF497918792</t>
  </si>
  <si>
    <t>A6023+A2 x40</t>
  </si>
  <si>
    <t>40</t>
  </si>
  <si>
    <t>M5417</t>
  </si>
  <si>
    <t>M961</t>
  </si>
  <si>
    <t>HF499790971</t>
  </si>
  <si>
    <t>AARP United Healthcare</t>
  </si>
  <si>
    <t>L3916+KX+RT x1; L3916+KX+LT x1</t>
  </si>
  <si>
    <t>KX</t>
  </si>
  <si>
    <t>RT, LT</t>
  </si>
  <si>
    <t>G5601, G5602</t>
  </si>
  <si>
    <t>M25531, G589</t>
  </si>
  <si>
    <t>G589</t>
  </si>
  <si>
    <t>PAID</t>
  </si>
  <si>
    <t>HF435406148</t>
  </si>
  <si>
    <t>SILAC INSURANCE</t>
  </si>
  <si>
    <t>A6023+A2 x10</t>
  </si>
  <si>
    <t>10</t>
  </si>
  <si>
    <t>Advanced Spine and Pain LLC DME SUR</t>
  </si>
  <si>
    <t>Advanced Spine and Pain LLC DME - Surprise Reems</t>
  </si>
  <si>
    <t>HF433355246</t>
  </si>
  <si>
    <t>Mercy Care RBHA</t>
  </si>
  <si>
    <t>L0650+KX x1</t>
  </si>
  <si>
    <t>M4306</t>
  </si>
  <si>
    <t>Advanced Spine and Pain LLC DME GWY</t>
  </si>
  <si>
    <t>Advanced Spine and Pain LLC DME - Greenway</t>
  </si>
  <si>
    <t>HF498304433</t>
  </si>
  <si>
    <t>DME Region C</t>
  </si>
  <si>
    <t>Advanced Spine and Pain LLC DME GIL</t>
  </si>
  <si>
    <t>Advanced Spine and Pain LLC DME - Gilbert</t>
  </si>
  <si>
    <t>Under Review</t>
  </si>
  <si>
    <t xml:space="preserve">Auth issue - Denied payment again - Bri resubmitted - Provider TAX ID/NPI Combination is not on file with BCBS AZ. </t>
  </si>
  <si>
    <t>HF513477727</t>
  </si>
  <si>
    <t>L0648+KX x1</t>
  </si>
  <si>
    <t>M4316</t>
  </si>
  <si>
    <t>M51362</t>
  </si>
  <si>
    <t>MAYURAN, VIKRAM</t>
  </si>
  <si>
    <t>ASAP - Mesa</t>
  </si>
  <si>
    <t>No authorization found or requested - Checking if we need auth on Curo portal # 19801266 - Pending - Review</t>
  </si>
  <si>
    <t>HF544828362</t>
  </si>
  <si>
    <t>UHC Group Medicare Advantage</t>
  </si>
  <si>
    <t>UHC MA</t>
  </si>
  <si>
    <t>180 days</t>
  </si>
  <si>
    <t>L97529</t>
  </si>
  <si>
    <t>MEARS, CHAD</t>
  </si>
  <si>
    <t>Denied again - Edited charges per unit to 271.22 based on cms fee schedule 2026</t>
  </si>
  <si>
    <t>HF539993491</t>
  </si>
  <si>
    <t>Alignment Health Care</t>
  </si>
  <si>
    <t>A6023+A2 x20</t>
  </si>
  <si>
    <t>Not on reference list</t>
  </si>
  <si>
    <t>TONDINI, JENISE</t>
  </si>
  <si>
    <t>Rep Keran - Escalate claim - Call ref # REQ0679770 - TAT 30 days</t>
  </si>
  <si>
    <t>HF548333203</t>
  </si>
  <si>
    <t>A6023+A1 x10</t>
  </si>
  <si>
    <t>M4326</t>
  </si>
  <si>
    <t>MCMURDIE, TODD</t>
  </si>
  <si>
    <t>ASAP - Surprise - Reems</t>
  </si>
  <si>
    <t>Received</t>
  </si>
  <si>
    <t>HF455471322</t>
  </si>
  <si>
    <t>COMBINED INSURANCE CO OF AMERICA</t>
  </si>
  <si>
    <t>Medicare Part B Arizona *</t>
  </si>
  <si>
    <t>75774+26+XU x3; 76937+26 x1; 36248+59 x1; 37242 x1; 36245+59 x1; 36246+59+LT x1; 75710+26+XU+LT x1</t>
  </si>
  <si>
    <t>26, 59</t>
  </si>
  <si>
    <t>XU, LT</t>
  </si>
  <si>
    <t>LT</t>
  </si>
  <si>
    <t>3, 1</t>
  </si>
  <si>
    <t>M1712</t>
  </si>
  <si>
    <t>I798</t>
  </si>
  <si>
    <t>M25562</t>
  </si>
  <si>
    <t>HUNTER, DREW</t>
  </si>
  <si>
    <t>ASAP Surgery Centers North Valley LLC</t>
  </si>
  <si>
    <t>GAE</t>
  </si>
  <si>
    <t>Uploaded MR - PIQ-83274799</t>
  </si>
  <si>
    <t>HF460854286</t>
  </si>
  <si>
    <t>United HealthCare Dual Complete</t>
  </si>
  <si>
    <t>Mercy Care Health Plan Advantage (AHCCCS)</t>
  </si>
  <si>
    <t>75710+26+XU+LT x1; 76937+26 x1; 75774+26+XU x4; 36245+59 x1; 36248+59 x3</t>
  </si>
  <si>
    <t>UHC DUAL COMPLETE</t>
  </si>
  <si>
    <t>XU</t>
  </si>
  <si>
    <t>1, 4, 3</t>
  </si>
  <si>
    <t xml:space="preserve">Corrected units from 3 to 2 on portal - Confirmation Number: 4726236494120 - 76937 Medicare MUE is 2 per DOS - DND 76937 - Payer deems the information submitted does not support this many/frequency of services - Pending secondary claim correction for when medicare pays </t>
  </si>
  <si>
    <t>HF538917701</t>
  </si>
  <si>
    <t>76937+26 x3</t>
  </si>
  <si>
    <t>26</t>
  </si>
  <si>
    <t>3</t>
  </si>
  <si>
    <t>Premier Endoscopy Center, LLC</t>
  </si>
  <si>
    <t>Uploaded MR - PIQ-83275318</t>
  </si>
  <si>
    <t>75774+26+XU x5; 75710+26+XU+RT x1; 36245+59 x1</t>
  </si>
  <si>
    <t>RT</t>
  </si>
  <si>
    <t>5, 1</t>
  </si>
  <si>
    <t>M1711</t>
  </si>
  <si>
    <t>M25561</t>
  </si>
  <si>
    <t>Provider active, resubmitted</t>
  </si>
  <si>
    <t>HF489558936</t>
  </si>
  <si>
    <t>36246+59+RT x1; 75710+XU+RT x1; 76937 x1; 75774+XU x4; 36248+59 x3; 37242 x1</t>
  </si>
  <si>
    <t>59, XU</t>
  </si>
  <si>
    <t>HF546941796</t>
  </si>
  <si>
    <t>Physicians Mutual Insurance Company - ENS</t>
  </si>
  <si>
    <t>63685 x1</t>
  </si>
  <si>
    <t>G90523</t>
  </si>
  <si>
    <t>KRAUSE, JEFFREY</t>
  </si>
  <si>
    <t>ORTHO</t>
  </si>
  <si>
    <t>Pending</t>
  </si>
  <si>
    <t>secondary - Added primary claim ID and submitted electronically</t>
  </si>
  <si>
    <t>HF444976688</t>
  </si>
  <si>
    <t>CURRIE, DAVID</t>
  </si>
  <si>
    <t>Added service line with 63030 - Split bilateral service with mod RT and LT, and resubmitted</t>
  </si>
  <si>
    <t>HF544045379</t>
  </si>
  <si>
    <t>Mutual of Omaha Medicare Advantage OFAP</t>
  </si>
  <si>
    <t>63030+LT x1; 63047 x1; 63030+RT x1</t>
  </si>
  <si>
    <t>LT, RT</t>
  </si>
  <si>
    <t>M48062</t>
  </si>
  <si>
    <t>M5416</t>
  </si>
  <si>
    <t>M5126</t>
  </si>
  <si>
    <t>LUKE, TIMOTHY</t>
  </si>
  <si>
    <t>Deanne is reviewing this one - Rep Jessie - Claim contains a non anesthesia service, and rendering is listed as an anesthesiologist on ins end</t>
  </si>
  <si>
    <t>HF540909294</t>
  </si>
  <si>
    <t>Humana Gold Plus HMO</t>
  </si>
  <si>
    <t>63048 x1; 63047 x1</t>
  </si>
  <si>
    <t>HUMANA MA</t>
  </si>
  <si>
    <t>540 days</t>
  </si>
  <si>
    <t>Uploaded MR - PIQ-86018866</t>
  </si>
  <si>
    <t>HF500464709</t>
  </si>
  <si>
    <t>63030+50 x1</t>
  </si>
  <si>
    <t>50</t>
  </si>
  <si>
    <t>Provider TAX ID/NPI Combination is not on file with BCBS AZ.</t>
  </si>
  <si>
    <t>22845+59 x1; 22853 x1</t>
  </si>
  <si>
    <t>59</t>
  </si>
  <si>
    <t>M4807</t>
  </si>
  <si>
    <t>Banner Desert Medical Center</t>
  </si>
  <si>
    <t>We need to reprocess when claim 568613230 gets adjusted - Added mod 58, and resubmitted</t>
  </si>
  <si>
    <t>HF334213960</t>
  </si>
  <si>
    <t>63047+58 x1</t>
  </si>
  <si>
    <t>58</t>
  </si>
  <si>
    <t>HF496014369</t>
  </si>
  <si>
    <t>Arizona Complete Health (Centene)</t>
  </si>
  <si>
    <t>63048 x1</t>
  </si>
  <si>
    <t>AZ COMPLETE</t>
  </si>
  <si>
    <t>M51370</t>
  </si>
  <si>
    <t>MCCUNNIFF, PETER</t>
  </si>
  <si>
    <t>Uploaded MR - PIQ-86126921</t>
  </si>
  <si>
    <t>HF349133597</t>
  </si>
  <si>
    <t>AARP MedicareComplete (SecureHorizons &amp; Oxford Network)</t>
  </si>
  <si>
    <t>63048 x1; 63047 x1; 64708 x1</t>
  </si>
  <si>
    <t>AARP MA CHOICE / MEDICARE COMPLETE</t>
  </si>
  <si>
    <t>M4696, G59</t>
  </si>
  <si>
    <t>Sent mailed auth appeal request to PO Box 64 Huntingdon Valley, PA 19006 - Auth # 20260114-002504 Denied</t>
  </si>
  <si>
    <t>HF532203609</t>
  </si>
  <si>
    <t>UMR Wausau / UHIS</t>
  </si>
  <si>
    <t>22853 x1</t>
  </si>
  <si>
    <t>UMR / WAUSAU</t>
  </si>
  <si>
    <t>M21371</t>
  </si>
  <si>
    <t>secondary - pending posting - Primary paid - Edited referring provider, and resubmitted</t>
  </si>
  <si>
    <t>HF544172142</t>
  </si>
  <si>
    <t>93970 x1</t>
  </si>
  <si>
    <t>R600</t>
  </si>
  <si>
    <t>M79672</t>
  </si>
  <si>
    <t>Z86718</t>
  </si>
  <si>
    <t>Z8781</t>
  </si>
  <si>
    <t>BURGHER, ABRAM</t>
  </si>
  <si>
    <t>US</t>
  </si>
  <si>
    <t>HF467995431</t>
  </si>
  <si>
    <t>93970 x1; 93925 x1</t>
  </si>
  <si>
    <t>I872, I70213</t>
  </si>
  <si>
    <t>TURLEY, TODD</t>
  </si>
  <si>
    <t>HF497596195</t>
  </si>
  <si>
    <t>I872</t>
  </si>
  <si>
    <t>93923 x1</t>
  </si>
  <si>
    <t>I739</t>
  </si>
  <si>
    <t>secondary - Added primary claim ID and submitted electronically - Medicare paid as primary - Resubmitted to Medicare</t>
  </si>
  <si>
    <t>HF548452117</t>
  </si>
  <si>
    <t>Humana</t>
  </si>
  <si>
    <t>E785</t>
  </si>
  <si>
    <t>G9050</t>
  </si>
  <si>
    <t>I10</t>
  </si>
  <si>
    <t>2026-02 February - Specialty Claims</t>
  </si>
  <si>
    <t>38 claims with a date of service in 2026-02 February, split into one sheet per specialty: BH, DME, GAE, ORTHO, US.</t>
  </si>
  <si>
    <t>Row order - work queue, then timely filing deadline</t>
  </si>
  <si>
    <t>Every specialty sheet is sorted in four groups: Rejected claims at the very top, then claims with an empty Latest Date Worked (column K), then the other open claims, and Finalized and PAID claims at the bottom (a Finalized or PAID claim with an empty Latest Date Worked stays in the empty Latest Date Worked group). Within each group, rows are ordered by how close the claim is to its primary payer's timely filing deadline. Days Until Deadline (column L) carries the count: five days or less left is shaded red, a negative number means the filing window has already closed, and a blank means no limit is on file for that payer.</t>
  </si>
  <si>
    <t>Deadline order within each group, with the colour band each row gets (these counts update automatically; Finalized claims with a Latest Date Worked have their deadline cells left empty and are not counted):</t>
  </si>
  <si>
    <t xml:space="preserve">    1 - Due in 5 days or less: 0</t>
  </si>
  <si>
    <t xml:space="preserve">    2 - Due in 6-30 days: 0</t>
  </si>
  <si>
    <t xml:space="preserve">    3 - Due in 31+ days: 18</t>
  </si>
  <si>
    <t xml:space="preserve">    4 - Past deadline: 17</t>
  </si>
  <si>
    <t xml:space="preserve">    5 - No limit on file: 3</t>
  </si>
  <si>
    <t>Past due rows sit below the claims that can still be filed on time rather than at the very top, so the actionable work stays first. That is why the numbers run up to the longest window and then restart at the negatives.</t>
  </si>
  <si>
    <t>Filing Deadline is the date of service plus the primary payer's limit, taken from 'Carrier_Timely_Filing_Reference.xlsx'. Days Until Deadline is a live formula, so the count stays true as time passes - but the row order is a snapshot taken on 12 August 2026. Sorting on Days Until Deadline alone would mix the four groups above back together, so when you re-sort keep the Rejected rows first, then the empty Latest Date Worked rows, and the Finalized and PAID rows last.</t>
  </si>
  <si>
    <t>Where a payer had two possible limits the shorter one was used, so the real deadline can only be later, never earlier. Filing Limit and Limit Carrier name the figure applied and the carrier row it came from.</t>
  </si>
  <si>
    <t>Deadlines are counted from the date of service. Secondary claims are often counted from the primary payer's remittance date instead - that is not reflected here.</t>
  </si>
  <si>
    <t>Cells you edit</t>
  </si>
  <si>
    <t>Four columns are shaded pale yellow and are the ones meant to be edited here: Claim Status (A), Notes (B), Processed Date (C) and Latest Date Worked (K). Claim Status has a drop-down list, and anything not on the list is rejected so a typo cannot slip in. To add a new status, edit the list under Data &gt; Data Validation.</t>
  </si>
  <si>
    <t>Statuses on the drop-down: Denied, Finalized, Not found, PAID, Pending, Received, Rejected, Under Review.</t>
  </si>
  <si>
    <t>Example of the expected format - Claim Status: "Denied";  Notes: "Corrected service line 1 - resubmitted";  Processed Date: "06/25/2026";  Latest Date Worked: "08/12/2026".</t>
  </si>
  <si>
    <t>Processed Date and Latest Date Worked</t>
  </si>
  <si>
    <t>Both are real dates displayed MM/DD/YYYY, the same order as every other date column in these files and as the source data. Latest Date Worked starts empty.</t>
  </si>
  <si>
    <t>Processed Date is filled in wherever the row had something to fill it with: the date written into the Notes where there was one, otherwise the Insurance Check Date. A date from the Notes is never overwritten by a check date. Where the row has neither, it is blank for you to fill in.</t>
  </si>
  <si>
    <t>Corrected claim and appeal countdowns</t>
  </si>
  <si>
    <t>Days Until Corrected Claim Deadline (M) and Days Until Appeal Deadline (N) sit next to the filing countdown. Each carrier counts its window either from the date of service or from the processed date - the Corrected Claim From and Appeal From columns say which, and each countdown is built off whichever date that is. Both come from Carrier_Timely_Filing_Reference.xlsx.</t>
  </si>
  <si>
    <t>A blank means one of two things: the carrier has no window on file, or the carrier counts from the processed date and Processed Date is still empty on that row. In the second case the countdown fills itself in as soon as you enter a Processed Date - both columns are live formulas.</t>
  </si>
  <si>
    <t>These windows matter most on the rows whose initial filing deadline has already passed. Note the traps the reference calls out: Cigna does not restart the clock for a corrected claim, and Medicare separates reopening from redetermination.</t>
  </si>
  <si>
    <t>How this file feeds the master</t>
  </si>
  <si>
    <t>'SPC26S1 - 00 Master v3.xlsx' (same folder) holds every claim for 2026 S1. Its Claim Status and Notes columns are formulas that read this file, so anything you type in columns A and B here shows up there. Keep both files in the same folder, keep the file name unchanged, and save this file before opening the master.</t>
  </si>
  <si>
    <t>The link is matched on Primary Claim ID, not on row position, so sorting and filtering these sheets is safe. Do not edit that column, and do not rename the specialty sheet tabs.</t>
  </si>
  <si>
    <t>Everything else in this file is a static copy of the source data from 'Specialty Claims Pending 2026-S1.xlsx' (sheet 'Merged').</t>
  </si>
  <si>
    <t>Awaiting resolution on claim #556349314 (DOS 01/27/2026) before reprocessing DND 99493 This non-payable code is for required reporting only - Added Date of Current Illness, claim note, and resubmitted</t>
  </si>
  <si>
    <t xml:space="preserve">Filed appeal # Z264AZW09999 on portal - Basis: add-on to auth'd/paid 63047, intraop findings. Op note attached - Add-on 63048 requires auth according to medicaid auth tool - Auth # OP4987640976 didn't include 63048 - DND 63048 due to missing auth </t>
  </si>
  <si>
    <t xml:space="preserve">secondary - waiting for posting to crossover to secondary - primary paid </t>
  </si>
  <si>
    <t>Adjusted balance - DND Bundling with Home Health (NPI 1154898542) claim - Inpatient from 02/06/2026 till 03/07/2026</t>
  </si>
  <si>
    <t xml:space="preserve">secondary - we need to crossover to secondary - primary paid </t>
  </si>
  <si>
    <t xml:space="preserve">PAID - Surprise Reems - Pending check secondary - Waiting on PTAN issue to be solved - Payment on hold </t>
  </si>
  <si>
    <t>Shifted to PT - ABN signed - L0637 dispensed on 01/16/2023 supplier ARIZONA SPINE AND PAIN SPECIALISTS LLC - DND L0650 - Remark M3 Equipment is the same or similar to equipment already being used.</t>
  </si>
  <si>
    <t>Gilbert - jurisdiction issue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</si>
</sst>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6" x14ac:knownFonts="1">
    <font>
      <sz val="11"/>
      <color theme="1"/>
      <name val="Calibri"/>
      <family val="2"/>
      <scheme val="minor"/>
    </font>
    <font>
      <b/>
      <sz val="11"/>
      <color rgb="FFFFFFFF"/>
      <name val="Calibri"/>
      <family val="2"/>
    </font>
    <font>
      <sz val="11"/>
      <name val="Calibri"/>
      <family val="2"/>
    </font>
    <font>
      <b/>
      <sz val="14"/>
      <color rgb="FF1F4E79"/>
      <name val="Calibri"/>
      <family val="2"/>
    </font>
    <font>
      <b/>
      <sz val="11"/>
      <color rgb="FF1F4E79"/>
      <name val="Calibri"/>
      <family val="2"/>
    </font>
    <font>
      <sz val="11"/>
      <name val="Calibri"/>
      <family val="2"/>
    </font>
  </fonts>
  <fills count="4">
    <fill>
      <patternFill patternType="none"/>
    </fill>
    <fill>
      <patternFill patternType="gray125"/>
    </fill>
    <fill>
      <patternFill patternType="solid">
        <fgColor rgb="FF1F4E79"/>
      </patternFill>
    </fill>
    <fill>
      <patternFill patternType="solid">
        <fgColor rgb="FFFFF2CC"/>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top"/>
    </xf>
    <xf numFmtId="164" fontId="2" fillId="3" borderId="1" xfId="0" applyNumberFormat="1" applyFont="1" applyFill="1" applyBorder="1" applyAlignment="1">
      <alignment vertical="top"/>
    </xf>
    <xf numFmtId="1" fontId="2" fillId="0" borderId="1" xfId="0" applyNumberFormat="1" applyFont="1" applyBorder="1" applyAlignment="1">
      <alignment vertical="top"/>
    </xf>
    <xf numFmtId="0" fontId="2" fillId="0" borderId="1" xfId="0" applyFont="1" applyBorder="1" applyAlignment="1">
      <alignment vertical="top"/>
    </xf>
    <xf numFmtId="164" fontId="2" fillId="0" borderId="1" xfId="0" applyNumberFormat="1" applyFont="1" applyBorder="1" applyAlignment="1">
      <alignment vertical="top"/>
    </xf>
    <xf numFmtId="4" fontId="2" fillId="0" borderId="1" xfId="0" applyNumberFormat="1" applyFont="1" applyBorder="1" applyAlignment="1">
      <alignment vertical="top"/>
    </xf>
    <xf numFmtId="0" fontId="3" fillId="0" borderId="0" xfId="0" applyFont="1" applyAlignment="1">
      <alignment vertical="top" wrapText="1"/>
    </xf>
    <xf numFmtId="0" fontId="2" fillId="0" borderId="0" xfId="0" applyFont="1" applyAlignment="1">
      <alignment vertical="top" wrapText="1"/>
    </xf>
    <xf numFmtId="0" fontId="4" fillId="0" borderId="0" xfId="0" applyFont="1" applyAlignment="1">
      <alignment vertical="top" wrapText="1"/>
    </xf>
    <xf numFmtId="0" fontId="1" fillId="2" borderId="1" xfId="0" applyFont="1" applyFill="1" applyBorder="1" applyAlignment="1">
      <alignment horizontal="center" vertical="center"/>
    </xf>
    <xf numFmtId="1" fontId="2" fillId="0" borderId="1" xfId="0" applyNumberFormat="1" applyFont="1" applyBorder="1" applyAlignment="1">
      <alignment horizontal="left" vertical="top"/>
    </xf>
    <xf numFmtId="0" fontId="5" fillId="3" borderId="1" xfId="0" applyFont="1" applyFill="1" applyBorder="1" applyAlignment="1">
      <alignment vertical="top"/>
    </xf>
  </cellXfs>
  <cellStyles count="1">
    <cellStyle name="Normal" xfId="0" builtinId="0"/>
  </cellStyles>
  <dxfs count="109">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ont>
        <color rgb="FF1F4E79"/>
      </font>
      <fill>
        <patternFill>
          <bgColor rgb="FFDDEBF7"/>
        </patternFill>
      </fill>
    </dxf>
    <dxf>
      <font>
        <color rgb="FF808080"/>
      </font>
      <fill>
        <patternFill>
          <bgColor rgb="FFD9D9D9"/>
        </patternFill>
      </fill>
    </dxf>
    <dxf>
      <font>
        <color rgb="FF006100"/>
      </font>
      <fill>
        <patternFill>
          <bgColor rgb="FFC6EFCE"/>
        </patternFill>
      </fill>
    </dxf>
    <dxf>
      <font>
        <color rgb="FF9C6500"/>
      </font>
      <fill>
        <patternFill>
          <bgColor rgb="FFFFEB9C"/>
        </patternFill>
      </fill>
    </dxf>
    <dxf>
      <font>
        <b/>
        <color rgb="FF9C0006"/>
      </font>
      <fill>
        <patternFill>
          <bgColor rgb="FFFFC7CE"/>
        </patternFill>
      </fill>
    </dxf>
    <dxf>
      <fill>
        <patternFill patternType="solid">
          <bgColor rgb="FFC6E0B4"/>
        </patternFill>
      </fill>
    </dxf>
    <dxf>
      <fill>
        <patternFill patternType="solid">
          <bgColor rgb="FFBDD7EE"/>
        </patternFill>
      </fill>
    </dxf>
    <dxf>
      <fill>
        <patternFill patternType="solid">
          <bgColor rgb="FFD9D2E9"/>
        </patternFill>
      </fill>
    </dxf>
    <dxf>
      <fill>
        <patternFill patternType="solid">
          <bgColor rgb="FFFFE699"/>
        </patternFill>
      </fill>
    </dxf>
    <dxf>
      <font>
        <b/>
        <color rgb="FF000000"/>
      </font>
      <fill>
        <patternFill patternType="solid">
          <bgColor rgb="FFFF9933"/>
        </patternFill>
      </fill>
    </dxf>
    <dxf>
      <fill>
        <patternFill patternType="solid">
          <bgColor rgb="FFFF9F9F"/>
        </patternFill>
      </fill>
    </dxf>
    <dxf>
      <fill>
        <patternFill patternType="solid">
          <bgColor rgb="FFE4A0C8"/>
        </patternFill>
      </fill>
    </dxf>
    <dxf>
      <fill>
        <patternFill patternType="solid">
          <bgColor rgb="FFBFBFBF"/>
        </patternFill>
      </fill>
    </dxf>
    <dxf>
      <fill>
        <patternFill patternType="solid">
          <bgColor rgb="FFFCE4E4"/>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9"/>
  <sheetViews>
    <sheetView zoomScale="90" workbookViewId="0">
      <pane xSplit="2" ySplit="1" topLeftCell="C2" activePane="bottomRight" state="frozen"/>
      <selection pane="topRight"/>
      <selection pane="bottomLeft"/>
      <selection pane="bottomRight" activeCell="D21" sqref="D21"/>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8" width="40.42578125" customWidth="1"/>
    <col min="9" max="9" width="40" hidden="1" customWidth="1"/>
    <col min="10" max="10" width="22.42578125" customWidth="1"/>
    <col min="11" max="11" width="13.28515625" customWidth="1"/>
    <col min="12" max="12" width="12" customWidth="1"/>
    <col min="13" max="13" width="19.42578125" customWidth="1"/>
    <col min="14" max="14" width="16"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61</v>
      </c>
      <c r="B2" s="2"/>
      <c r="C2" s="3">
        <v>46119</v>
      </c>
      <c r="D2" s="4">
        <v>549765437</v>
      </c>
      <c r="E2" s="5" t="s">
        <v>62</v>
      </c>
      <c r="F2" s="6">
        <v>46065</v>
      </c>
      <c r="G2" s="5" t="s">
        <v>63</v>
      </c>
      <c r="H2" s="5" t="s">
        <v>43</v>
      </c>
      <c r="I2" s="5" t="s">
        <v>63</v>
      </c>
      <c r="J2" s="5" t="s">
        <v>58</v>
      </c>
      <c r="K2" s="3"/>
      <c r="L2" s="12">
        <f ca="1">IF($O2="","",$O2-TODAY())</f>
        <v>-145</v>
      </c>
      <c r="M2" s="12">
        <f ca="1">IF(AND(TRIM($A2)="Finalized",$K2&lt;&gt;""),"",IF($F2="","",$F2+90-TODAY()))</f>
        <v>-145</v>
      </c>
      <c r="N2" s="12">
        <f ca="1">IF(AND(TRIM($A2)="Finalized",$K2&lt;&gt;""),"",IF($C2="","",$C2+365-TODAY()))</f>
        <v>184</v>
      </c>
      <c r="O2" s="6">
        <f>IF(AND(TRIM($A2)="Finalized",$K2&lt;&gt;""),"",DATE(2026,5,13))</f>
        <v>46155</v>
      </c>
      <c r="P2" s="5" t="s">
        <v>46</v>
      </c>
      <c r="Q2" s="5" t="s">
        <v>47</v>
      </c>
      <c r="R2" s="5" t="s">
        <v>46</v>
      </c>
      <c r="S2" s="5" t="s">
        <v>48</v>
      </c>
      <c r="T2" s="5" t="s">
        <v>49</v>
      </c>
      <c r="U2" s="5" t="s">
        <v>50</v>
      </c>
      <c r="V2" s="5"/>
      <c r="W2" s="5"/>
      <c r="X2" s="5"/>
      <c r="Y2" s="5" t="s">
        <v>51</v>
      </c>
      <c r="Z2" s="7">
        <v>1372.91</v>
      </c>
      <c r="AA2" s="7">
        <v>1179.8900000000001</v>
      </c>
      <c r="AB2" s="7">
        <v>0</v>
      </c>
      <c r="AC2" s="6">
        <v>46119</v>
      </c>
      <c r="AD2" s="7">
        <v>193.02</v>
      </c>
      <c r="AE2" s="4">
        <v>177</v>
      </c>
      <c r="AF2" s="5" t="s">
        <v>64</v>
      </c>
      <c r="AG2" s="5"/>
      <c r="AH2" s="5"/>
      <c r="AI2" s="5"/>
      <c r="AJ2" s="4">
        <v>558453526</v>
      </c>
      <c r="AK2" s="5" t="s">
        <v>53</v>
      </c>
      <c r="AL2" s="5" t="s">
        <v>65</v>
      </c>
      <c r="AM2" s="6">
        <v>46086</v>
      </c>
      <c r="AN2" s="5" t="s">
        <v>55</v>
      </c>
    </row>
    <row r="3" spans="1:40" x14ac:dyDescent="0.25">
      <c r="A3" s="2" t="s">
        <v>40</v>
      </c>
      <c r="B3" s="2" t="s">
        <v>41</v>
      </c>
      <c r="C3" s="3">
        <v>46098</v>
      </c>
      <c r="D3" s="4">
        <v>548676737</v>
      </c>
      <c r="E3" s="5" t="s">
        <v>42</v>
      </c>
      <c r="F3" s="6">
        <v>46056</v>
      </c>
      <c r="G3" s="5" t="s">
        <v>43</v>
      </c>
      <c r="H3" s="5" t="s">
        <v>43</v>
      </c>
      <c r="I3" s="5" t="s">
        <v>44</v>
      </c>
      <c r="J3" s="5" t="s">
        <v>45</v>
      </c>
      <c r="K3" s="3">
        <v>46183</v>
      </c>
      <c r="L3" s="12">
        <f ca="1">IF($O3="","",$O3-TODAY())</f>
        <v>-154</v>
      </c>
      <c r="M3" s="12">
        <f ca="1">IF(AND(TRIM($A3)="Finalized",$K3&lt;&gt;""),"",IF($F3="","",$F3+90-TODAY()))</f>
        <v>-154</v>
      </c>
      <c r="N3" s="12">
        <f ca="1">IF(AND(TRIM($A3)="Finalized",$K3&lt;&gt;""),"",IF($C3="","",$C3+365-TODAY()))</f>
        <v>163</v>
      </c>
      <c r="O3" s="6">
        <f>IF(AND(TRIM($A3)="Finalized",$K3&lt;&gt;""),"",DATE(2026,5,4))</f>
        <v>46146</v>
      </c>
      <c r="P3" s="5" t="s">
        <v>46</v>
      </c>
      <c r="Q3" s="5" t="s">
        <v>47</v>
      </c>
      <c r="R3" s="5" t="s">
        <v>46</v>
      </c>
      <c r="S3" s="5" t="s">
        <v>48</v>
      </c>
      <c r="T3" s="5" t="s">
        <v>49</v>
      </c>
      <c r="U3" s="5" t="s">
        <v>50</v>
      </c>
      <c r="V3" s="5"/>
      <c r="W3" s="5"/>
      <c r="X3" s="5"/>
      <c r="Y3" s="5" t="s">
        <v>51</v>
      </c>
      <c r="Z3" s="7">
        <v>1372.91</v>
      </c>
      <c r="AA3" s="7">
        <v>0</v>
      </c>
      <c r="AB3" s="7">
        <v>0</v>
      </c>
      <c r="AC3" s="6">
        <v>46098</v>
      </c>
      <c r="AD3" s="7">
        <v>1372.91</v>
      </c>
      <c r="AE3" s="4">
        <v>186</v>
      </c>
      <c r="AF3" s="5" t="s">
        <v>52</v>
      </c>
      <c r="AG3" s="5"/>
      <c r="AH3" s="5"/>
      <c r="AI3" s="5"/>
      <c r="AJ3" s="4"/>
      <c r="AK3" s="5" t="s">
        <v>53</v>
      </c>
      <c r="AL3" s="5" t="s">
        <v>54</v>
      </c>
      <c r="AM3" s="6">
        <v>46086</v>
      </c>
      <c r="AN3" s="5" t="s">
        <v>55</v>
      </c>
    </row>
    <row r="4" spans="1:40" x14ac:dyDescent="0.25">
      <c r="A4" s="2" t="s">
        <v>40</v>
      </c>
      <c r="B4" s="2" t="s">
        <v>56</v>
      </c>
      <c r="C4" s="3">
        <v>46148</v>
      </c>
      <c r="D4" s="4">
        <v>548979329</v>
      </c>
      <c r="E4" s="5" t="s">
        <v>57</v>
      </c>
      <c r="F4" s="6">
        <v>46062</v>
      </c>
      <c r="G4" s="5" t="s">
        <v>43</v>
      </c>
      <c r="H4" s="5" t="s">
        <v>43</v>
      </c>
      <c r="I4" s="5" t="s">
        <v>44</v>
      </c>
      <c r="J4" s="5" t="s">
        <v>58</v>
      </c>
      <c r="K4" s="3">
        <v>46183</v>
      </c>
      <c r="L4" s="12">
        <f ca="1">IF($O4="","",$O4-TODAY())</f>
        <v>-148</v>
      </c>
      <c r="M4" s="12">
        <f ca="1">IF(AND(TRIM($A4)="Finalized",$K4&lt;&gt;""),"",IF($F4="","",$F4+90-TODAY()))</f>
        <v>-148</v>
      </c>
      <c r="N4" s="12">
        <f ca="1">IF(AND(TRIM($A4)="Finalized",$K4&lt;&gt;""),"",IF($C4="","",$C4+365-TODAY()))</f>
        <v>213</v>
      </c>
      <c r="O4" s="6">
        <f>IF(AND(TRIM($A4)="Finalized",$K4&lt;&gt;""),"",DATE(2026,5,10))</f>
        <v>46152</v>
      </c>
      <c r="P4" s="5" t="s">
        <v>46</v>
      </c>
      <c r="Q4" s="5" t="s">
        <v>47</v>
      </c>
      <c r="R4" s="5" t="s">
        <v>46</v>
      </c>
      <c r="S4" s="5" t="s">
        <v>48</v>
      </c>
      <c r="T4" s="5" t="s">
        <v>49</v>
      </c>
      <c r="U4" s="5" t="s">
        <v>50</v>
      </c>
      <c r="V4" s="5"/>
      <c r="W4" s="5"/>
      <c r="X4" s="5"/>
      <c r="Y4" s="5" t="s">
        <v>51</v>
      </c>
      <c r="Z4" s="7">
        <v>1372.91</v>
      </c>
      <c r="AA4" s="7">
        <v>0</v>
      </c>
      <c r="AB4" s="7">
        <v>0</v>
      </c>
      <c r="AC4" s="6">
        <v>46148</v>
      </c>
      <c r="AD4" s="7">
        <v>1372.91</v>
      </c>
      <c r="AE4" s="4">
        <v>180</v>
      </c>
      <c r="AF4" s="5" t="s">
        <v>52</v>
      </c>
      <c r="AG4" s="5"/>
      <c r="AH4" s="5"/>
      <c r="AI4" s="5"/>
      <c r="AJ4" s="4"/>
      <c r="AK4" s="5" t="s">
        <v>59</v>
      </c>
      <c r="AL4" s="5" t="s">
        <v>60</v>
      </c>
      <c r="AM4" s="6">
        <v>46090</v>
      </c>
      <c r="AN4" s="5" t="s">
        <v>55</v>
      </c>
    </row>
    <row r="5" spans="1:40" x14ac:dyDescent="0.25">
      <c r="A5" s="2" t="s">
        <v>40</v>
      </c>
      <c r="B5" s="2" t="s">
        <v>66</v>
      </c>
      <c r="C5" s="3">
        <v>46147</v>
      </c>
      <c r="D5" s="4">
        <v>557794433</v>
      </c>
      <c r="E5" s="5" t="s">
        <v>67</v>
      </c>
      <c r="F5" s="6">
        <v>46066</v>
      </c>
      <c r="G5" s="5" t="s">
        <v>68</v>
      </c>
      <c r="H5" s="5" t="s">
        <v>68</v>
      </c>
      <c r="I5" s="5" t="s">
        <v>44</v>
      </c>
      <c r="J5" s="5" t="s">
        <v>69</v>
      </c>
      <c r="K5" s="3">
        <v>46142</v>
      </c>
      <c r="L5" s="12">
        <f ca="1">IF($O5="","",$O5-TODAY())</f>
        <v>-144</v>
      </c>
      <c r="M5" s="12">
        <f ca="1">IF(AND(TRIM($A5)="Finalized",$K5&lt;&gt;""),"",IF($C5="","",$C5+365-TODAY()))</f>
        <v>212</v>
      </c>
      <c r="N5" s="12">
        <f ca="1">IF(AND(TRIM($A5)="Finalized",$K5&lt;&gt;""),"",IF($C5="","",$C5+365-TODAY()))</f>
        <v>212</v>
      </c>
      <c r="O5" s="6">
        <f>IF(AND(TRIM($A5)="Finalized",$K5&lt;&gt;""),"",DATE(2026,5,14))</f>
        <v>46156</v>
      </c>
      <c r="P5" s="5" t="s">
        <v>46</v>
      </c>
      <c r="Q5" s="5" t="s">
        <v>70</v>
      </c>
      <c r="R5" s="5" t="s">
        <v>49</v>
      </c>
      <c r="S5" s="5" t="s">
        <v>50</v>
      </c>
      <c r="T5" s="5" t="s">
        <v>49</v>
      </c>
      <c r="U5" s="5" t="s">
        <v>50</v>
      </c>
      <c r="V5" s="5"/>
      <c r="W5" s="5"/>
      <c r="X5" s="5"/>
      <c r="Y5" s="5" t="s">
        <v>51</v>
      </c>
      <c r="Z5" s="7">
        <v>976.64</v>
      </c>
      <c r="AA5" s="7">
        <v>0</v>
      </c>
      <c r="AB5" s="7">
        <v>0</v>
      </c>
      <c r="AC5" s="6">
        <v>46147</v>
      </c>
      <c r="AD5" s="7">
        <v>976.64</v>
      </c>
      <c r="AE5" s="4">
        <v>176</v>
      </c>
      <c r="AF5" s="5" t="s">
        <v>71</v>
      </c>
      <c r="AG5" s="5"/>
      <c r="AH5" s="5"/>
      <c r="AI5" s="5"/>
      <c r="AJ5" s="4"/>
      <c r="AK5" s="5" t="s">
        <v>53</v>
      </c>
      <c r="AL5" s="5" t="s">
        <v>72</v>
      </c>
      <c r="AM5" s="6">
        <v>46086</v>
      </c>
      <c r="AN5" s="5" t="s">
        <v>55</v>
      </c>
    </row>
    <row r="6" spans="1:40" x14ac:dyDescent="0.25">
      <c r="A6" s="2" t="s">
        <v>40</v>
      </c>
      <c r="B6" s="13" t="s">
        <v>305</v>
      </c>
      <c r="C6" s="3">
        <v>46147</v>
      </c>
      <c r="D6" s="4">
        <v>557794882</v>
      </c>
      <c r="E6" s="5" t="s">
        <v>73</v>
      </c>
      <c r="F6" s="6">
        <v>46070</v>
      </c>
      <c r="G6" s="5" t="s">
        <v>68</v>
      </c>
      <c r="H6" s="5" t="s">
        <v>68</v>
      </c>
      <c r="I6" s="5" t="s">
        <v>44</v>
      </c>
      <c r="J6" s="5" t="s">
        <v>69</v>
      </c>
      <c r="K6" s="3">
        <v>46284</v>
      </c>
      <c r="L6" s="12">
        <f ca="1">IF($O6="","",$O6-TODAY())</f>
        <v>-140</v>
      </c>
      <c r="M6" s="12">
        <f ca="1">IF(AND(TRIM($A6)="Finalized",$K6&lt;&gt;""),"",IF($C6="","",$C6+365-TODAY()))</f>
        <v>212</v>
      </c>
      <c r="N6" s="12">
        <f ca="1">IF(AND(TRIM($A6)="Finalized",$K6&lt;&gt;""),"",IF($C6="","",$C6+365-TODAY()))</f>
        <v>212</v>
      </c>
      <c r="O6" s="6">
        <f>IF(AND(TRIM($A6)="Finalized",$K6&lt;&gt;""),"",DATE(2026,5,18))</f>
        <v>46160</v>
      </c>
      <c r="P6" s="5" t="s">
        <v>46</v>
      </c>
      <c r="Q6" s="5" t="s">
        <v>70</v>
      </c>
      <c r="R6" s="5" t="s">
        <v>49</v>
      </c>
      <c r="S6" s="5" t="s">
        <v>50</v>
      </c>
      <c r="T6" s="5" t="s">
        <v>49</v>
      </c>
      <c r="U6" s="5" t="s">
        <v>50</v>
      </c>
      <c r="V6" s="5"/>
      <c r="W6" s="5"/>
      <c r="X6" s="5"/>
      <c r="Y6" s="5" t="s">
        <v>51</v>
      </c>
      <c r="Z6" s="7">
        <v>976.64</v>
      </c>
      <c r="AA6" s="7">
        <v>0</v>
      </c>
      <c r="AB6" s="7">
        <v>0</v>
      </c>
      <c r="AC6" s="6">
        <v>46147</v>
      </c>
      <c r="AD6" s="7">
        <v>976.64</v>
      </c>
      <c r="AE6" s="4">
        <v>172</v>
      </c>
      <c r="AF6" s="5" t="s">
        <v>74</v>
      </c>
      <c r="AG6" s="5" t="s">
        <v>64</v>
      </c>
      <c r="AH6" s="5"/>
      <c r="AI6" s="5"/>
      <c r="AJ6" s="4"/>
      <c r="AK6" s="5" t="s">
        <v>75</v>
      </c>
      <c r="AL6" s="5" t="s">
        <v>54</v>
      </c>
      <c r="AM6" s="6">
        <v>46086</v>
      </c>
      <c r="AN6" s="5" t="s">
        <v>55</v>
      </c>
    </row>
    <row r="7" spans="1:40" x14ac:dyDescent="0.25">
      <c r="A7" s="2" t="s">
        <v>40</v>
      </c>
      <c r="B7" s="2" t="s">
        <v>76</v>
      </c>
      <c r="C7" s="3">
        <v>46101</v>
      </c>
      <c r="D7" s="4">
        <v>550288006</v>
      </c>
      <c r="E7" s="5" t="s">
        <v>77</v>
      </c>
      <c r="F7" s="6">
        <v>46071</v>
      </c>
      <c r="G7" s="5" t="s">
        <v>43</v>
      </c>
      <c r="H7" s="5" t="s">
        <v>43</v>
      </c>
      <c r="I7" s="5" t="s">
        <v>44</v>
      </c>
      <c r="J7" s="5" t="s">
        <v>78</v>
      </c>
      <c r="K7" s="3">
        <v>46183</v>
      </c>
      <c r="L7" s="12">
        <f ca="1">IF($O7="","",$O7-TODAY())</f>
        <v>-139</v>
      </c>
      <c r="M7" s="12">
        <f ca="1">IF(AND(TRIM($A7)="Finalized",$K7&lt;&gt;""),"",IF($F7="","",$F7+90-TODAY()))</f>
        <v>-139</v>
      </c>
      <c r="N7" s="12">
        <f ca="1">IF(AND(TRIM($A7)="Finalized",$K7&lt;&gt;""),"",IF($C7="","",$C7+365-TODAY()))</f>
        <v>166</v>
      </c>
      <c r="O7" s="6">
        <f>IF(AND(TRIM($A7)="Finalized",$K7&lt;&gt;""),"",DATE(2026,5,19))</f>
        <v>46161</v>
      </c>
      <c r="P7" s="5" t="s">
        <v>46</v>
      </c>
      <c r="Q7" s="5" t="s">
        <v>47</v>
      </c>
      <c r="R7" s="5" t="s">
        <v>46</v>
      </c>
      <c r="S7" s="5" t="s">
        <v>48</v>
      </c>
      <c r="T7" s="5" t="s">
        <v>49</v>
      </c>
      <c r="U7" s="5" t="s">
        <v>50</v>
      </c>
      <c r="V7" s="5"/>
      <c r="W7" s="5"/>
      <c r="X7" s="5"/>
      <c r="Y7" s="5" t="s">
        <v>79</v>
      </c>
      <c r="Z7" s="7">
        <v>1822.52</v>
      </c>
      <c r="AA7" s="7">
        <v>0</v>
      </c>
      <c r="AB7" s="7">
        <v>0</v>
      </c>
      <c r="AC7" s="6">
        <v>46101</v>
      </c>
      <c r="AD7" s="7">
        <v>1822.52</v>
      </c>
      <c r="AE7" s="4">
        <v>171</v>
      </c>
      <c r="AF7" s="5" t="s">
        <v>80</v>
      </c>
      <c r="AG7" s="5"/>
      <c r="AH7" s="5"/>
      <c r="AI7" s="5"/>
      <c r="AJ7" s="4"/>
      <c r="AK7" s="5" t="s">
        <v>81</v>
      </c>
      <c r="AL7" s="5" t="s">
        <v>65</v>
      </c>
      <c r="AM7" s="6">
        <v>46086</v>
      </c>
      <c r="AN7" s="5" t="s">
        <v>55</v>
      </c>
    </row>
    <row r="8" spans="1:40" x14ac:dyDescent="0.25">
      <c r="A8" s="2" t="s">
        <v>40</v>
      </c>
      <c r="B8" s="2" t="s">
        <v>82</v>
      </c>
      <c r="C8" s="3">
        <v>46147</v>
      </c>
      <c r="D8" s="4">
        <v>557793858</v>
      </c>
      <c r="E8" s="5" t="s">
        <v>83</v>
      </c>
      <c r="F8" s="6">
        <v>46073</v>
      </c>
      <c r="G8" s="5" t="s">
        <v>68</v>
      </c>
      <c r="H8" s="5" t="s">
        <v>68</v>
      </c>
      <c r="I8" s="5" t="s">
        <v>44</v>
      </c>
      <c r="J8" s="5" t="s">
        <v>69</v>
      </c>
      <c r="K8" s="3">
        <v>46266</v>
      </c>
      <c r="L8" s="12">
        <f ca="1">IF($O8="","",$O8-TODAY())</f>
        <v>-137</v>
      </c>
      <c r="M8" s="12">
        <f ca="1">IF(AND(TRIM($A8)="Finalized",$K8&lt;&gt;""),"",IF($C8="","",$C8+365-TODAY()))</f>
        <v>212</v>
      </c>
      <c r="N8" s="12">
        <f ca="1">IF(AND(TRIM($A8)="Finalized",$K8&lt;&gt;""),"",IF($C8="","",$C8+365-TODAY()))</f>
        <v>212</v>
      </c>
      <c r="O8" s="6">
        <f>IF(AND(TRIM($A8)="Finalized",$K8&lt;&gt;""),"",DATE(2026,5,21))</f>
        <v>46163</v>
      </c>
      <c r="P8" s="5" t="s">
        <v>46</v>
      </c>
      <c r="Q8" s="5" t="s">
        <v>70</v>
      </c>
      <c r="R8" s="5" t="s">
        <v>49</v>
      </c>
      <c r="S8" s="5" t="s">
        <v>50</v>
      </c>
      <c r="T8" s="5" t="s">
        <v>49</v>
      </c>
      <c r="U8" s="5" t="s">
        <v>50</v>
      </c>
      <c r="V8" s="5"/>
      <c r="W8" s="5"/>
      <c r="X8" s="5"/>
      <c r="Y8" s="5" t="s">
        <v>51</v>
      </c>
      <c r="Z8" s="7">
        <v>976.64</v>
      </c>
      <c r="AA8" s="7">
        <v>0</v>
      </c>
      <c r="AB8" s="7">
        <v>0</v>
      </c>
      <c r="AC8" s="6">
        <v>46147</v>
      </c>
      <c r="AD8" s="7">
        <v>976.64</v>
      </c>
      <c r="AE8" s="4">
        <v>169</v>
      </c>
      <c r="AF8" s="5" t="s">
        <v>71</v>
      </c>
      <c r="AG8" s="5"/>
      <c r="AH8" s="5"/>
      <c r="AI8" s="5"/>
      <c r="AJ8" s="4"/>
      <c r="AK8" s="5" t="s">
        <v>53</v>
      </c>
      <c r="AL8" s="5" t="s">
        <v>72</v>
      </c>
      <c r="AM8" s="6">
        <v>46086</v>
      </c>
      <c r="AN8" s="5" t="s">
        <v>55</v>
      </c>
    </row>
    <row r="9" spans="1:40" x14ac:dyDescent="0.25">
      <c r="A9" s="2" t="s">
        <v>40</v>
      </c>
      <c r="B9" s="2" t="s">
        <v>84</v>
      </c>
      <c r="C9" s="3">
        <v>46147</v>
      </c>
      <c r="D9" s="4">
        <v>557794229</v>
      </c>
      <c r="E9" s="5" t="s">
        <v>85</v>
      </c>
      <c r="F9" s="6">
        <v>46073</v>
      </c>
      <c r="G9" s="5" t="s">
        <v>68</v>
      </c>
      <c r="H9" s="5" t="s">
        <v>68</v>
      </c>
      <c r="I9" s="5" t="s">
        <v>44</v>
      </c>
      <c r="J9" s="5" t="s">
        <v>69</v>
      </c>
      <c r="K9" s="3">
        <v>46247</v>
      </c>
      <c r="L9" s="12">
        <f ca="1">IF($O9="","",$O9-TODAY())</f>
        <v>-137</v>
      </c>
      <c r="M9" s="12">
        <f ca="1">IF(AND(TRIM($A9)="Finalized",$K9&lt;&gt;""),"",IF($C9="","",$C9+365-TODAY()))</f>
        <v>212</v>
      </c>
      <c r="N9" s="12">
        <f ca="1">IF(AND(TRIM($A9)="Finalized",$K9&lt;&gt;""),"",IF($C9="","",$C9+365-TODAY()))</f>
        <v>212</v>
      </c>
      <c r="O9" s="6">
        <f>IF(AND(TRIM($A9)="Finalized",$K9&lt;&gt;""),"",DATE(2026,5,21))</f>
        <v>46163</v>
      </c>
      <c r="P9" s="5" t="s">
        <v>46</v>
      </c>
      <c r="Q9" s="5" t="s">
        <v>70</v>
      </c>
      <c r="R9" s="5" t="s">
        <v>49</v>
      </c>
      <c r="S9" s="5" t="s">
        <v>50</v>
      </c>
      <c r="T9" s="5" t="s">
        <v>49</v>
      </c>
      <c r="U9" s="5" t="s">
        <v>50</v>
      </c>
      <c r="V9" s="5"/>
      <c r="W9" s="5"/>
      <c r="X9" s="5"/>
      <c r="Y9" s="5" t="s">
        <v>51</v>
      </c>
      <c r="Z9" s="7">
        <v>976.64</v>
      </c>
      <c r="AA9" s="7">
        <v>0</v>
      </c>
      <c r="AB9" s="7">
        <v>0</v>
      </c>
      <c r="AC9" s="6">
        <v>46147</v>
      </c>
      <c r="AD9" s="7">
        <v>976.64</v>
      </c>
      <c r="AE9" s="4">
        <v>169</v>
      </c>
      <c r="AF9" s="5" t="s">
        <v>71</v>
      </c>
      <c r="AG9" s="5"/>
      <c r="AH9" s="5"/>
      <c r="AI9" s="5"/>
      <c r="AJ9" s="4"/>
      <c r="AK9" s="5" t="s">
        <v>59</v>
      </c>
      <c r="AL9" s="5" t="s">
        <v>72</v>
      </c>
      <c r="AM9" s="6">
        <v>46086</v>
      </c>
      <c r="AN9" s="5" t="s">
        <v>55</v>
      </c>
    </row>
  </sheetData>
  <autoFilter ref="A1:AN9" xr:uid="{00000000-0009-0000-0000-000000000000}"/>
  <conditionalFormatting sqref="L2:O1000">
    <cfRule type="expression" dxfId="101" priority="1" stopIfTrue="1">
      <formula>AND(TRIM($A2)="Finalized",$K2&lt;&gt;"")</formula>
    </cfRule>
  </conditionalFormatting>
  <conditionalFormatting sqref="L2:L9">
    <cfRule type="expression" dxfId="99" priority="2">
      <formula>AND($L2&lt;&gt;"", $L2&gt;=0, $L2&lt;=5)</formula>
    </cfRule>
    <cfRule type="expression" dxfId="98" priority="3">
      <formula>AND($L2&lt;&gt;"", $L2&gt;5, $L2&lt;=30)</formula>
    </cfRule>
    <cfRule type="expression" dxfId="97" priority="4">
      <formula>AND($L2&lt;&gt;"", $L2&gt;30)</formula>
    </cfRule>
    <cfRule type="expression" dxfId="96" priority="5">
      <formula>AND($L2&lt;&gt;"", $L2&lt;0)</formula>
    </cfRule>
    <cfRule type="expression" dxfId="95" priority="6">
      <formula>$L2=""</formula>
    </cfRule>
  </conditionalFormatting>
  <conditionalFormatting sqref="M2:M9">
    <cfRule type="expression" dxfId="94" priority="7">
      <formula>AND($M2&lt;&gt;"", $M2&gt;=0, $M2&lt;=5)</formula>
    </cfRule>
    <cfRule type="expression" dxfId="93" priority="8">
      <formula>AND($M2&lt;&gt;"", $M2&gt;5, $M2&lt;=30)</formula>
    </cfRule>
    <cfRule type="expression" dxfId="92" priority="9">
      <formula>AND($M2&lt;&gt;"", $M2&gt;30)</formula>
    </cfRule>
    <cfRule type="expression" dxfId="91" priority="10">
      <formula>AND($M2&lt;&gt;"", $M2&lt;0)</formula>
    </cfRule>
    <cfRule type="expression" dxfId="90" priority="11">
      <formula>$M2=""</formula>
    </cfRule>
  </conditionalFormatting>
  <conditionalFormatting sqref="N2:N9">
    <cfRule type="expression" dxfId="89" priority="12">
      <formula>AND($N2&lt;&gt;"", $N2&gt;=0, $N2&lt;=5)</formula>
    </cfRule>
    <cfRule type="expression" dxfId="88" priority="13">
      <formula>AND($N2&lt;&gt;"", $N2&gt;5, $N2&lt;=30)</formula>
    </cfRule>
    <cfRule type="expression" dxfId="87" priority="14">
      <formula>AND($N2&lt;&gt;"", $N2&gt;30)</formula>
    </cfRule>
    <cfRule type="expression" dxfId="86" priority="15">
      <formula>AND($N2&lt;&gt;"", $N2&lt;0)</formula>
    </cfRule>
    <cfRule type="expression" dxfId="85" priority="16">
      <formula>$N2=""</formula>
    </cfRule>
  </conditionalFormatting>
  <conditionalFormatting sqref="O2:U9">
    <cfRule type="expression" dxfId="84" priority="17">
      <formula>AND($L2&lt;&gt;"", $L2&gt;=0, $L2&lt;=5)</formula>
    </cfRule>
    <cfRule type="expression" dxfId="83" priority="18">
      <formula>AND($L2&lt;&gt;"", $L2&gt;5, $L2&lt;=30)</formula>
    </cfRule>
    <cfRule type="expression" dxfId="82" priority="19">
      <formula>AND($L2&lt;&gt;"", $L2&gt;30)</formula>
    </cfRule>
    <cfRule type="expression" dxfId="81" priority="20">
      <formula>AND($L2&lt;&gt;"", $L2&lt;0)</formula>
    </cfRule>
    <cfRule type="expression" dxfId="8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N11"/>
  <sheetViews>
    <sheetView tabSelected="1" zoomScale="90" workbookViewId="0">
      <pane xSplit="2" ySplit="1" topLeftCell="C2" activePane="bottomRight" state="frozen"/>
      <selection pane="topRight"/>
      <selection pane="bottomLeft"/>
      <selection pane="bottomRight" activeCell="H21" sqref="H21"/>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4" customWidth="1"/>
    <col min="9" max="9" width="40" hidden="1" customWidth="1"/>
    <col min="10" max="10" width="26.42578125" customWidth="1"/>
    <col min="11" max="11" width="14" customWidth="1"/>
    <col min="12" max="12" width="12" customWidth="1"/>
    <col min="13" max="13" width="19.140625" customWidth="1"/>
    <col min="14" max="14" width="18"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40</v>
      </c>
      <c r="B2" s="2" t="s">
        <v>312</v>
      </c>
      <c r="C2" s="3">
        <v>46147</v>
      </c>
      <c r="D2" s="4">
        <v>557715576</v>
      </c>
      <c r="E2" s="5" t="s">
        <v>127</v>
      </c>
      <c r="F2" s="6">
        <v>46076</v>
      </c>
      <c r="G2" s="5" t="s">
        <v>128</v>
      </c>
      <c r="H2" s="5" t="s">
        <v>128</v>
      </c>
      <c r="I2" s="5" t="s">
        <v>43</v>
      </c>
      <c r="J2" s="5" t="s">
        <v>102</v>
      </c>
      <c r="K2" s="3"/>
      <c r="L2" s="12">
        <f ca="1">IF($O2="","",$O2-TODAY())</f>
        <v>141</v>
      </c>
      <c r="M2" s="12">
        <f ca="1">IF(AND(TRIM($A2)="Finalized",$K2&lt;&gt;""),"",IF($C2="","",$C2+365-TODAY()))</f>
        <v>212</v>
      </c>
      <c r="N2" s="12">
        <f ca="1">IF(AND(TRIM($A2)="Finalized",$K2&lt;&gt;""),"",IF($C2="","",$C2+120-TODAY()))</f>
        <v>-33</v>
      </c>
      <c r="O2" s="6">
        <f>IF(AND(TRIM($A2)="Finalized",$K2&lt;&gt;""),"",DATE(2027,2,23))</f>
        <v>46441</v>
      </c>
      <c r="P2" s="5" t="s">
        <v>49</v>
      </c>
      <c r="Q2" s="5" t="s">
        <v>90</v>
      </c>
      <c r="R2" s="5" t="s">
        <v>49</v>
      </c>
      <c r="S2" s="5" t="s">
        <v>50</v>
      </c>
      <c r="T2" s="5" t="s">
        <v>91</v>
      </c>
      <c r="U2" s="5" t="s">
        <v>50</v>
      </c>
      <c r="V2" s="5" t="s">
        <v>100</v>
      </c>
      <c r="W2" s="5"/>
      <c r="X2" s="5"/>
      <c r="Y2" s="5" t="s">
        <v>103</v>
      </c>
      <c r="Z2" s="7">
        <v>72707.600000000006</v>
      </c>
      <c r="AA2" s="7">
        <v>0</v>
      </c>
      <c r="AB2" s="7">
        <v>0</v>
      </c>
      <c r="AC2" s="6">
        <v>46147</v>
      </c>
      <c r="AD2" s="7">
        <v>72707.600000000006</v>
      </c>
      <c r="AE2" s="4">
        <v>166</v>
      </c>
      <c r="AF2" s="5" t="s">
        <v>94</v>
      </c>
      <c r="AG2" s="5" t="s">
        <v>105</v>
      </c>
      <c r="AH2" s="5"/>
      <c r="AI2" s="5"/>
      <c r="AJ2" s="4"/>
      <c r="AK2" s="5" t="s">
        <v>129</v>
      </c>
      <c r="AL2" s="5" t="s">
        <v>130</v>
      </c>
      <c r="AM2" s="6">
        <v>46085</v>
      </c>
      <c r="AN2" s="5" t="s">
        <v>97</v>
      </c>
    </row>
    <row r="3" spans="1:40" x14ac:dyDescent="0.25">
      <c r="A3" s="2" t="s">
        <v>203</v>
      </c>
      <c r="B3" s="2" t="s">
        <v>307</v>
      </c>
      <c r="C3" s="3">
        <v>46105</v>
      </c>
      <c r="D3" s="4">
        <v>553137846</v>
      </c>
      <c r="E3" s="5" t="s">
        <v>86</v>
      </c>
      <c r="F3" s="6">
        <v>46063</v>
      </c>
      <c r="G3" s="5" t="s">
        <v>87</v>
      </c>
      <c r="H3" s="5" t="s">
        <v>88</v>
      </c>
      <c r="I3" s="5" t="s">
        <v>87</v>
      </c>
      <c r="J3" s="5" t="s">
        <v>89</v>
      </c>
      <c r="K3" s="3">
        <v>46300</v>
      </c>
      <c r="L3" s="12">
        <f ca="1">IF($O3="","",$O3-TODAY())</f>
        <v>128</v>
      </c>
      <c r="M3" s="12">
        <f ca="1">IF(AND(TRIM($A3)="Finalized",$K3&lt;&gt;""),"",IF($C3="","",$C3+365-TODAY()))</f>
        <v>170</v>
      </c>
      <c r="N3" s="12">
        <f ca="1">IF(AND(TRIM($A3)="Finalized",$K3&lt;&gt;""),"",IF($C3="","",$C3+120-TODAY()))</f>
        <v>-75</v>
      </c>
      <c r="O3" s="6">
        <f>IF(AND(TRIM($A3)="Finalized",$K3&lt;&gt;""),"",DATE(2027,2,10))</f>
        <v>46428</v>
      </c>
      <c r="P3" s="5" t="s">
        <v>49</v>
      </c>
      <c r="Q3" s="5" t="s">
        <v>90</v>
      </c>
      <c r="R3" s="5" t="s">
        <v>49</v>
      </c>
      <c r="S3" s="5" t="s">
        <v>50</v>
      </c>
      <c r="T3" s="5" t="s">
        <v>91</v>
      </c>
      <c r="U3" s="5" t="s">
        <v>50</v>
      </c>
      <c r="V3" s="5" t="s">
        <v>92</v>
      </c>
      <c r="W3" s="5"/>
      <c r="X3" s="5"/>
      <c r="Y3" s="5" t="s">
        <v>93</v>
      </c>
      <c r="Z3" s="7">
        <v>5916.4</v>
      </c>
      <c r="AA3" s="7">
        <v>5047.72</v>
      </c>
      <c r="AB3" s="7">
        <v>692.12</v>
      </c>
      <c r="AC3" s="6">
        <v>46105</v>
      </c>
      <c r="AD3" s="7">
        <v>176.56</v>
      </c>
      <c r="AE3" s="4">
        <v>179</v>
      </c>
      <c r="AF3" s="5" t="s">
        <v>94</v>
      </c>
      <c r="AG3" s="5"/>
      <c r="AH3" s="5"/>
      <c r="AI3" s="5"/>
      <c r="AJ3" s="4">
        <v>564731184</v>
      </c>
      <c r="AK3" s="5" t="s">
        <v>95</v>
      </c>
      <c r="AL3" s="5" t="s">
        <v>96</v>
      </c>
      <c r="AM3" s="6">
        <v>46099</v>
      </c>
      <c r="AN3" s="5" t="s">
        <v>97</v>
      </c>
    </row>
    <row r="4" spans="1:40" x14ac:dyDescent="0.25">
      <c r="A4" s="2" t="s">
        <v>203</v>
      </c>
      <c r="B4" s="2" t="s">
        <v>309</v>
      </c>
      <c r="C4" s="3">
        <v>46133</v>
      </c>
      <c r="D4" s="4">
        <v>550531610</v>
      </c>
      <c r="E4" s="5" t="s">
        <v>101</v>
      </c>
      <c r="F4" s="6">
        <v>46066</v>
      </c>
      <c r="G4" s="5" t="s">
        <v>87</v>
      </c>
      <c r="H4" s="5" t="s">
        <v>88</v>
      </c>
      <c r="I4" s="5" t="s">
        <v>87</v>
      </c>
      <c r="J4" s="5" t="s">
        <v>102</v>
      </c>
      <c r="K4" s="3">
        <v>46300</v>
      </c>
      <c r="L4" s="12">
        <f ca="1">IF($O4="","",$O4-TODAY())</f>
        <v>131</v>
      </c>
      <c r="M4" s="12">
        <f ca="1">IF(AND(TRIM($A4)="Finalized",$K4&lt;&gt;""),"",IF($C4="","",$C4+365-TODAY()))</f>
        <v>198</v>
      </c>
      <c r="N4" s="12">
        <f ca="1">IF(AND(TRIM($A4)="Finalized",$K4&lt;&gt;""),"",IF($C4="","",$C4+120-TODAY()))</f>
        <v>-47</v>
      </c>
      <c r="O4" s="6">
        <f>IF(AND(TRIM($A4)="Finalized",$K4&lt;&gt;""),"",DATE(2027,2,13))</f>
        <v>46431</v>
      </c>
      <c r="P4" s="5" t="s">
        <v>49</v>
      </c>
      <c r="Q4" s="5" t="s">
        <v>90</v>
      </c>
      <c r="R4" s="5" t="s">
        <v>49</v>
      </c>
      <c r="S4" s="5" t="s">
        <v>50</v>
      </c>
      <c r="T4" s="5" t="s">
        <v>91</v>
      </c>
      <c r="U4" s="5" t="s">
        <v>50</v>
      </c>
      <c r="V4" s="5" t="s">
        <v>100</v>
      </c>
      <c r="W4" s="5"/>
      <c r="X4" s="5"/>
      <c r="Y4" s="5" t="s">
        <v>103</v>
      </c>
      <c r="Z4" s="7">
        <v>72707.600000000006</v>
      </c>
      <c r="AA4" s="7">
        <v>62032.38</v>
      </c>
      <c r="AB4" s="7">
        <v>8505.4599999999991</v>
      </c>
      <c r="AC4" s="6">
        <v>46133</v>
      </c>
      <c r="AD4" s="7">
        <v>2169.7600000000002</v>
      </c>
      <c r="AE4" s="4">
        <v>176</v>
      </c>
      <c r="AF4" s="5" t="s">
        <v>94</v>
      </c>
      <c r="AG4" s="5" t="s">
        <v>104</v>
      </c>
      <c r="AH4" s="5" t="s">
        <v>105</v>
      </c>
      <c r="AI4" s="5"/>
      <c r="AJ4" s="4">
        <v>563428910</v>
      </c>
      <c r="AK4" s="5" t="s">
        <v>95</v>
      </c>
      <c r="AL4" s="5" t="s">
        <v>96</v>
      </c>
      <c r="AM4" s="6">
        <v>46077</v>
      </c>
      <c r="AN4" s="5" t="s">
        <v>97</v>
      </c>
    </row>
    <row r="5" spans="1:40" x14ac:dyDescent="0.25">
      <c r="A5" s="2" t="s">
        <v>131</v>
      </c>
      <c r="B5" s="2" t="s">
        <v>132</v>
      </c>
      <c r="C5" s="3">
        <v>46227</v>
      </c>
      <c r="D5" s="4">
        <v>565140993</v>
      </c>
      <c r="E5" s="5" t="s">
        <v>133</v>
      </c>
      <c r="F5" s="6">
        <v>46069</v>
      </c>
      <c r="G5" s="5" t="s">
        <v>43</v>
      </c>
      <c r="H5" s="5" t="s">
        <v>43</v>
      </c>
      <c r="I5" s="5" t="s">
        <v>44</v>
      </c>
      <c r="J5" s="5" t="s">
        <v>134</v>
      </c>
      <c r="K5" s="3">
        <v>46196</v>
      </c>
      <c r="L5" s="12">
        <f ca="1">IF($O5="","",$O5-TODAY())</f>
        <v>-141</v>
      </c>
      <c r="M5" s="12">
        <f ca="1">IF(AND(TRIM($A5)="Finalized",$K5&lt;&gt;""),"",IF($F5="","",$F5+90-TODAY()))</f>
        <v>-141</v>
      </c>
      <c r="N5" s="12">
        <f ca="1">IF(AND(TRIM($A5)="Finalized",$K5&lt;&gt;""),"",IF($C5="","",$C5+365-TODAY()))</f>
        <v>292</v>
      </c>
      <c r="O5" s="6">
        <f>IF(AND(TRIM($A5)="Finalized",$K5&lt;&gt;""),"",DATE(2026,5,17))</f>
        <v>46159</v>
      </c>
      <c r="P5" s="5" t="s">
        <v>46</v>
      </c>
      <c r="Q5" s="5" t="s">
        <v>47</v>
      </c>
      <c r="R5" s="5" t="s">
        <v>46</v>
      </c>
      <c r="S5" s="5" t="s">
        <v>48</v>
      </c>
      <c r="T5" s="5" t="s">
        <v>49</v>
      </c>
      <c r="U5" s="5" t="s">
        <v>50</v>
      </c>
      <c r="V5" s="5" t="s">
        <v>109</v>
      </c>
      <c r="W5" s="5"/>
      <c r="X5" s="5"/>
      <c r="Y5" s="5" t="s">
        <v>51</v>
      </c>
      <c r="Z5" s="7">
        <v>5492.55</v>
      </c>
      <c r="AA5" s="7">
        <v>0</v>
      </c>
      <c r="AB5" s="7">
        <v>0</v>
      </c>
      <c r="AC5" s="6"/>
      <c r="AD5" s="7">
        <v>5492.55</v>
      </c>
      <c r="AE5" s="4">
        <v>173</v>
      </c>
      <c r="AF5" s="5" t="s">
        <v>135</v>
      </c>
      <c r="AG5" s="5" t="s">
        <v>136</v>
      </c>
      <c r="AH5" s="5"/>
      <c r="AI5" s="5"/>
      <c r="AJ5" s="4"/>
      <c r="AK5" s="5" t="s">
        <v>137</v>
      </c>
      <c r="AL5" s="5" t="s">
        <v>138</v>
      </c>
      <c r="AM5" s="6">
        <v>46080</v>
      </c>
      <c r="AN5" s="5" t="s">
        <v>97</v>
      </c>
    </row>
    <row r="6" spans="1:40" x14ac:dyDescent="0.25">
      <c r="A6" s="2" t="s">
        <v>40</v>
      </c>
      <c r="B6" s="2" t="s">
        <v>139</v>
      </c>
      <c r="C6" s="3">
        <v>46106</v>
      </c>
      <c r="D6" s="4">
        <v>550530483</v>
      </c>
      <c r="E6" s="5" t="s">
        <v>140</v>
      </c>
      <c r="F6" s="6">
        <v>46072</v>
      </c>
      <c r="G6" s="5" t="s">
        <v>141</v>
      </c>
      <c r="H6" s="5" t="s">
        <v>141</v>
      </c>
      <c r="I6" s="5" t="s">
        <v>44</v>
      </c>
      <c r="J6" s="5" t="s">
        <v>89</v>
      </c>
      <c r="K6" s="3">
        <v>46197</v>
      </c>
      <c r="L6" s="12">
        <f ca="1">IF($O6="","",$O6-TODAY())</f>
        <v>-138</v>
      </c>
      <c r="M6" s="12">
        <f ca="1">IF(AND(TRIM($A6)="Finalized",$K6&lt;&gt;""),"",IF($C6="","",$C6+180-TODAY()))</f>
        <v>-14</v>
      </c>
      <c r="N6" s="12">
        <f ca="1">IF(AND(TRIM($A6)="Finalized",$K6&lt;&gt;""),"",IF($C6="","",$C6+365-TODAY()))</f>
        <v>171</v>
      </c>
      <c r="O6" s="6">
        <f>IF(AND(TRIM($A6)="Finalized",$K6&lt;&gt;""),"",DATE(2026,5,20))</f>
        <v>46162</v>
      </c>
      <c r="P6" s="5" t="s">
        <v>46</v>
      </c>
      <c r="Q6" s="5" t="s">
        <v>142</v>
      </c>
      <c r="R6" s="5" t="s">
        <v>143</v>
      </c>
      <c r="S6" s="5" t="s">
        <v>50</v>
      </c>
      <c r="T6" s="5" t="s">
        <v>49</v>
      </c>
      <c r="U6" s="5" t="s">
        <v>50</v>
      </c>
      <c r="V6" s="5" t="s">
        <v>92</v>
      </c>
      <c r="W6" s="5"/>
      <c r="X6" s="5"/>
      <c r="Y6" s="5" t="s">
        <v>93</v>
      </c>
      <c r="Z6" s="7">
        <v>5916.4</v>
      </c>
      <c r="AA6" s="7">
        <v>0</v>
      </c>
      <c r="AB6" s="7">
        <v>0</v>
      </c>
      <c r="AC6" s="6">
        <v>46106</v>
      </c>
      <c r="AD6" s="7">
        <v>5916.4</v>
      </c>
      <c r="AE6" s="4">
        <v>170</v>
      </c>
      <c r="AF6" s="5" t="s">
        <v>94</v>
      </c>
      <c r="AG6" s="5" t="s">
        <v>144</v>
      </c>
      <c r="AH6" s="5"/>
      <c r="AI6" s="5"/>
      <c r="AJ6" s="4"/>
      <c r="AK6" s="5" t="s">
        <v>145</v>
      </c>
      <c r="AL6" s="5" t="s">
        <v>60</v>
      </c>
      <c r="AM6" s="6">
        <v>46077</v>
      </c>
      <c r="AN6" s="5" t="s">
        <v>97</v>
      </c>
    </row>
    <row r="7" spans="1:40" x14ac:dyDescent="0.25">
      <c r="A7" s="2" t="s">
        <v>40</v>
      </c>
      <c r="B7" s="2" t="s">
        <v>146</v>
      </c>
      <c r="C7" s="3">
        <v>46149</v>
      </c>
      <c r="D7" s="4">
        <v>556897081</v>
      </c>
      <c r="E7" s="5" t="s">
        <v>147</v>
      </c>
      <c r="F7" s="6">
        <v>46062</v>
      </c>
      <c r="G7" s="5" t="s">
        <v>148</v>
      </c>
      <c r="H7" s="5" t="s">
        <v>148</v>
      </c>
      <c r="I7" s="5" t="s">
        <v>44</v>
      </c>
      <c r="J7" s="5" t="s">
        <v>149</v>
      </c>
      <c r="K7" s="3">
        <v>46134</v>
      </c>
      <c r="L7" s="12" t="str">
        <f ca="1">IF($O7="","",$O7-TODAY())</f>
        <v/>
      </c>
      <c r="M7" s="12"/>
      <c r="N7" s="12"/>
      <c r="O7" s="6"/>
      <c r="P7" s="5"/>
      <c r="Q7" s="5" t="s">
        <v>150</v>
      </c>
      <c r="R7" s="5"/>
      <c r="S7" s="5"/>
      <c r="T7" s="5"/>
      <c r="U7" s="5"/>
      <c r="V7" s="5" t="s">
        <v>100</v>
      </c>
      <c r="W7" s="5"/>
      <c r="X7" s="5"/>
      <c r="Y7" s="5" t="s">
        <v>93</v>
      </c>
      <c r="Z7" s="7">
        <v>5424.4</v>
      </c>
      <c r="AA7" s="7">
        <v>0</v>
      </c>
      <c r="AB7" s="7">
        <v>0</v>
      </c>
      <c r="AC7" s="6">
        <v>46149</v>
      </c>
      <c r="AD7" s="7">
        <v>5424.4</v>
      </c>
      <c r="AE7" s="4">
        <v>180</v>
      </c>
      <c r="AF7" s="5" t="s">
        <v>94</v>
      </c>
      <c r="AG7" s="5"/>
      <c r="AH7" s="5"/>
      <c r="AI7" s="5"/>
      <c r="AJ7" s="4"/>
      <c r="AK7" s="5" t="s">
        <v>151</v>
      </c>
      <c r="AL7" s="5" t="s">
        <v>54</v>
      </c>
      <c r="AM7" s="6">
        <v>46063</v>
      </c>
      <c r="AN7" s="5" t="s">
        <v>97</v>
      </c>
    </row>
    <row r="8" spans="1:40" x14ac:dyDescent="0.25">
      <c r="A8" s="2" t="s">
        <v>40</v>
      </c>
      <c r="B8" s="2" t="s">
        <v>152</v>
      </c>
      <c r="C8" s="3">
        <v>46112</v>
      </c>
      <c r="D8" s="4">
        <v>553079628</v>
      </c>
      <c r="E8" s="5" t="s">
        <v>153</v>
      </c>
      <c r="F8" s="6">
        <v>46064</v>
      </c>
      <c r="G8" s="5" t="s">
        <v>148</v>
      </c>
      <c r="H8" s="5" t="s">
        <v>148</v>
      </c>
      <c r="I8" s="5" t="s">
        <v>44</v>
      </c>
      <c r="J8" s="5" t="s">
        <v>154</v>
      </c>
      <c r="K8" s="3">
        <v>46244</v>
      </c>
      <c r="L8" s="12" t="str">
        <f ca="1">IF($O8="","",$O8-TODAY())</f>
        <v/>
      </c>
      <c r="M8" s="12"/>
      <c r="N8" s="12"/>
      <c r="O8" s="6"/>
      <c r="P8" s="5"/>
      <c r="Q8" s="5" t="s">
        <v>150</v>
      </c>
      <c r="R8" s="5"/>
      <c r="S8" s="5"/>
      <c r="T8" s="5"/>
      <c r="U8" s="5"/>
      <c r="V8" s="5" t="s">
        <v>92</v>
      </c>
      <c r="W8" s="5"/>
      <c r="X8" s="5"/>
      <c r="Y8" s="5" t="s">
        <v>118</v>
      </c>
      <c r="Z8" s="7">
        <v>18176.900000000001</v>
      </c>
      <c r="AA8" s="7">
        <v>0</v>
      </c>
      <c r="AB8" s="7">
        <v>0</v>
      </c>
      <c r="AC8" s="6">
        <v>46112</v>
      </c>
      <c r="AD8" s="7">
        <v>18176.900000000001</v>
      </c>
      <c r="AE8" s="4">
        <v>178</v>
      </c>
      <c r="AF8" s="5" t="s">
        <v>94</v>
      </c>
      <c r="AG8" s="5" t="s">
        <v>155</v>
      </c>
      <c r="AH8" s="5"/>
      <c r="AI8" s="5"/>
      <c r="AJ8" s="4"/>
      <c r="AK8" s="5" t="s">
        <v>156</v>
      </c>
      <c r="AL8" s="5" t="s">
        <v>157</v>
      </c>
      <c r="AM8" s="6">
        <v>46099</v>
      </c>
      <c r="AN8" s="5" t="s">
        <v>97</v>
      </c>
    </row>
    <row r="9" spans="1:40" x14ac:dyDescent="0.25">
      <c r="A9" s="2" t="s">
        <v>61</v>
      </c>
      <c r="B9" s="2" t="s">
        <v>308</v>
      </c>
      <c r="C9" s="3">
        <v>46133</v>
      </c>
      <c r="D9" s="4">
        <v>553677900</v>
      </c>
      <c r="E9" s="5" t="s">
        <v>98</v>
      </c>
      <c r="F9" s="6">
        <v>46063</v>
      </c>
      <c r="G9" s="5" t="s">
        <v>88</v>
      </c>
      <c r="H9" s="5" t="s">
        <v>88</v>
      </c>
      <c r="I9" s="5" t="s">
        <v>43</v>
      </c>
      <c r="J9" s="5" t="s">
        <v>99</v>
      </c>
      <c r="K9" s="3">
        <v>46300</v>
      </c>
      <c t="str" r="L9" s="12">
        <f ca="1">IF($O9="","",$O9-TODAY())</f>
        <v/>
      </c>
      <c t="str" r="M9" s="12">
        <f ca="1">IF(AND(TRIM($A9)="Finalized",$K9&lt;&gt;""),"",IF($C9="","",$C9+365-TODAY()))</f>
        <v/>
      </c>
      <c t="str" r="N9" s="12">
        <f ca="1">IF(AND(TRIM($A9)="Finalized",$K9&lt;&gt;""),"",IF($C9="","",$C9+120-TODAY()))</f>
        <v/>
      </c>
      <c t="str" r="O9" s="6">
        <f>IF(AND(TRIM($A9)="Finalized",$K9&lt;&gt;""),"",DATE(2027,2,10))</f>
        <v/>
      </c>
      <c r="P9" s="5" t="s">
        <v>49</v>
      </c>
      <c r="Q9" s="5" t="s">
        <v>90</v>
      </c>
      <c r="R9" s="5" t="s">
        <v>49</v>
      </c>
      <c r="S9" s="5" t="s">
        <v>50</v>
      </c>
      <c r="T9" s="5" t="s">
        <v>91</v>
      </c>
      <c r="U9" s="5" t="s">
        <v>50</v>
      </c>
      <c r="V9" s="5" t="s">
        <v>100</v>
      </c>
      <c r="W9" s="5"/>
      <c r="X9" s="5"/>
      <c r="Y9" s="5" t="s">
        <v>93</v>
      </c>
      <c r="Z9" s="7">
        <v>5916.4</v>
      </c>
      <c r="AA9" s="7">
        <v>0</v>
      </c>
      <c r="AB9" s="7">
        <v>0</v>
      </c>
      <c r="AC9" s="6">
        <v>46133</v>
      </c>
      <c r="AD9" s="7">
        <v>5916.4</v>
      </c>
      <c r="AE9" s="4">
        <v>179</v>
      </c>
      <c r="AF9" s="5" t="s">
        <v>94</v>
      </c>
      <c r="AG9" s="5"/>
      <c r="AH9" s="5"/>
      <c r="AI9" s="5"/>
      <c r="AJ9" s="4"/>
      <c r="AK9" s="5" t="s">
        <v>95</v>
      </c>
      <c r="AL9" s="5" t="s">
        <v>96</v>
      </c>
      <c r="AM9" s="6">
        <v>46105</v>
      </c>
      <c r="AN9" s="5" t="s">
        <v>97</v>
      </c>
    </row>
    <row r="10" spans="1:40" x14ac:dyDescent="0.25">
      <c r="A10" s="2" t="s">
        <v>61</v>
      </c>
      <c r="B10" s="2" t="s">
        <v>310</v>
      </c>
      <c r="C10" s="3">
        <v>46121</v>
      </c>
      <c r="D10" s="4">
        <v>553095408</v>
      </c>
      <c r="E10" s="5" t="s">
        <v>115</v>
      </c>
      <c r="F10" s="6">
        <v>46069</v>
      </c>
      <c r="G10" s="5" t="s">
        <v>116</v>
      </c>
      <c r="H10" s="5" t="s">
        <v>88</v>
      </c>
      <c r="I10" s="5" t="s">
        <v>116</v>
      </c>
      <c r="J10" s="5" t="s">
        <v>117</v>
      </c>
      <c r="K10" s="3">
        <v>46246</v>
      </c>
      <c t="str" r="L10" s="12">
        <f ca="1">IF($O10="","",$O10-TODAY())</f>
        <v/>
      </c>
      <c t="str" r="M10" s="12">
        <f ca="1">IF(AND(TRIM($A10)="Finalized",$K10&lt;&gt;""),"",IF($C10="","",$C10+365-TODAY()))</f>
        <v/>
      </c>
      <c t="str" r="N10" s="12">
        <f ca="1">IF(AND(TRIM($A10)="Finalized",$K10&lt;&gt;""),"",IF($C10="","",$C10+120-TODAY()))</f>
        <v/>
      </c>
      <c t="str" r="O10" s="6">
        <f>IF(AND(TRIM($A10)="Finalized",$K10&lt;&gt;""),"",DATE(2027,2,16))</f>
        <v/>
      </c>
      <c r="P10" s="5" t="s">
        <v>49</v>
      </c>
      <c r="Q10" s="5" t="s">
        <v>90</v>
      </c>
      <c r="R10" s="5" t="s">
        <v>49</v>
      </c>
      <c r="S10" s="5" t="s">
        <v>50</v>
      </c>
      <c r="T10" s="5" t="s">
        <v>91</v>
      </c>
      <c r="U10" s="5" t="s">
        <v>50</v>
      </c>
      <c r="V10" s="5" t="s">
        <v>100</v>
      </c>
      <c r="W10" s="5"/>
      <c r="X10" s="5"/>
      <c r="Y10" s="5" t="s">
        <v>118</v>
      </c>
      <c r="Z10" s="7">
        <v>18176.900000000001</v>
      </c>
      <c r="AA10" s="7">
        <v>15508.1</v>
      </c>
      <c r="AB10" s="7">
        <v>542.44000000000005</v>
      </c>
      <c r="AC10" s="6">
        <v>46121</v>
      </c>
      <c r="AD10" s="7">
        <v>2126.36</v>
      </c>
      <c r="AE10" s="4">
        <v>173</v>
      </c>
      <c r="AF10" s="5" t="s">
        <v>94</v>
      </c>
      <c r="AG10" s="5" t="s">
        <v>105</v>
      </c>
      <c r="AH10" s="5"/>
      <c r="AI10" s="5"/>
      <c r="AJ10" s="4">
        <v>557144068</v>
      </c>
      <c r="AK10" s="5" t="s">
        <v>119</v>
      </c>
      <c r="AL10" s="5" t="s">
        <v>120</v>
      </c>
      <c r="AM10" s="6">
        <v>46099</v>
      </c>
      <c r="AN10" s="5" t="s">
        <v>97</v>
      </c>
    </row>
    <row r="11" spans="1:40" x14ac:dyDescent="0.25">
      <c r="A11" s="2" t="s">
        <v>61</v>
      </c>
      <c r="B11" s="2" t="s">
        <v>311</v>
      </c>
      <c r="C11" s="3">
        <v>46101</v>
      </c>
      <c r="D11" s="4">
        <v>550127169</v>
      </c>
      <c r="E11" s="5" t="s">
        <v>121</v>
      </c>
      <c r="F11" s="6">
        <v>46071</v>
      </c>
      <c r="G11" s="5" t="s">
        <v>88</v>
      </c>
      <c r="H11" s="5" t="s">
        <v>88</v>
      </c>
      <c r="I11" s="5" t="s">
        <v>122</v>
      </c>
      <c r="J11" s="5" t="s">
        <v>123</v>
      </c>
      <c r="K11" s="3">
        <v>46300</v>
      </c>
      <c t="str" r="L11" s="12">
        <f ca="1">IF($O11="","",$O11-TODAY())</f>
        <v/>
      </c>
      <c t="str" r="M11" s="12">
        <f ca="1">IF(AND(TRIM($A11)="Finalized",$K11&lt;&gt;""),"",IF($C11="","",$C11+365-TODAY()))</f>
        <v/>
      </c>
      <c t="str" r="N11" s="12">
        <f ca="1">IF(AND(TRIM($A11)="Finalized",$K11&lt;&gt;""),"",IF($C11="","",$C11+120-TODAY()))</f>
        <v/>
      </c>
      <c t="str" r="O11" s="6">
        <f>IF(AND(TRIM($A11)="Finalized",$K11&lt;&gt;""),"",DATE(2027,2,18))</f>
        <v/>
      </c>
      <c r="P11" s="5" t="s">
        <v>49</v>
      </c>
      <c r="Q11" s="5" t="s">
        <v>90</v>
      </c>
      <c r="R11" s="5" t="s">
        <v>49</v>
      </c>
      <c r="S11" s="5" t="s">
        <v>50</v>
      </c>
      <c r="T11" s="5" t="s">
        <v>91</v>
      </c>
      <c r="U11" s="5" t="s">
        <v>50</v>
      </c>
      <c r="V11" s="5" t="s">
        <v>109</v>
      </c>
      <c r="W11" s="5"/>
      <c r="X11" s="5"/>
      <c r="Y11" s="5" t="s">
        <v>51</v>
      </c>
      <c r="Z11" s="7">
        <v>6392.96</v>
      </c>
      <c r="AA11" s="7">
        <v>0</v>
      </c>
      <c r="AB11" s="7">
        <v>0</v>
      </c>
      <c r="AC11" s="6">
        <v>46101</v>
      </c>
      <c r="AD11" s="7">
        <v>6392.96</v>
      </c>
      <c r="AE11" s="4">
        <v>171</v>
      </c>
      <c r="AF11" s="5" t="s">
        <v>124</v>
      </c>
      <c r="AG11" s="5"/>
      <c r="AH11" s="5"/>
      <c r="AI11" s="5"/>
      <c r="AJ11" s="4"/>
      <c r="AK11" s="5" t="s">
        <v>125</v>
      </c>
      <c r="AL11" s="5" t="s">
        <v>126</v>
      </c>
      <c r="AM11" s="6">
        <v>46093</v>
      </c>
      <c r="AN11" s="5" t="s">
        <v>97</v>
      </c>
    </row>
  </sheetData>
  <autoFilter ref="A1:AN11" xr:uid="{00000000-0009-0000-0000-000001000000}"/>
  <conditionalFormatting sqref="L2:O1000">
    <cfRule type="expression" dxfId="101" priority="1" stopIfTrue="1">
      <formula>AND(TRIM($A2)="Finalized",$K2&lt;&gt;"")</formula>
    </cfRule>
  </conditionalFormatting>
  <conditionalFormatting sqref="L2:L11">
    <cfRule type="expression" dxfId="79" priority="2">
      <formula>AND($L2&lt;&gt;"", $L2&gt;=0, $L2&lt;=5)</formula>
    </cfRule>
    <cfRule type="expression" dxfId="78" priority="3">
      <formula>AND($L2&lt;&gt;"", $L2&gt;5, $L2&lt;=30)</formula>
    </cfRule>
    <cfRule type="expression" dxfId="77" priority="4">
      <formula>AND($L2&lt;&gt;"", $L2&gt;30)</formula>
    </cfRule>
    <cfRule type="expression" dxfId="76" priority="5">
      <formula>AND($L2&lt;&gt;"", $L2&lt;0)</formula>
    </cfRule>
    <cfRule type="expression" dxfId="75" priority="6">
      <formula>$L2=""</formula>
    </cfRule>
  </conditionalFormatting>
  <conditionalFormatting sqref="M2:M11">
    <cfRule type="expression" dxfId="74" priority="7">
      <formula>AND($M2&lt;&gt;"", $M2&gt;=0, $M2&lt;=5)</formula>
    </cfRule>
    <cfRule type="expression" dxfId="73" priority="8">
      <formula>AND($M2&lt;&gt;"", $M2&gt;5, $M2&lt;=30)</formula>
    </cfRule>
    <cfRule type="expression" dxfId="72" priority="9">
      <formula>AND($M2&lt;&gt;"", $M2&gt;30)</formula>
    </cfRule>
    <cfRule type="expression" dxfId="71" priority="10">
      <formula>AND($M2&lt;&gt;"", $M2&lt;0)</formula>
    </cfRule>
    <cfRule type="expression" dxfId="70" priority="11">
      <formula>$M2=""</formula>
    </cfRule>
  </conditionalFormatting>
  <conditionalFormatting sqref="N2:N11">
    <cfRule type="expression" dxfId="69" priority="12">
      <formula>AND($N2&lt;&gt;"", $N2&gt;=0, $N2&lt;=5)</formula>
    </cfRule>
    <cfRule type="expression" dxfId="68" priority="13">
      <formula>AND($N2&lt;&gt;"", $N2&gt;5, $N2&lt;=30)</formula>
    </cfRule>
    <cfRule type="expression" dxfId="67" priority="14">
      <formula>AND($N2&lt;&gt;"", $N2&gt;30)</formula>
    </cfRule>
    <cfRule type="expression" dxfId="66" priority="15">
      <formula>AND($N2&lt;&gt;"", $N2&lt;0)</formula>
    </cfRule>
    <cfRule type="expression" dxfId="65" priority="16">
      <formula>$N2=""</formula>
    </cfRule>
  </conditionalFormatting>
  <conditionalFormatting sqref="O2:U11">
    <cfRule type="expression" dxfId="64" priority="17">
      <formula>AND($L2&lt;&gt;"", $L2&gt;=0, $L2&lt;=5)</formula>
    </cfRule>
    <cfRule type="expression" dxfId="63" priority="18">
      <formula>AND($L2&lt;&gt;"", $L2&gt;5, $L2&lt;=30)</formula>
    </cfRule>
    <cfRule type="expression" dxfId="62" priority="19">
      <formula>AND($L2&lt;&gt;"", $L2&gt;30)</formula>
    </cfRule>
    <cfRule type="expression" dxfId="61" priority="20">
      <formula>AND($L2&lt;&gt;"", $L2&lt;0)</formula>
    </cfRule>
    <cfRule type="expression" dxfId="6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disablePrompts="1"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N6"/>
  <sheetViews>
    <sheetView zoomScale="90" workbookViewId="0">
      <pane xSplit="2" ySplit="1" topLeftCell="C2" activePane="bottomRight" state="frozen"/>
      <selection pane="topRight"/>
      <selection pane="bottomLeft"/>
      <selection pane="bottomRight"/>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1.28515625" customWidth="1"/>
    <col min="8" max="8" width="30.85546875" customWidth="1"/>
    <col min="9" max="9" width="40" hidden="1" customWidth="1"/>
    <col min="10" max="10" width="42" customWidth="1"/>
    <col min="11" max="11" width="14" customWidth="1"/>
    <col min="12" max="12" width="12" customWidth="1"/>
    <col min="13" max="13" width="18.5703125" customWidth="1"/>
    <col min="14" max="14" width="14.855468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158</v>
      </c>
      <c r="B2" s="2"/>
      <c r="C2" s="3">
        <v>46135</v>
      </c>
      <c r="D2" s="4">
        <v>549217008</v>
      </c>
      <c r="E2" s="5" t="s">
        <v>159</v>
      </c>
      <c r="F2" s="6">
        <v>46055</v>
      </c>
      <c r="G2" s="5" t="s">
        <v>160</v>
      </c>
      <c r="H2" s="5" t="s">
        <v>161</v>
      </c>
      <c r="I2" s="5" t="s">
        <v>160</v>
      </c>
      <c r="J2" s="5" t="s">
        <v>162</v>
      </c>
      <c r="K2" s="3"/>
      <c r="L2" s="12">
        <f ca="1">IF($O2="","",$O2-TODAY())</f>
        <v>120</v>
      </c>
      <c r="M2" s="12">
        <f ca="1">IF(AND(TRIM($A2)="Finalized",$K2&lt;&gt;""),"",IF($C2="","",$C2+365-TODAY()))</f>
        <v>200</v>
      </c>
      <c r="N2" s="12">
        <f ca="1">IF(AND(TRIM($A2)="Finalized",$K2&lt;&gt;""),"",IF($C2="","",$C2+120-TODAY()))</f>
        <v>-45</v>
      </c>
      <c r="O2" s="6">
        <f>IF(AND(TRIM($A2)="Finalized",$K2&lt;&gt;""),"",DATE(2027,2,2))</f>
        <v>46420</v>
      </c>
      <c r="P2" s="5" t="s">
        <v>49</v>
      </c>
      <c r="Q2" s="5" t="s">
        <v>90</v>
      </c>
      <c r="R2" s="5" t="s">
        <v>49</v>
      </c>
      <c r="S2" s="5" t="s">
        <v>50</v>
      </c>
      <c r="T2" s="5" t="s">
        <v>91</v>
      </c>
      <c r="U2" s="5" t="s">
        <v>50</v>
      </c>
      <c r="V2" s="5" t="s">
        <v>163</v>
      </c>
      <c r="W2" s="5" t="s">
        <v>164</v>
      </c>
      <c r="X2" s="5" t="s">
        <v>165</v>
      </c>
      <c r="Y2" s="5" t="s">
        <v>166</v>
      </c>
      <c r="Z2" s="7">
        <v>67599.91</v>
      </c>
      <c r="AA2" s="7">
        <v>66731.289999999994</v>
      </c>
      <c r="AB2" s="7">
        <v>867.75</v>
      </c>
      <c r="AC2" s="6">
        <v>46135</v>
      </c>
      <c r="AD2" s="7">
        <v>0.87</v>
      </c>
      <c r="AE2" s="4">
        <v>187</v>
      </c>
      <c r="AF2" s="5" t="s">
        <v>167</v>
      </c>
      <c r="AG2" s="5" t="s">
        <v>168</v>
      </c>
      <c r="AH2" s="5" t="s">
        <v>169</v>
      </c>
      <c r="AI2" s="5"/>
      <c r="AJ2" s="4">
        <v>551630132</v>
      </c>
      <c r="AK2" s="5" t="s">
        <v>170</v>
      </c>
      <c r="AL2" s="5" t="s">
        <v>171</v>
      </c>
      <c r="AM2" s="6">
        <v>46064</v>
      </c>
      <c r="AN2" s="5" t="s">
        <v>172</v>
      </c>
    </row>
    <row r="3" spans="1:40" x14ac:dyDescent="0.25">
      <c r="A3" s="2" t="s">
        <v>40</v>
      </c>
      <c r="B3" s="2" t="s">
        <v>173</v>
      </c>
      <c r="C3" s="3">
        <v>46155</v>
      </c>
      <c r="D3" s="4">
        <v>549217692</v>
      </c>
      <c r="E3" s="5" t="s">
        <v>174</v>
      </c>
      <c r="F3" s="6">
        <v>46055</v>
      </c>
      <c r="G3" s="5" t="s">
        <v>175</v>
      </c>
      <c r="H3" s="5" t="s">
        <v>175</v>
      </c>
      <c r="I3" s="5" t="s">
        <v>176</v>
      </c>
      <c r="J3" s="5" t="s">
        <v>177</v>
      </c>
      <c r="K3" s="3">
        <v>46142</v>
      </c>
      <c r="L3" s="12">
        <f ca="1">IF($O3="","",$O3-TODAY())</f>
        <v>120</v>
      </c>
      <c r="M3" s="12">
        <f ca="1">IF(AND(TRIM($A3)="Finalized",$K3&lt;&gt;""),"",IF($C3="","",$C3+180-TODAY()))</f>
        <v>35</v>
      </c>
      <c r="N3" s="12">
        <f ca="1">IF(AND(TRIM($A3)="Finalized",$K3&lt;&gt;""),"",IF($C3="","",$C3+365-TODAY()))</f>
        <v>220</v>
      </c>
      <c r="O3" s="6">
        <f>IF(AND(TRIM($A3)="Finalized",$K3&lt;&gt;""),"",DATE(2027,2,2))</f>
        <v>46420</v>
      </c>
      <c r="P3" s="5" t="s">
        <v>49</v>
      </c>
      <c r="Q3" s="5" t="s">
        <v>178</v>
      </c>
      <c r="R3" s="5" t="s">
        <v>143</v>
      </c>
      <c r="S3" s="5" t="s">
        <v>50</v>
      </c>
      <c r="T3" s="5" t="s">
        <v>49</v>
      </c>
      <c r="U3" s="5" t="s">
        <v>50</v>
      </c>
      <c r="V3" s="5" t="s">
        <v>163</v>
      </c>
      <c r="W3" s="5" t="s">
        <v>179</v>
      </c>
      <c r="X3" s="5" t="s">
        <v>165</v>
      </c>
      <c r="Y3" s="5" t="s">
        <v>180</v>
      </c>
      <c r="Z3" s="7">
        <v>14982.38</v>
      </c>
      <c r="AA3" s="7">
        <v>0</v>
      </c>
      <c r="AB3" s="7">
        <v>0</v>
      </c>
      <c r="AC3" s="6">
        <v>46155</v>
      </c>
      <c r="AD3" s="7">
        <v>14982.38</v>
      </c>
      <c r="AE3" s="4">
        <v>187</v>
      </c>
      <c r="AF3" s="5" t="s">
        <v>167</v>
      </c>
      <c r="AG3" s="5" t="s">
        <v>168</v>
      </c>
      <c r="AH3" s="5" t="s">
        <v>169</v>
      </c>
      <c r="AI3" s="5"/>
      <c r="AJ3" s="4"/>
      <c r="AK3" s="5" t="s">
        <v>170</v>
      </c>
      <c r="AL3" s="5" t="s">
        <v>171</v>
      </c>
      <c r="AM3" s="6">
        <v>46064</v>
      </c>
      <c r="AN3" s="5" t="s">
        <v>172</v>
      </c>
    </row>
    <row r="4" spans="1:40" x14ac:dyDescent="0.25">
      <c r="A4" s="2" t="s">
        <v>40</v>
      </c>
      <c r="B4" s="2" t="s">
        <v>181</v>
      </c>
      <c r="C4" s="3">
        <v>46126</v>
      </c>
      <c r="D4" s="4">
        <v>549219539</v>
      </c>
      <c r="E4" s="5" t="s">
        <v>182</v>
      </c>
      <c r="F4" s="6">
        <v>46062</v>
      </c>
      <c r="G4" s="5" t="s">
        <v>161</v>
      </c>
      <c r="H4" s="5" t="s">
        <v>161</v>
      </c>
      <c r="I4" s="5" t="s">
        <v>107</v>
      </c>
      <c r="J4" s="5" t="s">
        <v>183</v>
      </c>
      <c r="K4" s="3">
        <v>46258</v>
      </c>
      <c r="L4" s="12">
        <f ca="1">IF($O4="","",$O4-TODAY())</f>
        <v>127</v>
      </c>
      <c r="M4" s="12">
        <f ca="1">IF(AND(TRIM($A4)="Finalized",$K4&lt;&gt;""),"",IF($C4="","",$C4+365-TODAY()))</f>
        <v>191</v>
      </c>
      <c r="N4" s="12">
        <f ca="1">IF(AND(TRIM($A4)="Finalized",$K4&lt;&gt;""),"",IF($C4="","",$C4+120-TODAY()))</f>
        <v>-54</v>
      </c>
      <c r="O4" s="6">
        <f>IF(AND(TRIM($A4)="Finalized",$K4&lt;&gt;""),"",DATE(2027,2,9))</f>
        <v>46427</v>
      </c>
      <c r="P4" s="5" t="s">
        <v>49</v>
      </c>
      <c r="Q4" s="5" t="s">
        <v>90</v>
      </c>
      <c r="R4" s="5" t="s">
        <v>49</v>
      </c>
      <c r="S4" s="5" t="s">
        <v>50</v>
      </c>
      <c r="T4" s="5" t="s">
        <v>91</v>
      </c>
      <c r="U4" s="5" t="s">
        <v>50</v>
      </c>
      <c r="V4" s="5" t="s">
        <v>184</v>
      </c>
      <c r="W4" s="5"/>
      <c r="X4" s="5"/>
      <c r="Y4" s="5" t="s">
        <v>185</v>
      </c>
      <c r="Z4" s="7">
        <v>813.54</v>
      </c>
      <c r="AA4" s="7">
        <v>0</v>
      </c>
      <c r="AB4" s="7">
        <v>0</v>
      </c>
      <c r="AC4" s="6">
        <v>46126</v>
      </c>
      <c r="AD4" s="7">
        <v>813.54</v>
      </c>
      <c r="AE4" s="4">
        <v>180</v>
      </c>
      <c r="AF4" s="5" t="s">
        <v>169</v>
      </c>
      <c r="AG4" s="5" t="s">
        <v>168</v>
      </c>
      <c r="AH4" s="5"/>
      <c r="AI4" s="5"/>
      <c r="AJ4" s="4"/>
      <c r="AK4" s="5" t="s">
        <v>170</v>
      </c>
      <c r="AL4" s="5" t="s">
        <v>186</v>
      </c>
      <c r="AM4" s="6">
        <v>46065</v>
      </c>
      <c r="AN4" s="5" t="s">
        <v>172</v>
      </c>
    </row>
    <row r="5" spans="1:40" x14ac:dyDescent="0.25">
      <c r="A5" s="2" t="s">
        <v>40</v>
      </c>
      <c r="B5" s="2" t="s">
        <v>187</v>
      </c>
      <c r="C5" s="3">
        <v>46155</v>
      </c>
      <c r="D5" s="4">
        <v>551974048</v>
      </c>
      <c r="E5" s="5" t="s">
        <v>174</v>
      </c>
      <c r="F5" s="6">
        <v>46069</v>
      </c>
      <c r="G5" s="5" t="s">
        <v>175</v>
      </c>
      <c r="H5" s="5" t="s">
        <v>175</v>
      </c>
      <c r="I5" s="5" t="s">
        <v>176</v>
      </c>
      <c r="J5" s="5" t="s">
        <v>188</v>
      </c>
      <c r="K5" s="3">
        <v>46142</v>
      </c>
      <c r="L5" s="12">
        <f ca="1">IF($O5="","",$O5-TODAY())</f>
        <v>134</v>
      </c>
      <c r="M5" s="12">
        <f ca="1">IF(AND(TRIM($A5)="Finalized",$K5&lt;&gt;""),"",IF($C5="","",$C5+180-TODAY()))</f>
        <v>35</v>
      </c>
      <c r="N5" s="12">
        <f ca="1">IF(AND(TRIM($A5)="Finalized",$K5&lt;&gt;""),"",IF($C5="","",$C5+365-TODAY()))</f>
        <v>220</v>
      </c>
      <c r="O5" s="6">
        <f>IF(AND(TRIM($A5)="Finalized",$K5&lt;&gt;""),"",DATE(2027,2,16))</f>
        <v>46434</v>
      </c>
      <c r="P5" s="5" t="s">
        <v>49</v>
      </c>
      <c r="Q5" s="5" t="s">
        <v>178</v>
      </c>
      <c r="R5" s="5" t="s">
        <v>143</v>
      </c>
      <c r="S5" s="5" t="s">
        <v>50</v>
      </c>
      <c r="T5" s="5" t="s">
        <v>49</v>
      </c>
      <c r="U5" s="5" t="s">
        <v>50</v>
      </c>
      <c r="V5" s="5" t="s">
        <v>163</v>
      </c>
      <c r="W5" s="5" t="s">
        <v>179</v>
      </c>
      <c r="X5" s="5" t="s">
        <v>189</v>
      </c>
      <c r="Y5" s="5" t="s">
        <v>190</v>
      </c>
      <c r="Z5" s="7">
        <v>12959.73</v>
      </c>
      <c r="AA5" s="7">
        <v>0</v>
      </c>
      <c r="AB5" s="7">
        <v>0</v>
      </c>
      <c r="AC5" s="6">
        <v>46155</v>
      </c>
      <c r="AD5" s="7">
        <v>12959.73</v>
      </c>
      <c r="AE5" s="4">
        <v>173</v>
      </c>
      <c r="AF5" s="5" t="s">
        <v>191</v>
      </c>
      <c r="AG5" s="5" t="s">
        <v>168</v>
      </c>
      <c r="AH5" s="5" t="s">
        <v>192</v>
      </c>
      <c r="AI5" s="5"/>
      <c r="AJ5" s="4"/>
      <c r="AK5" s="5" t="s">
        <v>170</v>
      </c>
      <c r="AL5" s="5" t="s">
        <v>171</v>
      </c>
      <c r="AM5" s="6">
        <v>46090</v>
      </c>
      <c r="AN5" s="5" t="s">
        <v>172</v>
      </c>
    </row>
    <row r="6" spans="1:40" x14ac:dyDescent="0.25">
      <c r="A6" s="2" t="s">
        <v>40</v>
      </c>
      <c r="B6" s="2" t="s">
        <v>193</v>
      </c>
      <c r="C6" s="3">
        <v>46154</v>
      </c>
      <c r="D6" s="4">
        <v>557784595</v>
      </c>
      <c r="E6" s="5" t="s">
        <v>194</v>
      </c>
      <c r="F6" s="6">
        <v>46069</v>
      </c>
      <c r="G6" s="5" t="s">
        <v>43</v>
      </c>
      <c r="H6" s="5" t="s">
        <v>43</v>
      </c>
      <c r="I6" s="5" t="s">
        <v>44</v>
      </c>
      <c r="J6" s="5" t="s">
        <v>195</v>
      </c>
      <c r="K6" s="3">
        <v>46142</v>
      </c>
      <c r="L6" s="12">
        <f ca="1">IF($O6="","",$O6-TODAY())</f>
        <v>-141</v>
      </c>
      <c r="M6" s="12">
        <f ca="1">IF(AND(TRIM($A6)="Finalized",$K6&lt;&gt;""),"",IF($F6="","",$F6+90-TODAY()))</f>
        <v>-141</v>
      </c>
      <c r="N6" s="12">
        <f ca="1">IF(AND(TRIM($A6)="Finalized",$K6&lt;&gt;""),"",IF($C6="","",$C6+365-TODAY()))</f>
        <v>219</v>
      </c>
      <c r="O6" s="6">
        <f>IF(AND(TRIM($A6)="Finalized",$K6&lt;&gt;""),"",DATE(2026,5,17))</f>
        <v>46159</v>
      </c>
      <c r="P6" s="5" t="s">
        <v>46</v>
      </c>
      <c r="Q6" s="5" t="s">
        <v>47</v>
      </c>
      <c r="R6" s="5" t="s">
        <v>46</v>
      </c>
      <c r="S6" s="5" t="s">
        <v>48</v>
      </c>
      <c r="T6" s="5" t="s">
        <v>49</v>
      </c>
      <c r="U6" s="5" t="s">
        <v>50</v>
      </c>
      <c r="V6" s="5" t="s">
        <v>196</v>
      </c>
      <c r="W6" s="5" t="s">
        <v>189</v>
      </c>
      <c r="X6" s="5"/>
      <c r="Y6" s="5" t="s">
        <v>180</v>
      </c>
      <c r="Z6" s="7">
        <v>61320.35</v>
      </c>
      <c r="AA6" s="7">
        <v>0</v>
      </c>
      <c r="AB6" s="7">
        <v>0</v>
      </c>
      <c r="AC6" s="6">
        <v>46154</v>
      </c>
      <c r="AD6" s="7">
        <v>61320.35</v>
      </c>
      <c r="AE6" s="4">
        <v>173</v>
      </c>
      <c r="AF6" s="5" t="s">
        <v>191</v>
      </c>
      <c r="AG6" s="5" t="s">
        <v>168</v>
      </c>
      <c r="AH6" s="5" t="s">
        <v>192</v>
      </c>
      <c r="AI6" s="5"/>
      <c r="AJ6" s="4"/>
      <c r="AK6" s="5" t="s">
        <v>170</v>
      </c>
      <c r="AL6" s="5" t="s">
        <v>65</v>
      </c>
      <c r="AM6" s="6">
        <v>46090</v>
      </c>
      <c r="AN6" s="5" t="s">
        <v>172</v>
      </c>
    </row>
  </sheetData>
  <autoFilter ref="A1:AN6" xr:uid="{00000000-0009-0000-0000-000002000000}"/>
  <conditionalFormatting sqref="L2:O1000">
    <cfRule type="expression" dxfId="101" priority="1" stopIfTrue="1">
      <formula>AND(TRIM($A2)="Finalized",$K2&lt;&gt;"")</formula>
    </cfRule>
  </conditionalFormatting>
  <conditionalFormatting sqref="L2:L6">
    <cfRule type="expression" dxfId="59" priority="2">
      <formula>AND($L2&lt;&gt;"", $L2&gt;=0, $L2&lt;=5)</formula>
    </cfRule>
    <cfRule type="expression" dxfId="58" priority="3">
      <formula>AND($L2&lt;&gt;"", $L2&gt;5, $L2&lt;=30)</formula>
    </cfRule>
    <cfRule type="expression" dxfId="57" priority="4">
      <formula>AND($L2&lt;&gt;"", $L2&gt;30)</formula>
    </cfRule>
    <cfRule type="expression" dxfId="56" priority="5">
      <formula>AND($L2&lt;&gt;"", $L2&lt;0)</formula>
    </cfRule>
    <cfRule type="expression" dxfId="55" priority="6">
      <formula>$L2=""</formula>
    </cfRule>
  </conditionalFormatting>
  <conditionalFormatting sqref="M2:M6">
    <cfRule type="expression" dxfId="54" priority="7">
      <formula>AND($M2&lt;&gt;"", $M2&gt;=0, $M2&lt;=5)</formula>
    </cfRule>
    <cfRule type="expression" dxfId="53" priority="8">
      <formula>AND($M2&lt;&gt;"", $M2&gt;5, $M2&lt;=30)</formula>
    </cfRule>
    <cfRule type="expression" dxfId="52" priority="9">
      <formula>AND($M2&lt;&gt;"", $M2&gt;30)</formula>
    </cfRule>
    <cfRule type="expression" dxfId="51" priority="10">
      <formula>AND($M2&lt;&gt;"", $M2&lt;0)</formula>
    </cfRule>
    <cfRule type="expression" dxfId="50" priority="11">
      <formula>$M2=""</formula>
    </cfRule>
  </conditionalFormatting>
  <conditionalFormatting sqref="N2:N6">
    <cfRule type="expression" dxfId="49" priority="12">
      <formula>AND($N2&lt;&gt;"", $N2&gt;=0, $N2&lt;=5)</formula>
    </cfRule>
    <cfRule type="expression" dxfId="48" priority="13">
      <formula>AND($N2&lt;&gt;"", $N2&gt;5, $N2&lt;=30)</formula>
    </cfRule>
    <cfRule type="expression" dxfId="47" priority="14">
      <formula>AND($N2&lt;&gt;"", $N2&gt;30)</formula>
    </cfRule>
    <cfRule type="expression" dxfId="46" priority="15">
      <formula>AND($N2&lt;&gt;"", $N2&lt;0)</formula>
    </cfRule>
    <cfRule type="expression" dxfId="45" priority="16">
      <formula>$N2=""</formula>
    </cfRule>
  </conditionalFormatting>
  <conditionalFormatting sqref="O2:U6">
    <cfRule type="expression" dxfId="44" priority="17">
      <formula>AND($L2&lt;&gt;"", $L2&gt;=0, $L2&lt;=5)</formula>
    </cfRule>
    <cfRule type="expression" dxfId="43" priority="18">
      <formula>AND($L2&lt;&gt;"", $L2&gt;5, $L2&lt;=30)</formula>
    </cfRule>
    <cfRule type="expression" dxfId="42" priority="19">
      <formula>AND($L2&lt;&gt;"", $L2&gt;30)</formula>
    </cfRule>
    <cfRule type="expression" dxfId="41" priority="20">
      <formula>AND($L2&lt;&gt;"", $L2&lt;0)</formula>
    </cfRule>
    <cfRule type="expression" dxfId="4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N11"/>
  <sheetViews>
    <sheetView zoomScale="90" workbookViewId="0">
      <pane xSplit="2" ySplit="1" topLeftCell="C2" activePane="bottomRight" state="frozen"/>
      <selection pane="topRight"/>
      <selection pane="bottomLeft"/>
      <selection pane="bottomRight" activeCell="B6" sqref="B6"/>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37.5703125" customWidth="1"/>
    <col min="8" max="8" width="34" customWidth="1"/>
    <col min="9" max="9" width="40" hidden="1" customWidth="1"/>
    <col min="10" max="10" width="30.85546875" customWidth="1"/>
    <col min="11" max="11" width="14" customWidth="1"/>
    <col min="12" max="12" width="12" customWidth="1"/>
    <col min="13" max="13" width="18.7109375" customWidth="1"/>
    <col min="14" max="14" width="16.14062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61</v>
      </c>
      <c r="B2" s="2"/>
      <c r="C2" s="3">
        <v>46128</v>
      </c>
      <c r="D2" s="4">
        <v>549835748</v>
      </c>
      <c r="E2" s="5" t="s">
        <v>197</v>
      </c>
      <c r="F2" s="6">
        <v>46070</v>
      </c>
      <c r="G2" s="5" t="s">
        <v>198</v>
      </c>
      <c r="H2" s="5" t="s">
        <v>161</v>
      </c>
      <c r="I2" s="5" t="s">
        <v>198</v>
      </c>
      <c r="J2" s="5" t="s">
        <v>199</v>
      </c>
      <c r="K2" s="3"/>
      <c r="L2" s="12">
        <f ca="1">IF($O2="","",$O2-TODAY())</f>
        <v>135</v>
      </c>
      <c r="M2" s="12">
        <f ca="1">IF(AND(TRIM($A2)="Finalized",$K2&lt;&gt;""),"",IF($C2="","",$C2+365-TODAY()))</f>
        <v>193</v>
      </c>
      <c r="N2" s="12">
        <f ca="1">IF(AND(TRIM($A2)="Finalized",$K2&lt;&gt;""),"",IF($C2="","",$C2+120-TODAY()))</f>
        <v>-52</v>
      </c>
      <c r="O2" s="6">
        <f>IF(AND(TRIM($A2)="Finalized",$K2&lt;&gt;""),"",DATE(2027,2,17))</f>
        <v>46435</v>
      </c>
      <c r="P2" s="5" t="s">
        <v>49</v>
      </c>
      <c r="Q2" s="5" t="s">
        <v>90</v>
      </c>
      <c r="R2" s="5" t="s">
        <v>49</v>
      </c>
      <c r="S2" s="5" t="s">
        <v>50</v>
      </c>
      <c r="T2" s="5" t="s">
        <v>91</v>
      </c>
      <c r="U2" s="5" t="s">
        <v>50</v>
      </c>
      <c r="V2" s="5"/>
      <c r="W2" s="5"/>
      <c r="X2" s="5"/>
      <c r="Y2" s="5" t="s">
        <v>51</v>
      </c>
      <c r="Z2" s="7">
        <v>2493.33</v>
      </c>
      <c r="AA2" s="7">
        <v>2340.02</v>
      </c>
      <c r="AB2" s="7">
        <v>153.15</v>
      </c>
      <c r="AC2" s="6">
        <v>46128</v>
      </c>
      <c r="AD2" s="7">
        <v>0.16</v>
      </c>
      <c r="AE2" s="4">
        <v>172</v>
      </c>
      <c r="AF2" s="5" t="s">
        <v>105</v>
      </c>
      <c r="AG2" s="5" t="s">
        <v>200</v>
      </c>
      <c r="AH2" s="5"/>
      <c r="AI2" s="5"/>
      <c r="AJ2" s="4">
        <v>557765015</v>
      </c>
      <c r="AK2" s="5" t="s">
        <v>201</v>
      </c>
      <c r="AL2" s="5" t="s">
        <v>171</v>
      </c>
      <c r="AM2" s="6">
        <v>46072</v>
      </c>
      <c r="AN2" s="5" t="s">
        <v>202</v>
      </c>
    </row>
    <row r="3" spans="1:40" x14ac:dyDescent="0.25">
      <c r="A3" s="2" t="s">
        <v>158</v>
      </c>
      <c r="B3" s="2" t="s">
        <v>226</v>
      </c>
      <c r="C3" s="3">
        <v>46212</v>
      </c>
      <c r="D3" s="4">
        <v>563274947</v>
      </c>
      <c r="E3" s="5" t="s">
        <v>133</v>
      </c>
      <c r="F3" s="6">
        <v>46079</v>
      </c>
      <c r="G3" s="5" t="s">
        <v>43</v>
      </c>
      <c r="H3" s="5" t="s">
        <v>43</v>
      </c>
      <c r="I3" s="5" t="s">
        <v>44</v>
      </c>
      <c r="J3" s="5" t="s">
        <v>227</v>
      </c>
      <c r="K3" s="3"/>
      <c r="L3" s="12">
        <f ca="1">IF($O3="","",$O3-TODAY())</f>
        <v>-131</v>
      </c>
      <c r="M3" s="12">
        <f ca="1">IF(AND(TRIM($A3)="Finalized",$K3&lt;&gt;""),"",IF($F3="","",$F3+90-TODAY()))</f>
        <v>-131</v>
      </c>
      <c r="N3" s="12">
        <f ca="1">IF(AND(TRIM($A3)="Finalized",$K3&lt;&gt;""),"",IF($C3="","",$C3+365-TODAY()))</f>
        <v>277</v>
      </c>
      <c r="O3" s="6">
        <f>IF(AND(TRIM($A3)="Finalized",$K3&lt;&gt;""),"",DATE(2026,5,27))</f>
        <v>46169</v>
      </c>
      <c r="P3" s="5" t="s">
        <v>46</v>
      </c>
      <c r="Q3" s="5" t="s">
        <v>47</v>
      </c>
      <c r="R3" s="5" t="s">
        <v>46</v>
      </c>
      <c r="S3" s="5" t="s">
        <v>48</v>
      </c>
      <c r="T3" s="5" t="s">
        <v>49</v>
      </c>
      <c r="U3" s="5" t="s">
        <v>50</v>
      </c>
      <c r="V3" s="5" t="s">
        <v>228</v>
      </c>
      <c r="W3" s="5"/>
      <c r="X3" s="5"/>
      <c r="Y3" s="5" t="s">
        <v>51</v>
      </c>
      <c r="Z3" s="7">
        <v>6709.36</v>
      </c>
      <c r="AA3" s="7">
        <v>0</v>
      </c>
      <c r="AB3" s="7">
        <v>0</v>
      </c>
      <c r="AC3" s="6">
        <v>46212</v>
      </c>
      <c r="AD3" s="7">
        <v>6709.36</v>
      </c>
      <c r="AE3" s="4">
        <v>163</v>
      </c>
      <c r="AF3" s="5" t="s">
        <v>213</v>
      </c>
      <c r="AG3" s="5" t="s">
        <v>229</v>
      </c>
      <c r="AH3" s="5"/>
      <c r="AI3" s="5"/>
      <c r="AJ3" s="4"/>
      <c r="AK3" s="5" t="s">
        <v>137</v>
      </c>
      <c r="AL3" s="5" t="s">
        <v>230</v>
      </c>
      <c r="AM3" s="6">
        <v>46092</v>
      </c>
      <c r="AN3" s="5" t="s">
        <v>202</v>
      </c>
    </row>
    <row r="4" spans="1:40" x14ac:dyDescent="0.25">
      <c r="A4" s="2" t="s">
        <v>203</v>
      </c>
      <c r="B4" s="2" t="s">
        <v>204</v>
      </c>
      <c r="C4" s="3">
        <v>46091</v>
      </c>
      <c r="D4" s="4">
        <v>550306697</v>
      </c>
      <c r="E4" s="5" t="s">
        <v>205</v>
      </c>
      <c r="F4" s="6">
        <v>46073</v>
      </c>
      <c r="G4" s="5" t="s">
        <v>43</v>
      </c>
      <c r="H4" s="5" t="s">
        <v>161</v>
      </c>
      <c r="I4" s="5" t="s">
        <v>43</v>
      </c>
      <c r="J4" s="5" t="s">
        <v>199</v>
      </c>
      <c r="K4" s="3">
        <v>46251</v>
      </c>
      <c r="L4" s="12">
        <f ca="1">IF($O4="","",$O4-TODAY())</f>
        <v>138</v>
      </c>
      <c r="M4" s="12">
        <f ca="1">IF(AND(TRIM($A4)="Finalized",$K4&lt;&gt;""),"",IF($C4="","",$C4+365-TODAY()))</f>
        <v>156</v>
      </c>
      <c r="N4" s="12">
        <f ca="1">IF(AND(TRIM($A4)="Finalized",$K4&lt;&gt;""),"",IF($C4="","",$C4+120-TODAY()))</f>
        <v>-89</v>
      </c>
      <c r="O4" s="6">
        <f>IF(AND(TRIM($A4)="Finalized",$K4&lt;&gt;""),"",DATE(2027,2,20))</f>
        <v>46438</v>
      </c>
      <c r="P4" s="5" t="s">
        <v>49</v>
      </c>
      <c r="Q4" s="5" t="s">
        <v>90</v>
      </c>
      <c r="R4" s="5" t="s">
        <v>49</v>
      </c>
      <c r="S4" s="5" t="s">
        <v>50</v>
      </c>
      <c r="T4" s="5" t="s">
        <v>91</v>
      </c>
      <c r="U4" s="5" t="s">
        <v>50</v>
      </c>
      <c r="V4" s="5"/>
      <c r="W4" s="5"/>
      <c r="X4" s="5"/>
      <c r="Y4" s="5" t="s">
        <v>51</v>
      </c>
      <c r="Z4" s="7">
        <v>2493.33</v>
      </c>
      <c r="AA4" s="7">
        <v>2340.79</v>
      </c>
      <c r="AB4" s="7">
        <v>121.54</v>
      </c>
      <c r="AC4" s="6">
        <v>46091</v>
      </c>
      <c r="AD4" s="7">
        <v>31</v>
      </c>
      <c r="AE4" s="4">
        <v>169</v>
      </c>
      <c r="AF4" s="5" t="s">
        <v>105</v>
      </c>
      <c r="AG4" s="5"/>
      <c r="AH4" s="5"/>
      <c r="AI4" s="5"/>
      <c r="AJ4" s="4">
        <v>562575912</v>
      </c>
      <c r="AK4" s="5" t="s">
        <v>206</v>
      </c>
      <c r="AL4" s="5" t="s">
        <v>186</v>
      </c>
      <c r="AM4" s="6">
        <v>46077</v>
      </c>
      <c r="AN4" s="5" t="s">
        <v>202</v>
      </c>
    </row>
    <row r="5" spans="1:40" x14ac:dyDescent="0.25">
      <c r="A5" s="2" t="s">
        <v>40</v>
      </c>
      <c r="B5" s="2" t="s">
        <v>207</v>
      </c>
      <c r="C5" s="3">
        <v>46202</v>
      </c>
      <c r="D5" s="4">
        <v>563073824</v>
      </c>
      <c r="E5" s="5" t="s">
        <v>208</v>
      </c>
      <c r="F5" s="6">
        <v>46079</v>
      </c>
      <c r="G5" s="5" t="s">
        <v>209</v>
      </c>
      <c r="H5" s="5" t="s">
        <v>161</v>
      </c>
      <c r="I5" s="5" t="s">
        <v>209</v>
      </c>
      <c r="J5" s="5" t="s">
        <v>210</v>
      </c>
      <c r="K5" s="3">
        <v>46195</v>
      </c>
      <c r="L5" s="12">
        <f ca="1">IF($O5="","",$O5-TODAY())</f>
        <v>144</v>
      </c>
      <c r="M5" s="12">
        <f ca="1">IF(AND(TRIM($A5)="Finalized",$K5&lt;&gt;""),"",IF($C5="","",$C5+365-TODAY()))</f>
        <v>267</v>
      </c>
      <c r="N5" s="12">
        <f ca="1">IF(AND(TRIM($A5)="Finalized",$K5&lt;&gt;""),"",IF($C5="","",$C5+120-TODAY()))</f>
        <v>22</v>
      </c>
      <c r="O5" s="6">
        <f>IF(AND(TRIM($A5)="Finalized",$K5&lt;&gt;""),"",DATE(2027,2,26))</f>
        <v>46444</v>
      </c>
      <c r="P5" s="5" t="s">
        <v>49</v>
      </c>
      <c r="Q5" s="5" t="s">
        <v>90</v>
      </c>
      <c r="R5" s="5" t="s">
        <v>49</v>
      </c>
      <c r="S5" s="5" t="s">
        <v>50</v>
      </c>
      <c r="T5" s="5" t="s">
        <v>91</v>
      </c>
      <c r="U5" s="5" t="s">
        <v>50</v>
      </c>
      <c r="V5" s="5" t="s">
        <v>211</v>
      </c>
      <c r="W5" s="5"/>
      <c r="X5" s="5"/>
      <c r="Y5" s="5" t="s">
        <v>51</v>
      </c>
      <c r="Z5" s="7">
        <v>20217.61</v>
      </c>
      <c r="AA5" s="7">
        <v>0</v>
      </c>
      <c r="AB5" s="7">
        <v>1013.09</v>
      </c>
      <c r="AC5" s="6">
        <v>46202</v>
      </c>
      <c r="AD5" s="7">
        <v>19204.52</v>
      </c>
      <c r="AE5" s="4">
        <v>163</v>
      </c>
      <c r="AF5" s="5" t="s">
        <v>212</v>
      </c>
      <c r="AG5" s="5" t="s">
        <v>213</v>
      </c>
      <c r="AH5" s="5" t="s">
        <v>214</v>
      </c>
      <c r="AI5" s="5" t="s">
        <v>136</v>
      </c>
      <c r="AJ5" s="4">
        <v>554801761</v>
      </c>
      <c r="AK5" s="5" t="s">
        <v>215</v>
      </c>
      <c r="AL5" s="5" t="s">
        <v>171</v>
      </c>
      <c r="AM5" s="6">
        <v>46093</v>
      </c>
      <c r="AN5" s="5" t="s">
        <v>202</v>
      </c>
    </row>
    <row r="6" spans="1:40" x14ac:dyDescent="0.25">
      <c r="A6" s="2" t="s">
        <v>40</v>
      </c>
      <c r="B6" s="2" t="s">
        <v>216</v>
      </c>
      <c r="C6" s="3">
        <v>46147</v>
      </c>
      <c r="D6" s="4">
        <v>555677002</v>
      </c>
      <c r="E6" s="5" t="s">
        <v>217</v>
      </c>
      <c r="F6" s="6">
        <v>46059</v>
      </c>
      <c r="G6" s="5" t="s">
        <v>218</v>
      </c>
      <c r="H6" s="5" t="s">
        <v>218</v>
      </c>
      <c r="I6" s="5" t="s">
        <v>44</v>
      </c>
      <c r="J6" s="5" t="s">
        <v>219</v>
      </c>
      <c r="K6" s="3">
        <v>46247</v>
      </c>
      <c r="L6" s="12">
        <f ca="1">IF($O6="","",$O6-TODAY())</f>
        <v>-151</v>
      </c>
      <c r="M6" s="12">
        <f ca="1">IF(AND(TRIM($A6)="Finalized",$K6&lt;&gt;""),"",IF($F6="","",$F6+90-TODAY()))</f>
        <v>-151</v>
      </c>
      <c r="N6" s="12">
        <f ca="1">IF(AND(TRIM($A6)="Finalized",$K6&lt;&gt;""),"",IF($C6="","",$C6+540-TODAY()))</f>
        <v>387</v>
      </c>
      <c r="O6" s="6">
        <f>IF(AND(TRIM($A6)="Finalized",$K6&lt;&gt;""),"",DATE(2026,5,7))</f>
        <v>46149</v>
      </c>
      <c r="P6" s="5" t="s">
        <v>46</v>
      </c>
      <c r="Q6" s="5" t="s">
        <v>220</v>
      </c>
      <c r="R6" s="5" t="s">
        <v>46</v>
      </c>
      <c r="S6" s="5" t="s">
        <v>48</v>
      </c>
      <c r="T6" s="5" t="s">
        <v>221</v>
      </c>
      <c r="U6" s="5" t="s">
        <v>50</v>
      </c>
      <c r="V6" s="5"/>
      <c r="W6" s="5"/>
      <c r="X6" s="5"/>
      <c r="Y6" s="5" t="s">
        <v>51</v>
      </c>
      <c r="Z6" s="7">
        <v>9056.39</v>
      </c>
      <c r="AA6" s="7">
        <v>0</v>
      </c>
      <c r="AB6" s="7">
        <v>0</v>
      </c>
      <c r="AC6" s="6">
        <v>46147</v>
      </c>
      <c r="AD6" s="7">
        <v>9056.39</v>
      </c>
      <c r="AE6" s="4">
        <v>183</v>
      </c>
      <c r="AF6" s="5" t="s">
        <v>212</v>
      </c>
      <c r="AG6" s="5"/>
      <c r="AH6" s="5"/>
      <c r="AI6" s="5"/>
      <c r="AJ6" s="4"/>
      <c r="AK6" s="5" t="s">
        <v>75</v>
      </c>
      <c r="AL6" s="5" t="s">
        <v>171</v>
      </c>
      <c r="AM6" s="6">
        <v>46065</v>
      </c>
      <c r="AN6" s="5" t="s">
        <v>202</v>
      </c>
    </row>
    <row r="7" spans="1:40" x14ac:dyDescent="0.25">
      <c r="A7" s="2" t="s">
        <v>40</v>
      </c>
      <c r="B7" s="2" t="s">
        <v>231</v>
      </c>
      <c r="C7" s="3">
        <v>46189</v>
      </c>
      <c r="D7" s="4">
        <v>562083380</v>
      </c>
      <c r="E7" s="5" t="s">
        <v>232</v>
      </c>
      <c r="F7" s="6">
        <v>46080</v>
      </c>
      <c r="G7" s="5" t="s">
        <v>68</v>
      </c>
      <c r="H7" s="5" t="s">
        <v>68</v>
      </c>
      <c r="I7" s="5" t="s">
        <v>44</v>
      </c>
      <c r="J7" s="5" t="s">
        <v>233</v>
      </c>
      <c r="K7" s="3">
        <v>46247</v>
      </c>
      <c r="L7" s="12">
        <f ca="1">IF($O7="","",$O7-TODAY())</f>
        <v>-130</v>
      </c>
      <c r="M7" s="12">
        <f ca="1">IF(AND(TRIM($A7)="Finalized",$K7&lt;&gt;""),"",IF($C7="","",$C7+365-TODAY()))</f>
        <v>254</v>
      </c>
      <c r="N7" s="12">
        <f ca="1">IF(AND(TRIM($A7)="Finalized",$K7&lt;&gt;""),"",IF($C7="","",$C7+365-TODAY()))</f>
        <v>254</v>
      </c>
      <c r="O7" s="6">
        <f>IF(AND(TRIM($A7)="Finalized",$K7&lt;&gt;""),"",DATE(2026,5,28))</f>
        <v>46170</v>
      </c>
      <c r="P7" s="5" t="s">
        <v>46</v>
      </c>
      <c r="Q7" s="5" t="s">
        <v>70</v>
      </c>
      <c r="R7" s="5" t="s">
        <v>49</v>
      </c>
      <c r="S7" s="5" t="s">
        <v>50</v>
      </c>
      <c r="T7" s="5" t="s">
        <v>49</v>
      </c>
      <c r="U7" s="5" t="s">
        <v>50</v>
      </c>
      <c r="V7" s="5" t="s">
        <v>234</v>
      </c>
      <c r="W7" s="5"/>
      <c r="X7" s="5"/>
      <c r="Y7" s="5" t="s">
        <v>51</v>
      </c>
      <c r="Z7" s="7">
        <v>7623.07</v>
      </c>
      <c r="AA7" s="7">
        <v>0</v>
      </c>
      <c r="AB7" s="7">
        <v>0</v>
      </c>
      <c r="AC7" s="6">
        <v>46189</v>
      </c>
      <c r="AD7" s="7">
        <v>7623.07</v>
      </c>
      <c r="AE7" s="4">
        <v>162</v>
      </c>
      <c r="AF7" s="5" t="s">
        <v>212</v>
      </c>
      <c r="AG7" s="5"/>
      <c r="AH7" s="5"/>
      <c r="AI7" s="5"/>
      <c r="AJ7" s="4"/>
      <c r="AK7" s="5" t="s">
        <v>53</v>
      </c>
      <c r="AL7" s="5" t="s">
        <v>186</v>
      </c>
      <c r="AM7" s="6">
        <v>46083</v>
      </c>
      <c r="AN7" s="5" t="s">
        <v>202</v>
      </c>
    </row>
    <row r="8" spans="1:40" x14ac:dyDescent="0.25">
      <c r="A8" s="2" t="s">
        <v>40</v>
      </c>
      <c r="B8" s="2" t="s">
        <v>306</v>
      </c>
      <c r="C8" s="3">
        <v>46218</v>
      </c>
      <c r="D8" s="4">
        <v>564578362</v>
      </c>
      <c r="E8" s="5" t="s">
        <v>235</v>
      </c>
      <c r="F8" s="6">
        <v>46057</v>
      </c>
      <c r="G8" s="5" t="s">
        <v>236</v>
      </c>
      <c r="H8" s="5" t="s">
        <v>236</v>
      </c>
      <c r="I8" s="5" t="s">
        <v>44</v>
      </c>
      <c r="J8" s="5" t="s">
        <v>237</v>
      </c>
      <c r="K8" s="3">
        <v>46285</v>
      </c>
      <c r="L8" s="12">
        <f ca="1">IF($O8="","",$O8-TODAY())</f>
        <v>-123</v>
      </c>
      <c r="M8" s="12">
        <f ca="1">IF(AND(TRIM($A8)="Finalized",$K8&lt;&gt;""),"",IF($F8="","",$F8+365-TODAY()))</f>
        <v>122</v>
      </c>
      <c r="N8" s="12">
        <f ca="1">IF(AND(TRIM($A8)="Finalized",$K8&lt;&gt;""),"",IF($F8="","",$F8+365-TODAY()))</f>
        <v>122</v>
      </c>
      <c r="O8" s="6">
        <f>IF(AND(TRIM($A8)="Finalized",$K8&lt;&gt;""),"",DATE(2026,6,4))</f>
        <v>46177</v>
      </c>
      <c r="P8" s="5" t="s">
        <v>91</v>
      </c>
      <c r="Q8" s="5" t="s">
        <v>238</v>
      </c>
      <c r="R8" s="5" t="s">
        <v>49</v>
      </c>
      <c r="S8" s="5" t="s">
        <v>48</v>
      </c>
      <c r="T8" s="5" t="s">
        <v>49</v>
      </c>
      <c r="U8" s="5" t="s">
        <v>48</v>
      </c>
      <c r="V8" s="5"/>
      <c r="W8" s="5"/>
      <c r="X8" s="5"/>
      <c r="Y8" s="5" t="s">
        <v>51</v>
      </c>
      <c r="Z8" s="7">
        <v>1433.32</v>
      </c>
      <c r="AA8" s="7">
        <v>0</v>
      </c>
      <c r="AB8" s="7">
        <v>0</v>
      </c>
      <c r="AC8" s="6">
        <v>46218</v>
      </c>
      <c r="AD8" s="7">
        <v>1433.32</v>
      </c>
      <c r="AE8" s="4">
        <v>185</v>
      </c>
      <c r="AF8" s="5" t="s">
        <v>212</v>
      </c>
      <c r="AG8" s="5" t="s">
        <v>239</v>
      </c>
      <c r="AH8" s="5"/>
      <c r="AI8" s="5"/>
      <c r="AJ8" s="4"/>
      <c r="AK8" s="5" t="s">
        <v>240</v>
      </c>
      <c r="AL8" s="5" t="s">
        <v>171</v>
      </c>
      <c r="AM8" s="6">
        <v>46077</v>
      </c>
      <c r="AN8" s="5" t="s">
        <v>202</v>
      </c>
    </row>
    <row r="9" spans="1:40" x14ac:dyDescent="0.25">
      <c r="A9" s="2" t="s">
        <v>40</v>
      </c>
      <c r="B9" s="2" t="s">
        <v>247</v>
      </c>
      <c r="C9" s="3">
        <v>46107</v>
      </c>
      <c r="D9" s="4">
        <v>552275426</v>
      </c>
      <c r="E9" s="5" t="s">
        <v>248</v>
      </c>
      <c r="F9" s="6">
        <v>46079</v>
      </c>
      <c r="G9" s="5" t="s">
        <v>249</v>
      </c>
      <c r="H9" s="5" t="s">
        <v>249</v>
      </c>
      <c r="I9" s="5" t="s">
        <v>44</v>
      </c>
      <c r="J9" s="5" t="s">
        <v>250</v>
      </c>
      <c r="K9" s="3">
        <v>46195</v>
      </c>
      <c r="L9" s="12" t="str">
        <f ca="1">IF($O9="","",$O9-TODAY())</f>
        <v/>
      </c>
      <c r="M9" s="12"/>
      <c r="N9" s="12">
        <f ca="1">IF(AND(TRIM($A9)="Finalized",$K9&lt;&gt;""),"",IF($C9="","",$C9+180-TODAY()))</f>
        <v>-13</v>
      </c>
      <c r="O9" s="6"/>
      <c r="P9" s="5"/>
      <c r="Q9" s="5" t="s">
        <v>251</v>
      </c>
      <c r="R9" s="5"/>
      <c r="S9" s="5"/>
      <c r="T9" s="5" t="s">
        <v>143</v>
      </c>
      <c r="U9" s="5" t="s">
        <v>50</v>
      </c>
      <c r="V9" s="5"/>
      <c r="W9" s="5"/>
      <c r="X9" s="5"/>
      <c r="Y9" s="5" t="s">
        <v>51</v>
      </c>
      <c r="Z9" s="7">
        <v>1758.12</v>
      </c>
      <c r="AA9" s="7">
        <v>0</v>
      </c>
      <c r="AB9" s="7">
        <v>0</v>
      </c>
      <c r="AC9" s="6">
        <v>46107</v>
      </c>
      <c r="AD9" s="7">
        <v>1758.12</v>
      </c>
      <c r="AE9" s="4">
        <v>163</v>
      </c>
      <c r="AF9" s="5" t="s">
        <v>213</v>
      </c>
      <c r="AG9" s="5" t="s">
        <v>252</v>
      </c>
      <c r="AH9" s="5"/>
      <c r="AI9" s="5"/>
      <c r="AJ9" s="4"/>
      <c r="AK9" s="5" t="s">
        <v>137</v>
      </c>
      <c r="AL9" s="5" t="s">
        <v>230</v>
      </c>
      <c r="AM9" s="6">
        <v>46092</v>
      </c>
      <c r="AN9" s="5" t="s">
        <v>202</v>
      </c>
    </row>
    <row r="10" spans="1:40" x14ac:dyDescent="0.25">
      <c r="A10" s="2" t="s">
        <v>61</v>
      </c>
      <c r="B10" s="2" t="s">
        <v>222</v>
      </c>
      <c r="C10" s="3">
        <v>46233</v>
      </c>
      <c r="D10" s="4">
        <v>551412333</v>
      </c>
      <c r="E10" s="5" t="s">
        <v>223</v>
      </c>
      <c r="F10" s="6">
        <v>46072</v>
      </c>
      <c r="G10" s="5" t="s">
        <v>141</v>
      </c>
      <c r="H10" s="5" t="s">
        <v>141</v>
      </c>
      <c r="I10" s="5" t="s">
        <v>44</v>
      </c>
      <c r="J10" s="5" t="s">
        <v>224</v>
      </c>
      <c r="K10" s="3">
        <v>46192</v>
      </c>
      <c t="str" r="L10" s="12">
        <f ca="1">IF($O10="","",$O10-TODAY())</f>
        <v/>
      </c>
      <c t="str" r="M10" s="12">
        <f ca="1">IF(AND(TRIM($A10)="Finalized",$K10&lt;&gt;""),"",IF($C10="","",$C10+180-TODAY()))</f>
        <v/>
      </c>
      <c t="str" r="N10" s="12">
        <f ca="1">IF(AND(TRIM($A10)="Finalized",$K10&lt;&gt;""),"",IF($C10="","",$C10+365-TODAY()))</f>
        <v/>
      </c>
      <c t="str" r="O10" s="6">
        <f>IF(AND(TRIM($A10)="Finalized",$K10&lt;&gt;""),"",DATE(2026,5,20))</f>
        <v/>
      </c>
      <c r="P10" s="5" t="s">
        <v>46</v>
      </c>
      <c r="Q10" s="5" t="s">
        <v>142</v>
      </c>
      <c r="R10" s="5" t="s">
        <v>143</v>
      </c>
      <c r="S10" s="5" t="s">
        <v>50</v>
      </c>
      <c r="T10" s="5" t="s">
        <v>49</v>
      </c>
      <c r="U10" s="5" t="s">
        <v>50</v>
      </c>
      <c r="V10" s="5" t="s">
        <v>225</v>
      </c>
      <c r="W10" s="5"/>
      <c r="X10" s="5"/>
      <c r="Y10" s="5" t="s">
        <v>51</v>
      </c>
      <c r="Z10" s="7">
        <v>6297.27</v>
      </c>
      <c r="AA10" s="7">
        <v>0</v>
      </c>
      <c r="AB10" s="7">
        <v>0</v>
      </c>
      <c r="AC10" s="6">
        <v>46142</v>
      </c>
      <c r="AD10" s="7">
        <v>6297.27</v>
      </c>
      <c r="AE10" s="4">
        <v>170</v>
      </c>
      <c r="AF10" s="5" t="s">
        <v>212</v>
      </c>
      <c r="AG10" s="5" t="s">
        <v>213</v>
      </c>
      <c r="AH10" s="5" t="s">
        <v>214</v>
      </c>
      <c r="AI10" s="5" t="s">
        <v>136</v>
      </c>
      <c r="AJ10" s="4"/>
      <c r="AK10" s="5" t="s">
        <v>215</v>
      </c>
      <c r="AL10" s="5" t="s">
        <v>171</v>
      </c>
      <c r="AM10" s="6">
        <v>46084</v>
      </c>
      <c r="AN10" s="5" t="s">
        <v>202</v>
      </c>
    </row>
    <row r="11" spans="1:40" x14ac:dyDescent="0.25">
      <c r="A11" s="2" t="s">
        <v>61</v>
      </c>
      <c r="B11" s="2" t="s">
        <v>241</v>
      </c>
      <c r="C11" s="3">
        <v>46142</v>
      </c>
      <c r="D11" s="4">
        <v>551321878</v>
      </c>
      <c r="E11" s="5" t="s">
        <v>242</v>
      </c>
      <c r="F11" s="6">
        <v>46058</v>
      </c>
      <c r="G11" s="5" t="s">
        <v>243</v>
      </c>
      <c r="H11" s="5" t="s">
        <v>243</v>
      </c>
      <c r="I11" s="5" t="s">
        <v>44</v>
      </c>
      <c r="J11" s="5" t="s">
        <v>244</v>
      </c>
      <c r="K11" s="3">
        <v>46195</v>
      </c>
      <c t="str" r="L11" s="12">
        <f ca="1">IF($O11="","",$O11-TODAY())</f>
        <v/>
      </c>
      <c t="str" r="M11" s="12">
        <f ca="1">IF(AND(TRIM($A11)="Finalized",$K11&lt;&gt;""),"",IF($C11="","",$C11+365-TODAY()))</f>
        <v/>
      </c>
      <c t="str" r="N11" s="12">
        <f ca="1">IF(AND(TRIM($A11)="Finalized",$K11&lt;&gt;""),"",IF($C11="","",$C11+365-TODAY()))</f>
        <v/>
      </c>
      <c t="str" r="O11" s="6">
        <f>IF(AND(TRIM($A11)="Finalized",$K11&lt;&gt;""),"",DATE(2026,5,6))</f>
        <v/>
      </c>
      <c r="P11" s="5" t="s">
        <v>46</v>
      </c>
      <c r="Q11" s="5" t="s">
        <v>245</v>
      </c>
      <c r="R11" s="5" t="s">
        <v>49</v>
      </c>
      <c r="S11" s="5" t="s">
        <v>50</v>
      </c>
      <c r="T11" s="5" t="s">
        <v>49</v>
      </c>
      <c r="U11" s="5" t="s">
        <v>50</v>
      </c>
      <c r="V11" s="5"/>
      <c r="W11" s="5"/>
      <c r="X11" s="5"/>
      <c r="Y11" s="5" t="s">
        <v>51</v>
      </c>
      <c r="Z11" s="7">
        <v>12527.55</v>
      </c>
      <c r="AA11" s="7">
        <v>0</v>
      </c>
      <c r="AB11" s="7">
        <v>0</v>
      </c>
      <c r="AC11" s="6">
        <v>46142</v>
      </c>
      <c r="AD11" s="7">
        <v>12527.55</v>
      </c>
      <c r="AE11" s="4">
        <v>184</v>
      </c>
      <c r="AF11" s="5" t="s">
        <v>212</v>
      </c>
      <c r="AG11" s="5" t="s">
        <v>213</v>
      </c>
      <c r="AH11" s="5" t="s">
        <v>136</v>
      </c>
      <c r="AI11" s="5" t="s">
        <v>246</v>
      </c>
      <c r="AJ11" s="4"/>
      <c r="AK11" s="5" t="s">
        <v>215</v>
      </c>
      <c r="AL11" s="5" t="s">
        <v>171</v>
      </c>
      <c r="AM11" s="6">
        <v>46083</v>
      </c>
      <c r="AN11" s="5" t="s">
        <v>202</v>
      </c>
    </row>
  </sheetData>
  <autoFilter ref="A1:AN11" xr:uid="{00000000-0009-0000-0000-000003000000}"/>
  <conditionalFormatting sqref="L2:O1000">
    <cfRule type="expression" dxfId="101" priority="1" stopIfTrue="1">
      <formula>AND(TRIM($A2)="Finalized",$K2&lt;&gt;"")</formula>
    </cfRule>
  </conditionalFormatting>
  <conditionalFormatting sqref="L2:L11">
    <cfRule type="expression" dxfId="39" priority="2">
      <formula>AND($L2&lt;&gt;"", $L2&gt;=0, $L2&lt;=5)</formula>
    </cfRule>
    <cfRule type="expression" dxfId="38" priority="3">
      <formula>AND($L2&lt;&gt;"", $L2&gt;5, $L2&lt;=30)</formula>
    </cfRule>
    <cfRule type="expression" dxfId="37" priority="4">
      <formula>AND($L2&lt;&gt;"", $L2&gt;30)</formula>
    </cfRule>
    <cfRule type="expression" dxfId="36" priority="5">
      <formula>AND($L2&lt;&gt;"", $L2&lt;0)</formula>
    </cfRule>
    <cfRule type="expression" dxfId="35" priority="6">
      <formula>$L2=""</formula>
    </cfRule>
  </conditionalFormatting>
  <conditionalFormatting sqref="M2:M11">
    <cfRule type="expression" dxfId="34" priority="7">
      <formula>AND($M2&lt;&gt;"", $M2&gt;=0, $M2&lt;=5)</formula>
    </cfRule>
    <cfRule type="expression" dxfId="33" priority="8">
      <formula>AND($M2&lt;&gt;"", $M2&gt;5, $M2&lt;=30)</formula>
    </cfRule>
    <cfRule type="expression" dxfId="32" priority="9">
      <formula>AND($M2&lt;&gt;"", $M2&gt;30)</formula>
    </cfRule>
    <cfRule type="expression" dxfId="31" priority="10">
      <formula>AND($M2&lt;&gt;"", $M2&lt;0)</formula>
    </cfRule>
    <cfRule type="expression" dxfId="30" priority="11">
      <formula>$M2=""</formula>
    </cfRule>
  </conditionalFormatting>
  <conditionalFormatting sqref="N2:N11">
    <cfRule type="expression" dxfId="29" priority="12">
      <formula>AND($N2&lt;&gt;"", $N2&gt;=0, $N2&lt;=5)</formula>
    </cfRule>
    <cfRule type="expression" dxfId="28" priority="13">
      <formula>AND($N2&lt;&gt;"", $N2&gt;5, $N2&lt;=30)</formula>
    </cfRule>
    <cfRule type="expression" dxfId="27" priority="14">
      <formula>AND($N2&lt;&gt;"", $N2&gt;30)</formula>
    </cfRule>
    <cfRule type="expression" dxfId="26" priority="15">
      <formula>AND($N2&lt;&gt;"", $N2&lt;0)</formula>
    </cfRule>
    <cfRule type="expression" dxfId="25" priority="16">
      <formula>$N2=""</formula>
    </cfRule>
  </conditionalFormatting>
  <conditionalFormatting sqref="O2:U11">
    <cfRule type="expression" dxfId="24" priority="17">
      <formula>AND($L2&lt;&gt;"", $L2&gt;=0, $L2&lt;=5)</formula>
    </cfRule>
    <cfRule type="expression" dxfId="23" priority="18">
      <formula>AND($L2&lt;&gt;"", $L2&gt;5, $L2&lt;=30)</formula>
    </cfRule>
    <cfRule type="expression" dxfId="22" priority="19">
      <formula>AND($L2&lt;&gt;"", $L2&gt;30)</formula>
    </cfRule>
    <cfRule type="expression" dxfId="21" priority="20">
      <formula>AND($L2&lt;&gt;"", $L2&lt;0)</formula>
    </cfRule>
    <cfRule type="expression" dxfId="2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6"/>
  <sheetViews>
    <sheetView zoomScale="90" workbookViewId="0">
      <pane xSplit="2" ySplit="1" topLeftCell="C2" activePane="bottomRight" state="frozen"/>
      <selection pane="topRight"/>
      <selection pane="bottomLeft"/>
      <selection pane="bottomRight"/>
    </sheetView>
  </sheetViews>
  <sheetFormatPr defaultRowHeight="15" x14ac:dyDescent="0.25"/>
  <cols>
    <col min="1" max="1" width="14" customWidth="1"/>
    <col min="2" max="2" width="55" customWidth="1"/>
    <col min="3" max="3" width="15" customWidth="1"/>
    <col min="4" max="4" width="18" customWidth="1"/>
    <col min="5" max="5" width="14" customWidth="1"/>
    <col min="6" max="6" width="17" customWidth="1"/>
    <col min="7" max="7" width="40" customWidth="1"/>
    <col min="8" max="8" width="32.140625" customWidth="1"/>
    <col min="9" max="9" width="40" hidden="1" customWidth="1"/>
    <col min="10" max="10" width="31.85546875" customWidth="1"/>
    <col min="11" max="11" width="14" customWidth="1"/>
    <col min="12" max="12" width="12" customWidth="1"/>
    <col min="13" max="13" width="19.28515625" customWidth="1"/>
    <col min="14" max="14" width="14.7109375" customWidth="1"/>
    <col min="15" max="15" width="17" hidden="1" customWidth="1"/>
    <col min="16" max="16" width="14" hidden="1" customWidth="1"/>
    <col min="17" max="17" width="30" hidden="1" customWidth="1"/>
    <col min="18" max="18" width="14" hidden="1" customWidth="1"/>
    <col min="19" max="19" width="16" hidden="1" customWidth="1"/>
    <col min="20" max="20" width="13" hidden="1" customWidth="1"/>
    <col min="21" max="21" width="16" hidden="1" customWidth="1"/>
    <col min="22" max="24" width="11" customWidth="1"/>
    <col min="25" max="25" width="10" customWidth="1"/>
    <col min="26" max="26" width="15" customWidth="1"/>
    <col min="27" max="27" width="12" customWidth="1"/>
    <col min="28" max="28" width="19" customWidth="1"/>
    <col min="29" max="29" width="22" customWidth="1"/>
    <col min="30" max="30" width="19" customWidth="1"/>
    <col min="31" max="31" width="24" customWidth="1"/>
    <col min="32" max="35" width="16" customWidth="1"/>
    <col min="36" max="36" width="20" customWidth="1"/>
    <col min="37" max="37" width="22" customWidth="1"/>
    <col min="38" max="38" width="24" customWidth="1"/>
    <col min="39" max="39" width="14" customWidth="1"/>
    <col min="40" max="40" width="11" customWidth="1"/>
  </cols>
  <sheetData>
    <row r="1" spans="1:40" ht="30" customHeight="1" x14ac:dyDescent="0.25">
      <c r="A1" s="11" t="s">
        <v>0</v>
      </c>
      <c r="B1" s="11" t="s">
        <v>1</v>
      </c>
      <c r="C1" s="11" t="s">
        <v>2</v>
      </c>
      <c r="D1" s="11" t="s">
        <v>3</v>
      </c>
      <c r="E1" s="11" t="s">
        <v>4</v>
      </c>
      <c r="F1" s="11" t="s">
        <v>5</v>
      </c>
      <c r="G1" s="11" t="s">
        <v>6</v>
      </c>
      <c r="H1" s="11" t="s">
        <v>7</v>
      </c>
      <c r="I1" s="11" t="s">
        <v>8</v>
      </c>
      <c r="J1" s="11" t="s">
        <v>9</v>
      </c>
      <c r="K1" s="1" t="s">
        <v>10</v>
      </c>
      <c r="L1" s="1" t="s">
        <v>11</v>
      </c>
      <c r="M1" s="1" t="s">
        <v>12</v>
      </c>
      <c r="N1" s="1" t="s">
        <v>13</v>
      </c>
      <c r="O1" s="11" t="s">
        <v>14</v>
      </c>
      <c r="P1" s="11" t="s">
        <v>15</v>
      </c>
      <c r="Q1" s="11" t="s">
        <v>16</v>
      </c>
      <c r="R1" s="11" t="s">
        <v>17</v>
      </c>
      <c r="S1" s="11" t="s">
        <v>18</v>
      </c>
      <c r="T1" s="11" t="s">
        <v>19</v>
      </c>
      <c r="U1" s="11" t="s">
        <v>20</v>
      </c>
      <c r="V1" s="11" t="s">
        <v>21</v>
      </c>
      <c r="W1" s="11" t="s">
        <v>22</v>
      </c>
      <c r="X1" s="11" t="s">
        <v>23</v>
      </c>
      <c r="Y1" s="11" t="s">
        <v>24</v>
      </c>
      <c r="Z1" s="11" t="s">
        <v>25</v>
      </c>
      <c r="AA1" s="11" t="s">
        <v>26</v>
      </c>
      <c r="AB1" s="11" t="s">
        <v>27</v>
      </c>
      <c r="AC1" s="11" t="s">
        <v>28</v>
      </c>
      <c r="AD1" s="11" t="s">
        <v>29</v>
      </c>
      <c r="AE1" s="11" t="s">
        <v>30</v>
      </c>
      <c r="AF1" s="11" t="s">
        <v>31</v>
      </c>
      <c r="AG1" s="11" t="s">
        <v>32</v>
      </c>
      <c r="AH1" s="11" t="s">
        <v>33</v>
      </c>
      <c r="AI1" s="11" t="s">
        <v>34</v>
      </c>
      <c r="AJ1" s="11" t="s">
        <v>35</v>
      </c>
      <c r="AK1" s="11" t="s">
        <v>36</v>
      </c>
      <c r="AL1" s="11" t="s">
        <v>37</v>
      </c>
      <c r="AM1" s="11" t="s">
        <v>38</v>
      </c>
      <c r="AN1" s="11" t="s">
        <v>39</v>
      </c>
    </row>
    <row r="2" spans="1:40" x14ac:dyDescent="0.25">
      <c r="A2" s="2" t="s">
        <v>203</v>
      </c>
      <c r="B2" s="2" t="s">
        <v>270</v>
      </c>
      <c r="C2" s="3">
        <v>46211</v>
      </c>
      <c r="D2" s="4">
        <v>563161793</v>
      </c>
      <c r="E2" s="5" t="s">
        <v>271</v>
      </c>
      <c r="F2" s="6">
        <v>46065</v>
      </c>
      <c r="G2" s="5" t="s">
        <v>272</v>
      </c>
      <c r="H2" s="5" t="s">
        <v>161</v>
      </c>
      <c r="I2" s="5" t="s">
        <v>272</v>
      </c>
      <c r="J2" s="5" t="s">
        <v>255</v>
      </c>
      <c r="K2" s="3">
        <v>46251</v>
      </c>
      <c r="L2" s="12">
        <f ca="1">IF($O2="","",$O2-TODAY())</f>
        <v>130</v>
      </c>
      <c r="M2" s="12">
        <f ca="1">IF(AND(TRIM($A2)="Finalized",$K2&lt;&gt;""),"",IF($C2="","",$C2+365-TODAY()))</f>
        <v>276</v>
      </c>
      <c r="N2" s="12">
        <f ca="1">IF(AND(TRIM($A2)="Finalized",$K2&lt;&gt;""),"",IF($C2="","",$C2+120-TODAY()))</f>
        <v>31</v>
      </c>
      <c r="O2" s="6">
        <f>IF(AND(TRIM($A2)="Finalized",$K2&lt;&gt;""),"",DATE(2027,2,12))</f>
        <v>46430</v>
      </c>
      <c r="P2" s="5" t="s">
        <v>49</v>
      </c>
      <c r="Q2" s="5" t="s">
        <v>90</v>
      </c>
      <c r="R2" s="5" t="s">
        <v>49</v>
      </c>
      <c r="S2" s="5" t="s">
        <v>50</v>
      </c>
      <c r="T2" s="5" t="s">
        <v>91</v>
      </c>
      <c r="U2" s="5" t="s">
        <v>50</v>
      </c>
      <c r="V2" s="5"/>
      <c r="W2" s="5"/>
      <c r="X2" s="5"/>
      <c r="Y2" s="5" t="s">
        <v>51</v>
      </c>
      <c r="Z2" s="7">
        <v>1294.23</v>
      </c>
      <c r="AA2" s="7">
        <v>1131</v>
      </c>
      <c r="AB2" s="7">
        <v>127.49</v>
      </c>
      <c r="AC2" s="6">
        <v>46211</v>
      </c>
      <c r="AD2" s="7">
        <v>35.74</v>
      </c>
      <c r="AE2" s="4">
        <v>177</v>
      </c>
      <c r="AF2" s="5" t="s">
        <v>256</v>
      </c>
      <c r="AG2" s="5" t="s">
        <v>273</v>
      </c>
      <c r="AH2" s="5" t="s">
        <v>274</v>
      </c>
      <c r="AI2" s="5" t="s">
        <v>275</v>
      </c>
      <c r="AJ2" s="4">
        <v>566075130</v>
      </c>
      <c r="AK2" s="5" t="s">
        <v>265</v>
      </c>
      <c r="AL2" s="5" t="s">
        <v>65</v>
      </c>
      <c r="AM2" s="6">
        <v>46076</v>
      </c>
      <c r="AN2" s="5" t="s">
        <v>261</v>
      </c>
    </row>
    <row r="3" spans="1:40" x14ac:dyDescent="0.25">
      <c r="A3" s="2" t="s">
        <v>114</v>
      </c>
      <c r="B3" s="2" t="s">
        <v>253</v>
      </c>
      <c r="C3" s="3">
        <v>46211</v>
      </c>
      <c r="D3" s="4">
        <v>563152890</v>
      </c>
      <c r="E3" s="5" t="s">
        <v>254</v>
      </c>
      <c r="F3" s="6">
        <v>46057</v>
      </c>
      <c r="G3" s="5" t="s">
        <v>43</v>
      </c>
      <c r="H3" s="5" t="s">
        <v>161</v>
      </c>
      <c r="I3" s="5" t="s">
        <v>43</v>
      </c>
      <c r="J3" s="5" t="s">
        <v>255</v>
      </c>
      <c r="K3" s="3">
        <v>46196</v>
      </c>
      <c r="L3" s="12">
        <f ca="1">IF($O3="","",$O3-TODAY())</f>
        <v>122</v>
      </c>
      <c r="M3" s="12">
        <f ca="1">IF(AND(TRIM($A3)="Finalized",$K3&lt;&gt;""),"",IF($C3="","",$C3+365-TODAY()))</f>
        <v>276</v>
      </c>
      <c r="N3" s="12">
        <f ca="1">IF(AND(TRIM($A3)="Finalized",$K3&lt;&gt;""),"",IF($C3="","",$C3+120-TODAY()))</f>
        <v>31</v>
      </c>
      <c r="O3" s="6">
        <f>IF(AND(TRIM($A3)="Finalized",$K3&lt;&gt;""),"",DATE(2027,2,4))</f>
        <v>46422</v>
      </c>
      <c r="P3" s="5" t="s">
        <v>49</v>
      </c>
      <c r="Q3" s="5" t="s">
        <v>90</v>
      </c>
      <c r="R3" s="5" t="s">
        <v>49</v>
      </c>
      <c r="S3" s="5" t="s">
        <v>50</v>
      </c>
      <c r="T3" s="5" t="s">
        <v>91</v>
      </c>
      <c r="U3" s="5" t="s">
        <v>50</v>
      </c>
      <c r="V3" s="5"/>
      <c r="W3" s="5"/>
      <c r="X3" s="5"/>
      <c r="Y3" s="5" t="s">
        <v>51</v>
      </c>
      <c r="Z3" s="7">
        <v>1294.23</v>
      </c>
      <c r="AA3" s="7">
        <v>1127.69</v>
      </c>
      <c r="AB3" s="7">
        <v>130.80000000000001</v>
      </c>
      <c r="AC3" s="6">
        <v>46211</v>
      </c>
      <c r="AD3" s="7">
        <v>35.74</v>
      </c>
      <c r="AE3" s="4">
        <v>185</v>
      </c>
      <c r="AF3" s="5" t="s">
        <v>256</v>
      </c>
      <c r="AG3" s="5" t="s">
        <v>257</v>
      </c>
      <c r="AH3" s="5" t="s">
        <v>258</v>
      </c>
      <c r="AI3" s="5" t="s">
        <v>259</v>
      </c>
      <c r="AJ3" s="4">
        <v>566075115</v>
      </c>
      <c r="AK3" s="5" t="s">
        <v>260</v>
      </c>
      <c r="AL3" s="5" t="s">
        <v>157</v>
      </c>
      <c r="AM3" s="6">
        <v>46072</v>
      </c>
      <c r="AN3" s="5" t="s">
        <v>261</v>
      </c>
    </row>
    <row r="4" spans="1:40" x14ac:dyDescent="0.25">
      <c r="A4" s="2" t="s">
        <v>114</v>
      </c>
      <c r="B4" s="2" t="s">
        <v>253</v>
      </c>
      <c r="C4" s="3">
        <v>46211</v>
      </c>
      <c r="D4" s="4">
        <v>563153622</v>
      </c>
      <c r="E4" s="5" t="s">
        <v>262</v>
      </c>
      <c r="F4" s="6">
        <v>46065</v>
      </c>
      <c r="G4" s="5" t="s">
        <v>107</v>
      </c>
      <c r="H4" s="5" t="s">
        <v>161</v>
      </c>
      <c r="I4" s="5" t="s">
        <v>107</v>
      </c>
      <c r="J4" s="5" t="s">
        <v>263</v>
      </c>
      <c r="K4" s="3">
        <v>46196</v>
      </c>
      <c r="L4" s="12">
        <f ca="1">IF($O4="","",$O4-TODAY())</f>
        <v>130</v>
      </c>
      <c r="M4" s="12">
        <f ca="1">IF(AND(TRIM($A4)="Finalized",$K4&lt;&gt;""),"",IF($C4="","",$C4+365-TODAY()))</f>
        <v>276</v>
      </c>
      <c r="N4" s="12">
        <f ca="1">IF(AND(TRIM($A4)="Finalized",$K4&lt;&gt;""),"",IF($C4="","",$C4+120-TODAY()))</f>
        <v>31</v>
      </c>
      <c r="O4" s="6">
        <f>IF(AND(TRIM($A4)="Finalized",$K4&lt;&gt;""),"",DATE(2027,2,12))</f>
        <v>46430</v>
      </c>
      <c r="P4" s="5" t="s">
        <v>49</v>
      </c>
      <c r="Q4" s="5" t="s">
        <v>90</v>
      </c>
      <c r="R4" s="5" t="s">
        <v>49</v>
      </c>
      <c r="S4" s="5" t="s">
        <v>50</v>
      </c>
      <c r="T4" s="5" t="s">
        <v>91</v>
      </c>
      <c r="U4" s="5" t="s">
        <v>50</v>
      </c>
      <c r="V4" s="5"/>
      <c r="W4" s="5"/>
      <c r="X4" s="5"/>
      <c r="Y4" s="5" t="s">
        <v>51</v>
      </c>
      <c r="Z4" s="7">
        <v>2943.43</v>
      </c>
      <c r="AA4" s="7">
        <v>2603.25</v>
      </c>
      <c r="AB4" s="7">
        <v>265.7</v>
      </c>
      <c r="AC4" s="6">
        <v>46211</v>
      </c>
      <c r="AD4" s="7">
        <v>74.48</v>
      </c>
      <c r="AE4" s="4">
        <v>177</v>
      </c>
      <c r="AF4" s="5" t="s">
        <v>264</v>
      </c>
      <c r="AG4" s="5"/>
      <c r="AH4" s="5"/>
      <c r="AI4" s="5"/>
      <c r="AJ4" s="4">
        <v>565916751</v>
      </c>
      <c r="AK4" s="5" t="s">
        <v>265</v>
      </c>
      <c r="AL4" s="5" t="s">
        <v>65</v>
      </c>
      <c r="AM4" s="6">
        <v>46119</v>
      </c>
      <c r="AN4" s="5" t="s">
        <v>261</v>
      </c>
    </row>
    <row r="5" spans="1:40" x14ac:dyDescent="0.25">
      <c r="A5" s="2" t="s">
        <v>114</v>
      </c>
      <c r="B5" s="2" t="s">
        <v>253</v>
      </c>
      <c r="C5" s="3">
        <v>46210</v>
      </c>
      <c r="D5" s="4">
        <v>563152081</v>
      </c>
      <c r="E5" s="5" t="s">
        <v>266</v>
      </c>
      <c r="F5" s="6">
        <v>46070</v>
      </c>
      <c r="G5" s="5" t="s">
        <v>107</v>
      </c>
      <c r="H5" s="5" t="s">
        <v>161</v>
      </c>
      <c r="I5" s="5" t="s">
        <v>107</v>
      </c>
      <c r="J5" s="5" t="s">
        <v>255</v>
      </c>
      <c r="K5" s="3">
        <v>46196</v>
      </c>
      <c r="L5" s="12">
        <f ca="1">IF($O5="","",$O5-TODAY())</f>
        <v>135</v>
      </c>
      <c r="M5" s="12">
        <f ca="1">IF(AND(TRIM($A5)="Finalized",$K5&lt;&gt;""),"",IF($C5="","",$C5+365-TODAY()))</f>
        <v>275</v>
      </c>
      <c r="N5" s="12">
        <f ca="1">IF(AND(TRIM($A5)="Finalized",$K5&lt;&gt;""),"",IF($C5="","",$C5+120-TODAY()))</f>
        <v>30</v>
      </c>
      <c r="O5" s="6">
        <f>IF(AND(TRIM($A5)="Finalized",$K5&lt;&gt;""),"",DATE(2027,2,17))</f>
        <v>46435</v>
      </c>
      <c r="P5" s="5" t="s">
        <v>49</v>
      </c>
      <c r="Q5" s="5" t="s">
        <v>90</v>
      </c>
      <c r="R5" s="5" t="s">
        <v>49</v>
      </c>
      <c r="S5" s="5" t="s">
        <v>50</v>
      </c>
      <c r="T5" s="5" t="s">
        <v>91</v>
      </c>
      <c r="U5" s="5" t="s">
        <v>50</v>
      </c>
      <c r="V5" s="5"/>
      <c r="W5" s="5"/>
      <c r="X5" s="5"/>
      <c r="Y5" s="5" t="s">
        <v>51</v>
      </c>
      <c r="Z5" s="7">
        <v>1294.23</v>
      </c>
      <c r="AA5" s="7">
        <v>1131</v>
      </c>
      <c r="AB5" s="7">
        <v>127.49</v>
      </c>
      <c r="AC5" s="6">
        <v>46210</v>
      </c>
      <c r="AD5" s="7">
        <v>35.74</v>
      </c>
      <c r="AE5" s="4">
        <v>172</v>
      </c>
      <c r="AF5" s="5" t="s">
        <v>267</v>
      </c>
      <c r="AG5" s="5"/>
      <c r="AH5" s="5"/>
      <c r="AI5" s="5"/>
      <c r="AJ5" s="4">
        <v>566075094</v>
      </c>
      <c r="AK5" s="5" t="s">
        <v>53</v>
      </c>
      <c r="AL5" s="5" t="s">
        <v>72</v>
      </c>
      <c r="AM5" s="6">
        <v>46076</v>
      </c>
      <c r="AN5" s="5" t="s">
        <v>261</v>
      </c>
    </row>
    <row r="6" spans="1:40" x14ac:dyDescent="0.25">
      <c r="A6" s="2" t="s">
        <v>114</v>
      </c>
      <c r="B6" s="2" t="s">
        <v>253</v>
      </c>
      <c r="C6" s="3">
        <v>46210</v>
      </c>
      <c r="D6" s="4">
        <v>563152473</v>
      </c>
      <c r="E6" s="5" t="s">
        <v>254</v>
      </c>
      <c r="F6" s="6">
        <v>46071</v>
      </c>
      <c r="G6" s="5" t="s">
        <v>43</v>
      </c>
      <c r="H6" s="5" t="s">
        <v>161</v>
      </c>
      <c r="I6" s="5" t="s">
        <v>43</v>
      </c>
      <c r="J6" s="5" t="s">
        <v>268</v>
      </c>
      <c r="K6" s="3">
        <v>46196</v>
      </c>
      <c r="L6" s="12">
        <f ca="1">IF($O6="","",$O6-TODAY())</f>
        <v>136</v>
      </c>
      <c r="M6" s="12">
        <f ca="1">IF(AND(TRIM($A6)="Finalized",$K6&lt;&gt;""),"",IF($C6="","",$C6+365-TODAY()))</f>
        <v>275</v>
      </c>
      <c r="N6" s="12">
        <f ca="1">IF(AND(TRIM($A6)="Finalized",$K6&lt;&gt;""),"",IF($C6="","",$C6+120-TODAY()))</f>
        <v>30</v>
      </c>
      <c r="O6" s="6">
        <f>IF(AND(TRIM($A6)="Finalized",$K6&lt;&gt;""),"",DATE(2027,2,18))</f>
        <v>46436</v>
      </c>
      <c r="P6" s="5" t="s">
        <v>49</v>
      </c>
      <c r="Q6" s="5" t="s">
        <v>90</v>
      </c>
      <c r="R6" s="5" t="s">
        <v>49</v>
      </c>
      <c r="S6" s="5" t="s">
        <v>50</v>
      </c>
      <c r="T6" s="5" t="s">
        <v>91</v>
      </c>
      <c r="U6" s="5" t="s">
        <v>50</v>
      </c>
      <c r="V6" s="5"/>
      <c r="W6" s="5"/>
      <c r="X6" s="5"/>
      <c r="Y6" s="5" t="s">
        <v>51</v>
      </c>
      <c r="Z6" s="7">
        <v>879.06</v>
      </c>
      <c r="AA6" s="7">
        <v>758.3</v>
      </c>
      <c r="AB6" s="7">
        <v>94.84</v>
      </c>
      <c r="AC6" s="6">
        <v>46210</v>
      </c>
      <c r="AD6" s="7">
        <v>25.92</v>
      </c>
      <c r="AE6" s="4">
        <v>171</v>
      </c>
      <c r="AF6" s="5" t="s">
        <v>269</v>
      </c>
      <c r="AG6" s="5"/>
      <c r="AH6" s="5"/>
      <c r="AI6" s="5"/>
      <c r="AJ6" s="4">
        <v>566075128</v>
      </c>
      <c r="AK6" s="5" t="s">
        <v>260</v>
      </c>
      <c r="AL6" s="5" t="s">
        <v>157</v>
      </c>
      <c r="AM6" s="6">
        <v>46119</v>
      </c>
      <c r="AN6" s="5" t="s">
        <v>261</v>
      </c>
    </row>
  </sheetData>
  <autoFilter ref="A1:AN6" xr:uid="{00000000-0009-0000-0000-000004000000}"/>
  <conditionalFormatting sqref="L2:O1000">
    <cfRule type="expression" dxfId="101" priority="1" stopIfTrue="1">
      <formula>AND(TRIM($A2)="Finalized",$K2&lt;&gt;"")</formula>
    </cfRule>
  </conditionalFormatting>
  <conditionalFormatting sqref="L2:L6">
    <cfRule type="expression" dxfId="19" priority="2">
      <formula>AND($L2&lt;&gt;"", $L2&gt;=0, $L2&lt;=5)</formula>
    </cfRule>
    <cfRule type="expression" dxfId="18" priority="3">
      <formula>AND($L2&lt;&gt;"", $L2&gt;5, $L2&lt;=30)</formula>
    </cfRule>
    <cfRule type="expression" dxfId="17" priority="4">
      <formula>AND($L2&lt;&gt;"", $L2&gt;30)</formula>
    </cfRule>
    <cfRule type="expression" dxfId="16" priority="5">
      <formula>AND($L2&lt;&gt;"", $L2&lt;0)</formula>
    </cfRule>
    <cfRule type="expression" dxfId="15" priority="6">
      <formula>$L2=""</formula>
    </cfRule>
  </conditionalFormatting>
  <conditionalFormatting sqref="M2:M6">
    <cfRule type="expression" dxfId="14" priority="7">
      <formula>AND($M2&lt;&gt;"", $M2&gt;=0, $M2&lt;=5)</formula>
    </cfRule>
    <cfRule type="expression" dxfId="13" priority="8">
      <formula>AND($M2&lt;&gt;"", $M2&gt;5, $M2&lt;=30)</formula>
    </cfRule>
    <cfRule type="expression" dxfId="12" priority="9">
      <formula>AND($M2&lt;&gt;"", $M2&gt;30)</formula>
    </cfRule>
    <cfRule type="expression" dxfId="11" priority="10">
      <formula>AND($M2&lt;&gt;"", $M2&lt;0)</formula>
    </cfRule>
    <cfRule type="expression" dxfId="10" priority="11">
      <formula>$M2=""</formula>
    </cfRule>
  </conditionalFormatting>
  <conditionalFormatting sqref="N2:N6">
    <cfRule type="expression" dxfId="9" priority="12">
      <formula>AND($N2&lt;&gt;"", $N2&gt;=0, $N2&lt;=5)</formula>
    </cfRule>
    <cfRule type="expression" dxfId="8" priority="13">
      <formula>AND($N2&lt;&gt;"", $N2&gt;5, $N2&lt;=30)</formula>
    </cfRule>
    <cfRule type="expression" dxfId="7" priority="14">
      <formula>AND($N2&lt;&gt;"", $N2&gt;30)</formula>
    </cfRule>
    <cfRule type="expression" dxfId="6" priority="15">
      <formula>AND($N2&lt;&gt;"", $N2&lt;0)</formula>
    </cfRule>
    <cfRule type="expression" dxfId="5" priority="16">
      <formula>$N2=""</formula>
    </cfRule>
  </conditionalFormatting>
  <conditionalFormatting sqref="O2:U6">
    <cfRule type="expression" dxfId="4" priority="17">
      <formula>AND($L2&lt;&gt;"", $L2&gt;=0, $L2&lt;=5)</formula>
    </cfRule>
    <cfRule type="expression" dxfId="3" priority="18">
      <formula>AND($L2&lt;&gt;"", $L2&gt;5, $L2&lt;=30)</formula>
    </cfRule>
    <cfRule type="expression" dxfId="2" priority="19">
      <formula>AND($L2&lt;&gt;"", $L2&gt;30)</formula>
    </cfRule>
    <cfRule type="expression" dxfId="1" priority="20">
      <formula>AND($L2&lt;&gt;"", $L2&lt;0)</formula>
    </cfRule>
    <cfRule type="expression" dxfId="0" priority="21">
      <formula>$L2=""</formula>
    </cfRule>
  </conditionalFormatting>
  <conditionalFormatting sqref="A2:AN1000">
    <cfRule type="expression" dxfId="100" priority="22">
      <formula>TRIM($A2)="PAID"</formula>
    </cfRule>
    <cfRule type="expression" dxfId="101" priority="23">
      <formula>TRIM($A2)="Finalized"</formula>
    </cfRule>
    <cfRule type="expression" dxfId="102" priority="24">
      <formula>TRIM($A2)="Received"</formula>
    </cfRule>
    <cfRule type="expression" dxfId="103" priority="25">
      <formula>TRIM($A2)="Pending"</formula>
    </cfRule>
    <cfRule type="expression" dxfId="104" priority="26">
      <formula>TRIM($A2)="Under Review"</formula>
    </cfRule>
    <cfRule type="expression" dxfId="105" priority="27">
      <formula>AND(TRIM($A2)="Denied",$K2="")</formula>
    </cfRule>
    <cfRule type="expression" dxfId="108" priority="30">
      <formula>AND(TRIM($A2)="Denied",$K2&lt;&gt;"")</formula>
    </cfRule>
    <cfRule type="expression" dxfId="106" priority="28">
      <formula>TRIM($A2)="Rejected"</formula>
    </cfRule>
    <cfRule type="expression" dxfId="107" priority="29">
      <formula>TRIM($A2)="Not found"</formula>
    </cfRule>
  </conditionalFormatting>
  <dataValidations count="1">
    <dataValidation type="list" allowBlank="1" showInputMessage="1" showErrorMessage="1" errorStyle="stop" errorTitle="Claim Status" error="Choose a status from the drop-down list. To add a new status, edit the list under Data &gt; Data Validation." promptTitle="Claim Status" prompt="Pick a status from the list." sqref="A2:A1000">
      <formula1>"Denied,Finalized,Not found,PAID,Pending,Received,Rejected,Under Review"</formula1>
    </dataValidation>
  </dataValidations>
  <pageMargins left="0.75" right="0.75" top="1" bottom="1" header="0.5" footer="0.5"/>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9"/>
  </sheetPr>
  <dimension ref="A1:A50"/>
  <sheetViews>
    <sheetView showGridLines="0" workbookViewId="0"/>
  </sheetViews>
  <sheetFormatPr defaultRowHeight="15" x14ac:dyDescent="0.25"/>
  <cols>
    <col min="1" max="1" width="118" customWidth="1"/>
  </cols>
  <sheetData>
    <row r="1" spans="1:1" ht="18.75" x14ac:dyDescent="0.25">
      <c r="A1" s="8" t="s">
        <v>276</v>
      </c>
    </row>
    <row r="2" spans="1:1" x14ac:dyDescent="0.25">
      <c r="A2" s="9"/>
    </row>
    <row r="3" spans="1:1" x14ac:dyDescent="0.25">
      <c r="A3" s="9" t="str">
        <f>COUNTA(BH!$D$2:$D$1000,DME!$D$2:$D$1000,GAE!$D$2:$D$1000,ORTHO!$D$2:$D$1000,US!$D$2:$D$1000)&amp;" claims with a date of service in 2026-02 February, split into one sheet per specialty: BH, DME, GAE, ORTHO, US."</f>
        <v>38 claims with a date of service in 2026-02 February, split into one sheet per specialty: BH, DME, GAE, ORTHO, US.</v>
      </c>
    </row>
    <row r="4" spans="1:1" x14ac:dyDescent="0.25">
      <c r="A4" s="9"/>
    </row>
    <row r="5" spans="1:1" x14ac:dyDescent="0.25">
      <c r="A5" s="10" t="s">
        <v>278</v>
      </c>
    </row>
    <row r="6" spans="1:1" ht="90" x14ac:dyDescent="0.25">
      <c r="A6" s="9" t="s">
        <v>279</v>
      </c>
    </row>
    <row r="7" spans="1:1" x14ac:dyDescent="0.25">
      <c r="A7" s="9" t="s">
        <v>280</v>
      </c>
    </row>
    <row r="8" spans="1:1" x14ac:dyDescent="0.25">
      <c r="A8" s="9" t="str">
        <f>"    1 - Due in 5 days or less: "&amp;SUM(COUNTIFS(BH!$L$2:$L$1000,"&gt;=0",BH!$L$2:$L$1000,"&lt;=5"),COUNTIFS(DME!$L$2:$L$1000,"&gt;=0",DME!$L$2:$L$1000,"&lt;=5"),COUNTIFS(GAE!$L$2:$L$1000,"&gt;=0",GAE!$L$2:$L$1000,"&lt;=5"),COUNTIFS(ORTHO!$L$2:$L$1000,"&gt;=0",ORTHO!$L$2:$L$1000,"&lt;=5"),COUNTIFS(US!$L$2:$L$1000,"&gt;=0",US!$L$2:$L$1000,"&lt;=5"))</f>
        <v>    1 - Due in 5 days or less: 0</v>
      </c>
    </row>
    <row r="9" spans="1:1" x14ac:dyDescent="0.25">
      <c r="A9" s="9" t="str">
        <f>"    2 - Due in 6-30 days: "&amp;SUM(COUNTIFS(BH!$L$2:$L$1000,"&gt;5",BH!$L$2:$L$1000,"&lt;=30"),COUNTIFS(DME!$L$2:$L$1000,"&gt;5",DME!$L$2:$L$1000,"&lt;=30"),COUNTIFS(GAE!$L$2:$L$1000,"&gt;5",GAE!$L$2:$L$1000,"&lt;=30"),COUNTIFS(ORTHO!$L$2:$L$1000,"&gt;5",ORTHO!$L$2:$L$1000,"&lt;=30"),COUNTIFS(US!$L$2:$L$1000,"&gt;5",US!$L$2:$L$1000,"&lt;=30"))</f>
        <v>    2 - Due in 6-30 days: 0</v>
      </c>
    </row>
    <row r="10" spans="1:1" x14ac:dyDescent="0.25">
      <c r="A10" s="9" t="str">
        <f>"    3 - Due in 31+ days: "&amp;SUM(COUNTIFS(BH!$L$2:$L$1000,"&gt;30"),COUNTIFS(DME!$L$2:$L$1000,"&gt;30"),COUNTIFS(GAE!$L$2:$L$1000,"&gt;30"),COUNTIFS(ORTHO!$L$2:$L$1000,"&gt;30"),COUNTIFS(US!$L$2:$L$1000,"&gt;30"))</f>
        <v>    3 - Due in 31+ days: 15</v>
      </c>
    </row>
    <row r="11" spans="1:1" x14ac:dyDescent="0.25">
      <c r="A11" s="9" t="str">
        <f>"    4 - Past deadline: "&amp;SUM(COUNTIFS(BH!$L$2:$L$1000,"&lt;0"),COUNTIFS(DME!$L$2:$L$1000,"&lt;0"),COUNTIFS(GAE!$L$2:$L$1000,"&lt;0"),COUNTIFS(ORTHO!$L$2:$L$1000,"&lt;0"),COUNTIFS(US!$L$2:$L$1000,"&lt;0"))</f>
        <v>    4 - Past deadline: 15</v>
      </c>
    </row>
    <row r="12" spans="1:1" x14ac:dyDescent="0.25">
      <c r="A12" s="9" t="str">
        <f>"    5 - No limit on file: "&amp;SUM(SUMPRODUCT((BH!$D$2:$D$1000&lt;&gt;"")*(BH!$L$2:$L$1000="")*(1-(TRIM(BH!$A$2:$A$1000)="Finalized")*(BH!$K$2:$K$1000&lt;&gt;""))),SUMPRODUCT((DME!$D$2:$D$1000&lt;&gt;"")*(DME!$L$2:$L$1000="")*(1-(TRIM(DME!$A$2:$A$1000)="Finalized")*(DME!$K$2:$K$1000&lt;&gt;""))),SUMPRODUCT((GAE!$D$2:$D$1000&lt;&gt;"")*(GAE!$L$2:$L$1000="")*(1-(TRIM(GAE!$A$2:$A$1000)="Finalized")*(GAE!$K$2:$K$1000&lt;&gt;""))),SUMPRODUCT((ORTHO!$D$2:$D$1000&lt;&gt;"")*(ORTHO!$L$2:$L$1000="")*(1-(TRIM(ORTHO!$A$2:$A$1000)="Finalized")*(ORTHO!$K$2:$K$1000&lt;&gt;""))),SUMPRODUCT((US!$D$2:$D$1000&lt;&gt;"")*(US!$L$2:$L$1000="")*(1-(TRIM(US!$A$2:$A$1000)="Finalized")*(US!$K$2:$K$1000&lt;&gt;""))))</f>
        <v>    5 - No limit on file: 3</v>
      </c>
    </row>
    <row r="13" spans="1:1" x14ac:dyDescent="0.25">
      <c r="A13" s="9"/>
    </row>
    <row r="14" spans="1:1" ht="30" x14ac:dyDescent="0.25">
      <c r="A14" s="9" t="s">
        <v>286</v>
      </c>
    </row>
    <row r="15" spans="1:1" ht="60" x14ac:dyDescent="0.25">
      <c r="A15" s="9" t="s">
        <v>287</v>
      </c>
    </row>
    <row r="16" spans="1:1" ht="30" x14ac:dyDescent="0.25">
      <c r="A16" s="9" t="s">
        <v>288</v>
      </c>
    </row>
    <row r="17" spans="1:1" ht="30" x14ac:dyDescent="0.25">
      <c r="A17" s="9" t="s">
        <v>289</v>
      </c>
    </row>
    <row r="18" spans="1:1" x14ac:dyDescent="0.25">
      <c r="A18" s="9"/>
    </row>
    <row r="19" spans="1:1" x14ac:dyDescent="0.25">
      <c r="A19" s="10" t="s">
        <v>290</v>
      </c>
    </row>
    <row r="20" spans="1:1" ht="45" x14ac:dyDescent="0.25">
      <c r="A20" s="9" t="s">
        <v>291</v>
      </c>
    </row>
    <row r="21" spans="1:1" x14ac:dyDescent="0.25">
      <c r="A21" s="9" t="s">
        <v>292</v>
      </c>
    </row>
    <row r="22" spans="1:1" ht="30" x14ac:dyDescent="0.25">
      <c r="A22" s="9" t="s">
        <v>293</v>
      </c>
    </row>
    <row r="23" spans="1:1" x14ac:dyDescent="0.25">
      <c r="A23" s="9"/>
    </row>
    <row r="24" spans="1:1" x14ac:dyDescent="0.25">
      <c r="A24" s="10" t="s">
        <v>294</v>
      </c>
    </row>
    <row r="25" spans="1:1" ht="30" x14ac:dyDescent="0.25">
      <c r="A25" s="9" t="s">
        <v>295</v>
      </c>
    </row>
    <row r="26" spans="1:1" ht="45" x14ac:dyDescent="0.25">
      <c r="A26" s="9" t="s">
        <v>296</v>
      </c>
    </row>
    <row r="27" spans="1:1" x14ac:dyDescent="0.25">
      <c r="A27" s="9"/>
    </row>
    <row r="28" spans="1:1" x14ac:dyDescent="0.25">
      <c r="A28" s="10" t="s">
        <v>297</v>
      </c>
    </row>
    <row r="29" spans="1:1" ht="45" x14ac:dyDescent="0.25">
      <c r="A29" s="9" t="s">
        <v>298</v>
      </c>
    </row>
    <row r="30" spans="1:1" ht="45" x14ac:dyDescent="0.25">
      <c r="A30" s="9" t="s">
        <v>299</v>
      </c>
    </row>
    <row r="31" spans="1:1" ht="30" x14ac:dyDescent="0.25">
      <c r="A31" s="9" t="s">
        <v>300</v>
      </c>
    </row>
    <row r="32" spans="1:1" x14ac:dyDescent="0.25">
      <c r="A32" s="9"/>
    </row>
    <row r="33" spans="1:1" x14ac:dyDescent="0.25">
      <c r="A33" s="10" t="s">
        <v>301</v>
      </c>
    </row>
    <row r="34" spans="1:1" ht="45" x14ac:dyDescent="0.25">
      <c r="A34" s="9" t="s">
        <v>302</v>
      </c>
    </row>
    <row r="35" spans="1:1" ht="30" x14ac:dyDescent="0.25">
      <c r="A35" s="9" t="s">
        <v>303</v>
      </c>
    </row>
    <row r="36" spans="1:1" x14ac:dyDescent="0.25">
      <c r="A36" s="9"/>
    </row>
    <row r="37" spans="1:1" x14ac:dyDescent="0.25">
      <c r="A37" s="9" t="s">
        <v>304</v>
      </c>
    </row>
    <row r="38" spans="1:1">
      <c r="A38" s="9"/>
    </row>
    <row r="39" spans="1:1">
      <c r="A39" s="10" t="inlineStr">
        <is>
          <t xml:space="preserve">Row colours by Claim Status</t>
        </is>
      </c>
    </row>
    <row r="40" spans="1:1" ht="45" customHeight="1">
      <c r="A40" s="9" t="inlineStr">
        <is>
          <t xml:space="preserve">Each claim row is shaded by its Claim Status (column A) using conditional formatting, so the colour follows the status automatically when it is changed. Rows with no Claim Status keep their normal formatting. The deadline countdown columns keep their own colour bands.</t>
        </is>
      </c>
    </row>
    <row r="41" spans="1:1">
      <c r="A41" s="9" t="inlineStr">
        <is>
          <t xml:space="preserve">    PAID - green</t>
        </is>
      </c>
    </row>
    <row r="42" spans="1:1">
      <c r="A42" s="9" t="inlineStr">
        <is>
          <t xml:space="preserve">    Finalized - blue</t>
        </is>
      </c>
    </row>
    <row r="43" spans="1:1">
      <c r="A43" s="9" t="inlineStr">
        <is>
          <t xml:space="preserve">    Received - lavender</t>
        </is>
      </c>
    </row>
    <row r="44" spans="1:1">
      <c r="A44" s="9" t="inlineStr">
        <is>
          <t xml:space="preserve">    Pending - yellow</t>
        </is>
      </c>
    </row>
    <row r="45" spans="1:1">
      <c r="A45" s="9" t="inlineStr">
        <is>
          <t xml:space="preserve">    Under Review - bright orange, bold (follow up on these)</t>
        </is>
      </c>
    </row>
    <row r="46" spans="1:1">
      <c r="A46" s="9" t="inlineStr">
        <is>
          <t xml:space="preserve">    Denied, not worked yet (Latest Date Worked empty) - red</t>
        </is>
      </c>
    </row>
    <row r="47" spans="1:1">
      <c r="A47" s="9" t="inlineStr">
        <is>
          <t xml:space="preserve">    Rejected - pink</t>
        </is>
      </c>
    </row>
    <row r="48" spans="1:1">
      <c r="A48" s="9" t="inlineStr">
        <is>
          <t xml:space="preserve">    Not found - grey</t>
        </is>
      </c>
    </row>
    <row r="49" spans="1:1">
      <c r="A49" s="9" t="inlineStr">
        <is>
          <t xml:space="preserve">    Denied, already worked (Latest Date Worked filled in) - light pink</t>
        </is>
      </c>
    </row>
    <row r="50" spans="1:1">
      <c r="A50" s="9" t="inlineStr">
        <is>
          <t xml:space="preserve">Any other status is left unshaded.</t>
        </is>
      </c>
    </row>
  </sheetData>
  <conditionalFormatting sqref="A41">
    <cfRule type="expression" dxfId="100" priority="1">
      <formula>TRUE</formula>
    </cfRule>
  </conditionalFormatting>
  <conditionalFormatting sqref="A42">
    <cfRule type="expression" dxfId="101" priority="2">
      <formula>TRUE</formula>
    </cfRule>
  </conditionalFormatting>
  <conditionalFormatting sqref="A43">
    <cfRule type="expression" dxfId="102" priority="3">
      <formula>TRUE</formula>
    </cfRule>
  </conditionalFormatting>
  <conditionalFormatting sqref="A44">
    <cfRule type="expression" dxfId="103" priority="4">
      <formula>TRUE</formula>
    </cfRule>
  </conditionalFormatting>
  <conditionalFormatting sqref="A45">
    <cfRule type="expression" dxfId="104" priority="5">
      <formula>TRUE</formula>
    </cfRule>
  </conditionalFormatting>
  <conditionalFormatting sqref="A46">
    <cfRule type="expression" dxfId="105" priority="6">
      <formula>TRUE</formula>
    </cfRule>
  </conditionalFormatting>
  <conditionalFormatting sqref="A47">
    <cfRule type="expression" dxfId="106" priority="7">
      <formula>TRUE</formula>
    </cfRule>
  </conditionalFormatting>
  <conditionalFormatting sqref="A48">
    <cfRule type="expression" dxfId="107" priority="8">
      <formula>TRUE</formula>
    </cfRule>
  </conditionalFormatting>
  <conditionalFormatting sqref="A49">
    <cfRule type="expression" dxfId="108" priority="9">
      <formula>TRUE</formula>
    </cfRule>
  </conditionalFormatting>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BH</vt:lpstr>
      <vt:lpstr>DME</vt:lpstr>
      <vt:lpstr>GAE</vt:lpstr>
      <vt:lpstr>ORTHO</vt:lpstr>
      <vt:lpstr>US</vt:lpstr>
      <vt:lpstr>Read 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Linda Mora</cp:lastModifiedBy>
  <cp:revision/>
  <dcterms:created xsi:type="dcterms:W3CDTF">2026-08-13T00:38:29Z</dcterms:created>
  <dcterms:modified xsi:type="dcterms:W3CDTF">2026-10-06T00:00:06Z</dcterms:modified>
  <cp:category/>
  <cp:contentStatus/>
</cp:coreProperties>
</file>