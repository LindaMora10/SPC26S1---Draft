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<sst xmlns="http://schemas.openxmlformats.org/spreadsheetml/2006/main" count="2262" uniqueCount="551">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</sst>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98</v>
      </c>
      <c r="B2" s="2" t="s">
        <v>549</v>
      </c>
      <c r="C2" s="3"/>
      <c r="D2" s="4">
        <v>558010066</v>
      </c>
      <c r="E2" s="5" t="s">
        <v>99</v>
      </c>
      <c r="F2" s="6">
        <v>46143</v>
      </c>
      <c r="G2" s="5" t="s">
        <v>71</v>
      </c>
      <c r="H2" s="5" t="s">
        <v>71</v>
      </c>
      <c r="I2" s="5" t="s">
        <v>44</v>
      </c>
      <c r="J2" s="5" t="s">
        <v>58</v>
      </c>
      <c r="K2" s="3">
        <v>46300</v>
      </c>
      <c r="L2" s="12">
        <f ca="1">IF($O2="","",$O2-TODAY())</f>
        <v>-70</v>
      </c>
      <c r="M2" s="12" t="str">
        <f ca="1">IF($C2="","",$C2+180-TODAY())</f>
        <v/>
      </c>
      <c r="N2" s="12" t="str">
        <f ca="1">IF($C2="","",$C2+365-TODAY())</f>
        <v/>
      </c>
      <c r="O2" s="6">
        <v>46233</v>
      </c>
      <c r="P2" s="5" t="s">
        <v>46</v>
      </c>
      <c r="Q2" s="5" t="s">
        <v>73</v>
      </c>
      <c r="R2" s="5" t="s">
        <v>48</v>
      </c>
      <c r="S2" s="5" t="s">
        <v>49</v>
      </c>
      <c r="T2" s="5" t="s">
        <v>50</v>
      </c>
      <c r="U2" s="5" t="s">
        <v>49</v>
      </c>
      <c r="V2" s="5"/>
      <c r="W2" s="5"/>
      <c r="X2" s="5"/>
      <c r="Y2" s="5" t="s">
        <v>51</v>
      </c>
      <c r="Z2" s="7">
        <v>1426.25</v>
      </c>
      <c r="AA2" s="7">
        <v>0</v>
      </c>
      <c r="AB2" s="7">
        <v>0</v>
      </c>
      <c r="AC2" s="6"/>
      <c r="AD2" s="7">
        <v>1426.25</v>
      </c>
      <c r="AE2" s="4">
        <v>99</v>
      </c>
      <c r="AF2" s="5" t="s">
        <v>80</v>
      </c>
      <c r="AG2" s="5"/>
      <c r="AH2" s="5"/>
      <c r="AI2" s="5"/>
      <c r="AJ2" s="4"/>
      <c r="AK2" s="5" t="s">
        <v>100</v>
      </c>
      <c r="AL2" s="5" t="s">
        <v>54</v>
      </c>
      <c r="AM2" s="6">
        <v>46180</v>
      </c>
      <c r="AN2" s="5" t="s">
        <v>55</v>
      </c>
    </row>
    <row r="3" spans="1:40" x14ac:dyDescent="0.25">
      <c r="A3" s="2" t="s">
        <v>530</v>
      </c>
      <c r="B3" s="2" t="s">
        <v>531</v>
      </c>
      <c r="C3" s="3">
        <v>46195</v>
      </c>
      <c r="D3" s="4">
        <v>560450629</v>
      </c>
      <c r="E3" s="5" t="s">
        <v>101</v>
      </c>
      <c r="F3" s="6">
        <v>46169</v>
      </c>
      <c r="G3" s="5" t="s">
        <v>102</v>
      </c>
      <c r="H3" s="5" t="s">
        <v>102</v>
      </c>
      <c r="I3" s="5" t="s">
        <v>44</v>
      </c>
      <c r="J3" s="5" t="s">
        <v>64</v>
      </c>
      <c r="K3" s="3"/>
      <c r="L3" s="12">
        <f ca="1">IF($O3="","",$O3-TODAY())</f>
        <v>-14</v>
      </c>
      <c r="M3" s="12">
        <f ca="1">IF($C3="","",$C3+180-TODAY())</f>
        <v>72</v>
      </c>
      <c r="N3" s="12">
        <f ca="1">IF($C3="","",$C3+180-TODAY())</f>
        <v>72</v>
      </c>
      <c r="O3" s="6">
        <v>46289</v>
      </c>
      <c r="P3" s="5" t="s">
        <v>103</v>
      </c>
      <c r="Q3" s="5" t="s">
        <v>104</v>
      </c>
      <c r="R3" s="5" t="s">
        <v>48</v>
      </c>
      <c r="S3" s="5" t="s">
        <v>49</v>
      </c>
      <c r="T3" s="5" t="s">
        <v>48</v>
      </c>
      <c r="U3" s="5" t="s">
        <v>49</v>
      </c>
      <c r="V3" s="5"/>
      <c r="W3" s="5"/>
      <c r="X3" s="5"/>
      <c r="Y3" s="5" t="s">
        <v>51</v>
      </c>
      <c r="Z3" s="7">
        <v>976.64</v>
      </c>
      <c r="AA3" s="7">
        <v>0</v>
      </c>
      <c r="AB3" s="7">
        <v>0</v>
      </c>
      <c r="AC3" s="6">
        <v>46195</v>
      </c>
      <c r="AD3" s="7">
        <v>976.64</v>
      </c>
      <c r="AE3" s="4">
        <v>73</v>
      </c>
      <c r="AF3" s="5" t="s">
        <v>59</v>
      </c>
      <c r="AG3" s="5"/>
      <c r="AH3" s="5"/>
      <c r="AI3" s="5"/>
      <c r="AJ3" s="4"/>
      <c r="AK3" s="5" t="s">
        <v>76</v>
      </c>
      <c r="AL3" s="5" t="s">
        <v>54</v>
      </c>
      <c r="AM3" s="6">
        <v>46182</v>
      </c>
      <c r="AN3" s="5" t="s">
        <v>55</v>
      </c>
    </row>
    <row r="4" spans="1:40" x14ac:dyDescent="0.25">
      <c r="A4" s="2" t="s">
        <v>530</v>
      </c>
      <c r="B4" s="2" t="s">
        <v>532</v>
      </c>
      <c r="C4" s="3"/>
      <c r="D4" s="4">
        <v>558642005</v>
      </c>
      <c r="E4" s="5" t="s">
        <v>158</v>
      </c>
      <c r="F4" s="6">
        <v>46150</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92</v>
      </c>
      <c r="AF4" s="5" t="s">
        <v>80</v>
      </c>
      <c r="AG4" s="5"/>
      <c r="AH4" s="5"/>
      <c r="AI4" s="5"/>
      <c r="AJ4" s="4"/>
      <c r="AK4" s="5" t="s">
        <v>157</v>
      </c>
      <c r="AL4" s="5" t="s">
        <v>86</v>
      </c>
      <c r="AM4" s="6">
        <v>46188</v>
      </c>
      <c r="AN4" s="5" t="s">
        <v>55</v>
      </c>
    </row>
    <row r="5" spans="1:40" x14ac:dyDescent="0.25">
      <c r="A5" s="2" t="s">
        <v>530</v>
      </c>
      <c r="B5" s="2" t="s">
        <v>532</v>
      </c>
      <c r="C5" s="3"/>
      <c r="D5" s="4">
        <v>560692149</v>
      </c>
      <c r="E5" s="5" t="s">
        <v>167</v>
      </c>
      <c r="F5" s="6">
        <v>46171</v>
      </c>
      <c r="G5" s="5" t="s">
        <v>159</v>
      </c>
      <c r="H5" s="5" t="s">
        <v>159</v>
      </c>
      <c r="I5" s="5" t="s">
        <v>44</v>
      </c>
      <c r="J5" s="5" t="s">
        <v>160</v>
      </c>
      <c r="K5" s="3"/>
      <c r="L5" s="4" t="str">
        <f ca="1">IF($O5="","",$O5-TODAY())</f>
        <v/>
      </c>
      <c r="M5" s="4"/>
      <c r="N5" s="4"/>
      <c r="O5" s="6"/>
      <c r="P5" s="5"/>
      <c r="Q5" s="5" t="s">
        <v>156</v>
      </c>
      <c r="R5" s="5"/>
      <c r="S5" s="5"/>
      <c r="T5" s="5"/>
      <c r="U5" s="5"/>
      <c r="V5" s="5"/>
      <c r="W5" s="5"/>
      <c r="X5" s="5"/>
      <c r="Y5" s="5" t="s">
        <v>51</v>
      </c>
      <c r="Z5" s="7">
        <v>1029.98</v>
      </c>
      <c r="AA5" s="7">
        <v>0</v>
      </c>
      <c r="AB5" s="7">
        <v>0</v>
      </c>
      <c r="AC5" s="6"/>
      <c r="AD5" s="7">
        <v>1029.98</v>
      </c>
      <c r="AE5" s="4">
        <v>71</v>
      </c>
      <c r="AF5" s="5" t="s">
        <v>80</v>
      </c>
      <c r="AG5" s="5"/>
      <c r="AH5" s="5"/>
      <c r="AI5" s="5"/>
      <c r="AJ5" s="4"/>
      <c r="AK5" s="5" t="s">
        <v>97</v>
      </c>
      <c r="AL5" s="5" t="s">
        <v>86</v>
      </c>
      <c r="AM5" s="6">
        <v>46182</v>
      </c>
      <c r="AN5" s="5" t="s">
        <v>55</v>
      </c>
    </row>
    <row r="6" spans="1:40" x14ac:dyDescent="0.25">
      <c r="A6" s="2" t="s">
        <v>40</v>
      </c>
      <c r="B6" s="2" t="s">
        <v>41</v>
      </c>
      <c r="C6" s="3"/>
      <c r="D6" s="4">
        <v>559331282</v>
      </c>
      <c r="E6" s="5" t="s">
        <v>42</v>
      </c>
      <c r="F6" s="6">
        <v>46156</v>
      </c>
      <c r="G6" s="5" t="s">
        <v>43</v>
      </c>
      <c r="H6" s="5" t="s">
        <v>43</v>
      </c>
      <c r="I6" s="5" t="s">
        <v>44</v>
      </c>
      <c r="J6" s="5" t="s">
        <v>45</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1372.91</v>
      </c>
      <c r="AA6" s="7">
        <v>0</v>
      </c>
      <c r="AB6" s="7">
        <v>0</v>
      </c>
      <c r="AC6" s="6"/>
      <c r="AD6" s="7">
        <v>1372.91</v>
      </c>
      <c r="AE6" s="4">
        <v>86</v>
      </c>
      <c r="AF6" s="5" t="s">
        <v>52</v>
      </c>
      <c r="AG6" s="5"/>
      <c r="AH6" s="5"/>
      <c r="AI6" s="5"/>
      <c r="AJ6" s="4"/>
      <c r="AK6" s="5" t="s">
        <v>53</v>
      </c>
      <c r="AL6" s="5" t="s">
        <v>54</v>
      </c>
      <c r="AM6" s="6">
        <v>46180</v>
      </c>
      <c r="AN6" s="5" t="s">
        <v>55</v>
      </c>
    </row>
    <row r="7" spans="1:40" x14ac:dyDescent="0.25">
      <c r="A7" s="2" t="s">
        <v>40</v>
      </c>
      <c r="B7" s="2" t="s">
        <v>56</v>
      </c>
      <c r="C7" s="3"/>
      <c r="D7" s="4">
        <v>559334288</v>
      </c>
      <c r="E7" s="5" t="s">
        <v>57</v>
      </c>
      <c r="F7" s="6">
        <v>46156</v>
      </c>
      <c r="G7" s="5" t="s">
        <v>43</v>
      </c>
      <c r="H7" s="5" t="s">
        <v>43</v>
      </c>
      <c r="I7" s="5" t="s">
        <v>44</v>
      </c>
      <c r="J7" s="5" t="s">
        <v>58</v>
      </c>
      <c r="K7" s="3">
        <v>46244</v>
      </c>
      <c r="L7" s="12">
        <f ca="1">IF($O7="","",$O7-TODAY())</f>
        <v>-57</v>
      </c>
      <c r="M7" s="12" t="str">
        <f ca="1">IF($C7="","",$C7+180-TODAY())</f>
        <v/>
      </c>
      <c r="N7" s="12" t="str">
        <f ca="1">IF($C7="","",$C7+365-TODAY())</f>
        <v/>
      </c>
      <c r="O7" s="6">
        <v>46246</v>
      </c>
      <c r="P7" s="5" t="s">
        <v>46</v>
      </c>
      <c r="Q7" s="5" t="s">
        <v>47</v>
      </c>
      <c r="R7" s="5" t="s">
        <v>48</v>
      </c>
      <c r="S7" s="5" t="s">
        <v>49</v>
      </c>
      <c r="T7" s="5" t="s">
        <v>50</v>
      </c>
      <c r="U7" s="5" t="s">
        <v>49</v>
      </c>
      <c r="V7" s="5"/>
      <c r="W7" s="5"/>
      <c r="X7" s="5"/>
      <c r="Y7" s="5" t="s">
        <v>51</v>
      </c>
      <c r="Z7" s="7">
        <v>1426.25</v>
      </c>
      <c r="AA7" s="7">
        <v>0</v>
      </c>
      <c r="AB7" s="7">
        <v>0</v>
      </c>
      <c r="AC7" s="6"/>
      <c r="AD7" s="7">
        <v>1426.25</v>
      </c>
      <c r="AE7" s="4">
        <v>86</v>
      </c>
      <c r="AF7" s="5" t="s">
        <v>59</v>
      </c>
      <c r="AG7" s="5"/>
      <c r="AH7" s="5"/>
      <c r="AI7" s="5"/>
      <c r="AJ7" s="4"/>
      <c r="AK7" s="5" t="s">
        <v>53</v>
      </c>
      <c r="AL7" s="5" t="s">
        <v>54</v>
      </c>
      <c r="AM7" s="6">
        <v>46180</v>
      </c>
      <c r="AN7" s="5" t="s">
        <v>55</v>
      </c>
    </row>
    <row r="8" spans="1:40" x14ac:dyDescent="0.25">
      <c r="A8" s="2" t="s">
        <v>40</v>
      </c>
      <c r="B8" s="2" t="s">
        <v>60</v>
      </c>
      <c r="C8" s="3"/>
      <c r="D8" s="4">
        <v>558887755</v>
      </c>
      <c r="E8" s="5" t="s">
        <v>61</v>
      </c>
      <c r="F8" s="6">
        <v>46153</v>
      </c>
      <c r="G8" s="5" t="s">
        <v>62</v>
      </c>
      <c r="H8" s="5" t="s">
        <v>62</v>
      </c>
      <c r="I8" s="5" t="s">
        <v>63</v>
      </c>
      <c r="J8" s="5" t="s">
        <v>64</v>
      </c>
      <c r="K8" s="3">
        <v>46245</v>
      </c>
      <c r="L8" s="12">
        <f ca="1">IF($O8="","",$O8-TODAY())</f>
        <v>-55</v>
      </c>
      <c r="M8" s="12" t="str">
        <f ca="1">IF($C8="","",$C8+90-TODAY())</f>
        <v/>
      </c>
      <c r="N8" s="12" t="str">
        <f ca="1">IF($C8="","",$C8+90-TODAY())</f>
        <v/>
      </c>
      <c r="O8" s="6">
        <v>46248</v>
      </c>
      <c r="P8" s="5" t="s">
        <v>65</v>
      </c>
      <c r="Q8" s="5" t="s">
        <v>66</v>
      </c>
      <c r="R8" s="5" t="s">
        <v>46</v>
      </c>
      <c r="S8" s="5" t="s">
        <v>49</v>
      </c>
      <c r="T8" s="5" t="s">
        <v>46</v>
      </c>
      <c r="U8" s="5" t="s">
        <v>49</v>
      </c>
      <c r="V8" s="5"/>
      <c r="W8" s="5"/>
      <c r="X8" s="5"/>
      <c r="Y8" s="5" t="s">
        <v>51</v>
      </c>
      <c r="Z8" s="7">
        <v>976.64</v>
      </c>
      <c r="AA8" s="7">
        <v>0</v>
      </c>
      <c r="AB8" s="7">
        <v>0</v>
      </c>
      <c r="AC8" s="6"/>
      <c r="AD8" s="7">
        <v>976.64</v>
      </c>
      <c r="AE8" s="4">
        <v>89</v>
      </c>
      <c r="AF8" s="5" t="s">
        <v>59</v>
      </c>
      <c r="AG8" s="5"/>
      <c r="AH8" s="5"/>
      <c r="AI8" s="5"/>
      <c r="AJ8" s="4"/>
      <c r="AK8" s="5" t="s">
        <v>67</v>
      </c>
      <c r="AL8" s="5" t="s">
        <v>68</v>
      </c>
      <c r="AM8" s="6">
        <v>46180</v>
      </c>
      <c r="AN8" s="5" t="s">
        <v>55</v>
      </c>
    </row>
    <row r="9" spans="1:40" x14ac:dyDescent="0.25">
      <c r="A9" s="2" t="s">
        <v>40</v>
      </c>
      <c r="B9" s="2" t="s">
        <v>69</v>
      </c>
      <c r="C9" s="3">
        <v>46189</v>
      </c>
      <c r="D9" s="4">
        <v>559931934</v>
      </c>
      <c r="E9" s="5" t="s">
        <v>70</v>
      </c>
      <c r="F9" s="6">
        <v>46162</v>
      </c>
      <c r="G9" s="5" t="s">
        <v>71</v>
      </c>
      <c r="H9" s="5" t="s">
        <v>71</v>
      </c>
      <c r="I9" s="5" t="s">
        <v>44</v>
      </c>
      <c r="J9" s="5" t="s">
        <v>72</v>
      </c>
      <c r="K9" s="3">
        <v>46245</v>
      </c>
      <c r="L9" s="12">
        <f ca="1">IF($O9="","",$O9-TODAY())</f>
        <v>-51</v>
      </c>
      <c r="M9" s="12">
        <f ca="1">IF($C9="","",$C9+180-TODAY())</f>
        <v>66</v>
      </c>
      <c r="N9" s="12">
        <f ca="1">IF($C9="","",$C9+365-TODAY())</f>
        <v>251</v>
      </c>
      <c r="O9" s="6">
        <v>46252</v>
      </c>
      <c r="P9" s="5" t="s">
        <v>46</v>
      </c>
      <c r="Q9" s="5" t="s">
        <v>73</v>
      </c>
      <c r="R9" s="5" t="s">
        <v>48</v>
      </c>
      <c r="S9" s="5" t="s">
        <v>49</v>
      </c>
      <c r="T9" s="5" t="s">
        <v>50</v>
      </c>
      <c r="U9" s="5" t="s">
        <v>49</v>
      </c>
      <c r="V9" s="5"/>
      <c r="W9" s="5"/>
      <c r="X9" s="5"/>
      <c r="Y9" s="5" t="s">
        <v>51</v>
      </c>
      <c r="Z9" s="7">
        <v>792.54</v>
      </c>
      <c r="AA9" s="7">
        <v>0</v>
      </c>
      <c r="AB9" s="7">
        <v>0</v>
      </c>
      <c r="AC9" s="6">
        <v>46196</v>
      </c>
      <c r="AD9" s="7">
        <v>792.54</v>
      </c>
      <c r="AE9" s="4">
        <v>80</v>
      </c>
      <c r="AF9" s="5" t="s">
        <v>74</v>
      </c>
      <c r="AG9" s="5" t="s">
        <v>75</v>
      </c>
      <c r="AH9" s="5"/>
      <c r="AI9" s="5"/>
      <c r="AJ9" s="4"/>
      <c r="AK9" s="5" t="s">
        <v>76</v>
      </c>
      <c r="AL9" s="5" t="s">
        <v>54</v>
      </c>
      <c r="AM9" s="6">
        <v>46182</v>
      </c>
      <c r="AN9" s="5" t="s">
        <v>55</v>
      </c>
    </row>
    <row r="10" spans="1:40" x14ac:dyDescent="0.25">
      <c r="A10" s="2" t="s">
        <v>40</v>
      </c>
      <c r="B10" s="2" t="s">
        <v>77</v>
      </c>
      <c r="C10" s="3">
        <v>46183</v>
      </c>
      <c r="D10" s="4">
        <v>560175340</v>
      </c>
      <c r="E10" s="5" t="s">
        <v>78</v>
      </c>
      <c r="F10" s="6">
        <v>46162</v>
      </c>
      <c r="G10" s="5" t="s">
        <v>71</v>
      </c>
      <c r="H10" s="5" t="s">
        <v>71</v>
      </c>
      <c r="I10" s="5" t="s">
        <v>71</v>
      </c>
      <c r="J10" s="5" t="s">
        <v>79</v>
      </c>
      <c r="K10" s="3">
        <v>46245</v>
      </c>
      <c r="L10" s="12">
        <f ca="1">IF($O10="","",$O10-TODAY())</f>
        <v>-51</v>
      </c>
      <c r="M10" s="12">
        <f ca="1">IF($C10="","",$C10+180-TODAY())</f>
        <v>60</v>
      </c>
      <c r="N10" s="12">
        <f ca="1">IF($C10="","",$C10+365-TODAY())</f>
        <v>245</v>
      </c>
      <c r="O10" s="6">
        <v>46252</v>
      </c>
      <c r="P10" s="5" t="s">
        <v>46</v>
      </c>
      <c r="Q10" s="5" t="s">
        <v>73</v>
      </c>
      <c r="R10" s="5" t="s">
        <v>48</v>
      </c>
      <c r="S10" s="5" t="s">
        <v>49</v>
      </c>
      <c r="T10" s="5" t="s">
        <v>50</v>
      </c>
      <c r="U10" s="5" t="s">
        <v>49</v>
      </c>
      <c r="V10" s="5"/>
      <c r="W10" s="5"/>
      <c r="X10" s="5"/>
      <c r="Y10" s="5" t="s">
        <v>51</v>
      </c>
      <c r="Z10" s="7">
        <v>396.27</v>
      </c>
      <c r="AA10" s="7">
        <v>0</v>
      </c>
      <c r="AB10" s="7">
        <v>0</v>
      </c>
      <c r="AC10" s="6">
        <v>46195</v>
      </c>
      <c r="AD10" s="7">
        <v>396.27</v>
      </c>
      <c r="AE10" s="4">
        <v>80</v>
      </c>
      <c r="AF10" s="5" t="s">
        <v>80</v>
      </c>
      <c r="AG10" s="5" t="s">
        <v>74</v>
      </c>
      <c r="AH10" s="5"/>
      <c r="AI10" s="5"/>
      <c r="AJ10" s="4"/>
      <c r="AK10" s="5" t="s">
        <v>81</v>
      </c>
      <c r="AL10" s="5" t="s">
        <v>54</v>
      </c>
      <c r="AM10" s="6">
        <v>46182</v>
      </c>
      <c r="AN10" s="5" t="s">
        <v>55</v>
      </c>
    </row>
    <row r="11" spans="1:40" x14ac:dyDescent="0.25">
      <c r="A11" s="2" t="s">
        <v>40</v>
      </c>
      <c r="B11" s="2" t="s">
        <v>82</v>
      </c>
      <c r="C11" s="3"/>
      <c r="D11" s="4">
        <v>560027331</v>
      </c>
      <c r="E11" s="5" t="s">
        <v>83</v>
      </c>
      <c r="F11" s="6">
        <v>46164</v>
      </c>
      <c r="G11" s="5" t="s">
        <v>43</v>
      </c>
      <c r="H11" s="5" t="s">
        <v>43</v>
      </c>
      <c r="I11" s="5" t="s">
        <v>44</v>
      </c>
      <c r="J11" s="5" t="s">
        <v>58</v>
      </c>
      <c r="K11" s="3">
        <v>46245</v>
      </c>
      <c r="L11" s="12">
        <f ca="1">IF($O11="","",$O11-TODAY())</f>
        <v>-49</v>
      </c>
      <c r="M11" s="12" t="str">
        <f ca="1">IF($C11="","",$C11+180-TODAY())</f>
        <v/>
      </c>
      <c r="N11" s="12" t="str">
        <f ca="1">IF($C11="","",$C11+365-TODAY())</f>
        <v/>
      </c>
      <c r="O11" s="6">
        <v>46254</v>
      </c>
      <c r="P11" s="5" t="s">
        <v>46</v>
      </c>
      <c r="Q11" s="5" t="s">
        <v>47</v>
      </c>
      <c r="R11" s="5" t="s">
        <v>48</v>
      </c>
      <c r="S11" s="5" t="s">
        <v>49</v>
      </c>
      <c r="T11" s="5" t="s">
        <v>50</v>
      </c>
      <c r="U11" s="5" t="s">
        <v>49</v>
      </c>
      <c r="V11" s="5"/>
      <c r="W11" s="5"/>
      <c r="X11" s="5"/>
      <c r="Y11" s="5" t="s">
        <v>51</v>
      </c>
      <c r="Z11" s="7">
        <v>1426.25</v>
      </c>
      <c r="AA11" s="7">
        <v>0</v>
      </c>
      <c r="AB11" s="7">
        <v>0</v>
      </c>
      <c r="AC11" s="6"/>
      <c r="AD11" s="7">
        <v>1426.25</v>
      </c>
      <c r="AE11" s="4">
        <v>78</v>
      </c>
      <c r="AF11" s="5" t="s">
        <v>84</v>
      </c>
      <c r="AG11" s="5"/>
      <c r="AH11" s="5"/>
      <c r="AI11" s="5"/>
      <c r="AJ11" s="4"/>
      <c r="AK11" s="5" t="s">
        <v>85</v>
      </c>
      <c r="AL11" s="5" t="s">
        <v>86</v>
      </c>
      <c r="AM11" s="6">
        <v>46182</v>
      </c>
      <c r="AN11" s="5" t="s">
        <v>55</v>
      </c>
    </row>
    <row r="12" spans="1:40" x14ac:dyDescent="0.25">
      <c r="A12" s="2" t="s">
        <v>87</v>
      </c>
      <c r="B12" s="2" t="s">
        <v>88</v>
      </c>
      <c r="C12" s="3">
        <v>46183</v>
      </c>
      <c r="D12" s="4">
        <v>560178463</v>
      </c>
      <c r="E12" s="5" t="s">
        <v>89</v>
      </c>
      <c r="F12" s="6">
        <v>46164</v>
      </c>
      <c r="G12" s="5" t="s">
        <v>71</v>
      </c>
      <c r="H12" s="5" t="s">
        <v>71</v>
      </c>
      <c r="I12" s="5" t="s">
        <v>90</v>
      </c>
      <c r="J12" s="5" t="s">
        <v>91</v>
      </c>
      <c r="K12" s="3">
        <v>46245</v>
      </c>
      <c r="L12" s="12">
        <f ca="1">IF($O12="","",$O12-TODAY())</f>
        <v>-49</v>
      </c>
      <c r="M12" s="12">
        <f ca="1">IF($C12="","",$C12+180-TODAY())</f>
        <v>60</v>
      </c>
      <c r="N12" s="12">
        <f ca="1">IF($C12="","",$C12+365-TODAY())</f>
        <v>245</v>
      </c>
      <c r="O12" s="6">
        <v>46254</v>
      </c>
      <c r="P12" s="5" t="s">
        <v>46</v>
      </c>
      <c r="Q12" s="5" t="s">
        <v>73</v>
      </c>
      <c r="R12" s="5" t="s">
        <v>48</v>
      </c>
      <c r="S12" s="5" t="s">
        <v>49</v>
      </c>
      <c r="T12" s="5" t="s">
        <v>50</v>
      </c>
      <c r="U12" s="5" t="s">
        <v>49</v>
      </c>
      <c r="V12" s="5"/>
      <c r="W12" s="5"/>
      <c r="X12" s="5"/>
      <c r="Y12" s="5" t="s">
        <v>51</v>
      </c>
      <c r="Z12" s="7">
        <v>1372.91</v>
      </c>
      <c r="AA12" s="7">
        <v>0</v>
      </c>
      <c r="AB12" s="7">
        <v>0</v>
      </c>
      <c r="AC12" s="6">
        <v>46189</v>
      </c>
      <c r="AD12" s="7">
        <v>1372.91</v>
      </c>
      <c r="AE12" s="4">
        <v>78</v>
      </c>
      <c r="AF12" s="5" t="s">
        <v>92</v>
      </c>
      <c r="AG12" s="5" t="s">
        <v>75</v>
      </c>
      <c r="AH12" s="5"/>
      <c r="AI12" s="5"/>
      <c r="AJ12" s="4"/>
      <c r="AK12" s="5" t="s">
        <v>53</v>
      </c>
      <c r="AL12" s="5" t="s">
        <v>54</v>
      </c>
      <c r="AM12" s="6">
        <v>46181</v>
      </c>
      <c r="AN12" s="5" t="s">
        <v>55</v>
      </c>
    </row>
    <row r="13" spans="1:40" x14ac:dyDescent="0.25">
      <c r="A13" s="2" t="s">
        <v>87</v>
      </c>
      <c r="B13" s="2" t="s">
        <v>93</v>
      </c>
      <c r="C13" s="3">
        <v>46191</v>
      </c>
      <c r="D13" s="4">
        <v>560664762</v>
      </c>
      <c r="E13" s="5" t="s">
        <v>94</v>
      </c>
      <c r="F13" s="6">
        <v>46171</v>
      </c>
      <c r="G13" s="5" t="s">
        <v>95</v>
      </c>
      <c r="H13" s="5" t="s">
        <v>95</v>
      </c>
      <c r="I13" s="5" t="s">
        <v>44</v>
      </c>
      <c r="J13" s="5" t="s">
        <v>91</v>
      </c>
      <c r="K13" s="3">
        <v>46245</v>
      </c>
      <c r="L13" s="12">
        <f ca="1">IF($O13="","",$O13-TODAY())</f>
        <v>-42</v>
      </c>
      <c r="M13" s="12">
        <f ca="1">IF($C13="","",$C13+365-TODAY())</f>
        <v>253</v>
      </c>
      <c r="N13" s="12">
        <f ca="1">IF($C13="","",$C13+365-TODAY())</f>
        <v>253</v>
      </c>
      <c r="O13" s="6">
        <v>46261</v>
      </c>
      <c r="P13" s="5" t="s">
        <v>46</v>
      </c>
      <c r="Q13" s="5" t="s">
        <v>96</v>
      </c>
      <c r="R13" s="5" t="s">
        <v>50</v>
      </c>
      <c r="S13" s="5" t="s">
        <v>49</v>
      </c>
      <c r="T13" s="5" t="s">
        <v>50</v>
      </c>
      <c r="U13" s="5" t="s">
        <v>49</v>
      </c>
      <c r="V13" s="5"/>
      <c r="W13" s="5"/>
      <c r="X13" s="5"/>
      <c r="Y13" s="5" t="s">
        <v>51</v>
      </c>
      <c r="Z13" s="7">
        <v>1372.91</v>
      </c>
      <c r="AA13" s="7">
        <v>0</v>
      </c>
      <c r="AB13" s="7">
        <v>0</v>
      </c>
      <c r="AC13" s="6">
        <v>46191</v>
      </c>
      <c r="AD13" s="7">
        <v>1372.91</v>
      </c>
      <c r="AE13" s="4">
        <v>71</v>
      </c>
      <c r="AF13" s="5" t="s">
        <v>80</v>
      </c>
      <c r="AG13" s="5"/>
      <c r="AH13" s="5"/>
      <c r="AI13" s="5"/>
      <c r="AJ13" s="4"/>
      <c r="AK13" s="5" t="s">
        <v>97</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IF($C3="","",$C3+365-TODAY())</f>
        <v>311</v>
      </c>
      <c r="N3" s="12">
        <f ca="1">IF($C3="","",$C3+120-TODAY())</f>
        <v>66</v>
      </c>
      <c r="O3" s="6">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IF($C4="","",$C4+365-TODAY())</f>
        <v>264</v>
      </c>
      <c r="N4" s="12">
        <f ca="1">IF($C4="","",$C4+120-TODAY())</f>
        <v>19</v>
      </c>
      <c r="O4" s="6">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IF($C5="","",$C5+365-TODAY())</f>
        <v>271</v>
      </c>
      <c r="N5" s="12">
        <f ca="1">IF($C5="","",$C5+120-TODAY())</f>
        <v>26</v>
      </c>
      <c r="O5" s="6">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IF($C6="","",$C6+365-TODAY())</f>
        <v>311</v>
      </c>
      <c r="N6" s="12">
        <f ca="1">IF($C6="","",$C6+120-TODAY())</f>
        <v>66</v>
      </c>
      <c r="O6" s="6">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IF($C7="","",$C7+365-TODAY())</f>
        <v/>
      </c>
      <c r="N7" s="12" t="str">
        <f ca="1">IF($C7="","",$C7+365-TODAY())</f>
        <v/>
      </c>
      <c r="O7" s="6">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IF($C8="","",$C8+365-TODAY())</f>
        <v/>
      </c>
      <c r="N8" s="12" t="str">
        <f ca="1">IF($C8="","",$C8+365-TODAY())</f>
        <v/>
      </c>
      <c r="O8" s="6">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IF($C9="","",$C9+365-TODAY())</f>
        <v>258</v>
      </c>
      <c r="N9" s="12">
        <f ca="1">IF($C9="","",$C9+365-TODAY())</f>
        <v>258</v>
      </c>
      <c r="O9" s="6">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IF($F10="","",$F10+90-TODAY())</f>
        <v>-53</v>
      </c>
      <c r="N10" s="12">
        <f ca="1">IF($C10="","",$C10+540-TODAY())</f>
        <v>422</v>
      </c>
      <c r="O10" s="6">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IF($C11="","",$C11+365-TODAY())</f>
        <v>246</v>
      </c>
      <c r="N11" s="12">
        <f ca="1">IF($C11="","",$C11+90-TODAY())</f>
        <v>-29</v>
      </c>
      <c r="O11" s="6">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IF($F12="","",$F12+365-TODAY())</f>
        <v>230</v>
      </c>
      <c r="N12" s="12">
        <f ca="1">IF($F12="","",$F12+365-TODAY())</f>
        <v>230</v>
      </c>
      <c r="O12" s="6">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IF($F13="","",$F13+365-TODAY())</f>
        <v>208</v>
      </c>
      <c r="N13" s="12">
        <f ca="1">IF($F13="","",$F13+365-TODAY())</f>
        <v>208</v>
      </c>
      <c r="O13" s="6">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IF($F14="","",$F14+365-TODAY())</f>
        <v>232</v>
      </c>
      <c r="N14" s="12">
        <f ca="1">IF($F14="","",$F14+365-TODAY())</f>
        <v>232</v>
      </c>
      <c r="O14" s="6">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IF($C15="","",$C15+365-TODAY())</f>
        <v>218</v>
      </c>
      <c r="N15" s="12">
        <f ca="1">IF($C15="","",$C15+120-TODAY())</f>
        <v>-27</v>
      </c>
      <c r="O15" s="6">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IF($C16="","",$C16+365-TODAY())</f>
        <v>247</v>
      </c>
      <c r="N16" s="12">
        <f ca="1">IF($C16="","",$C16+120-TODAY())</f>
        <v>2</v>
      </c>
      <c r="O16" s="6">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IF($C17="","",$C17+365-TODAY())</f>
        <v>273</v>
      </c>
      <c r="N17" s="12">
        <f ca="1">IF($C17="","",$C17+120-TODAY())</f>
        <v>28</v>
      </c>
      <c r="O17" s="6">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IF($C18="","",$C18+365-TODAY())</f>
        <v>266</v>
      </c>
      <c r="N18" s="12">
        <f ca="1">IF($C18="","",$C18+120-TODAY())</f>
        <v>21</v>
      </c>
      <c r="O18" s="6">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IF($C19="","",$C19+365-TODAY())</f>
        <v>224</v>
      </c>
      <c r="N19" s="12">
        <f ca="1">IF($C19="","",$C19+90-TODAY())</f>
        <v>-51</v>
      </c>
      <c r="O19" s="6">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IF($F20="","",$F20+90-TODAY())</f>
        <v>-67</v>
      </c>
      <c r="N20" s="12">
        <f ca="1">IF($C20="","",$C20+365-TODAY())</f>
        <v>246</v>
      </c>
      <c r="O20" s="6">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IF($F21="","",$F21+90-TODAY())</f>
        <v>-63</v>
      </c>
      <c r="N21" s="12">
        <f ca="1">IF($C21="","",$C21+180-TODAY())</f>
        <v>101</v>
      </c>
      <c r="O21" s="6">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IF($F22="","",$F22+90-TODAY())</f>
        <v>-60</v>
      </c>
      <c r="N22" s="12">
        <f ca="1">IF($C22="","",$C22+365-TODAY())</f>
        <v>265</v>
      </c>
      <c r="O22" s="6">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r="L25" s="12">
        <f ca="1">IF($O25="","",$O25-TODAY())</f>
        <v>-50</v>
      </c>
      <c r="M25" s="12">
        <f ca="1">IF($C25="","",$C25+180-TODAY())</f>
        <v>60</v>
      </c>
      <c r="N25" s="12">
        <f ca="1">IF($C25="","",$C25+365-TODAY())</f>
        <v>245</v>
      </c>
      <c r="O25" s="6">
        <v>46253</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r="L26" s="12">
        <f ca="1">IF($O26="","",$O26-TODAY())</f>
        <v>-49</v>
      </c>
      <c r="M26" s="12">
        <f ca="1">IF($C26="","",$C26+365-TODAY())</f>
        <v>256</v>
      </c>
      <c r="N26" s="12">
        <f ca="1">IF($C26="","",$C26+365-TODAY())</f>
        <v>256</v>
      </c>
      <c r="O26" s="6">
        <v>46254</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r="L27" s="12">
        <f ca="1">IF($O27="","",$O27-TODAY())</f>
        <v>-45</v>
      </c>
      <c r="M27" s="12">
        <f ca="1">IF($C27="","",$C27+180-TODAY())</f>
        <v>68</v>
      </c>
      <c r="N27" s="12">
        <f ca="1">IF($C27="","",$C27+365-TODAY())</f>
        <v>253</v>
      </c>
      <c r="O27" s="6">
        <v>46258</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r="L28" s="12">
        <f ca="1">IF($O28="","",$O28-TODAY())</f>
        <v>-37</v>
      </c>
      <c r="M28" s="12"/>
      <c r="N28" s="12">
        <f ca="1">IF($C28="","",$C28+65-TODAY())</f>
        <v>-15</v>
      </c>
      <c r="O28" s="6">
        <v>46266</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r="L29" s="12">
        <f ca="1">IF($O29="","",$O29-TODAY())</f>
        <v>218</v>
      </c>
      <c r="M29" s="12">
        <f ca="1">IF($C29="","",$C29+365-TODAY())</f>
        <v>309</v>
      </c>
      <c r="N29" s="12">
        <f ca="1">IF($C29="","",$C29+120-TODAY())</f>
        <v>64</v>
      </c>
      <c r="O29" s="6">
        <v>46521</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r="L30" s="12">
        <f ca="1">IF($O30="","",$O30-TODAY())</f>
        <v>222</v>
      </c>
      <c r="M30" s="12">
        <f ca="1">IF($C30="","",$C30+365-TODAY())</f>
        <v>281</v>
      </c>
      <c r="N30" s="12">
        <f ca="1">IF($C30="","",$C30+120-TODAY())</f>
        <v>36</v>
      </c>
      <c r="O30" s="6">
        <v>46525</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r="L31" s="12">
        <f ca="1">IF($O31="","",$O31-TODAY())</f>
        <v>223</v>
      </c>
      <c r="M31" s="12">
        <f ca="1">IF($C31="","",$C31+365-TODAY())</f>
        <v>308</v>
      </c>
      <c r="N31" s="12">
        <f ca="1">IF($C31="","",$C31+120-TODAY())</f>
        <v>63</v>
      </c>
      <c r="O31" s="6">
        <v>46526</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IF($F4="","",$F4+90-TODAY())</f>
        <v>-57</v>
      </c>
      <c r="N4" s="12">
        <f ca="1">IF($C4="","",$C4+180-TODAY())</f>
        <v>47</v>
      </c>
      <c r="O4" s="6">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IF($C5="","",$C5+180-TODAY())</f>
        <v>129</v>
      </c>
      <c r="N5" s="12">
        <f ca="1">IF($C5="","",$C5+365-TODAY())</f>
        <v>314</v>
      </c>
      <c r="O5" s="6">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IF($C6="","",$C6+180-TODAY())</f>
        <v>119</v>
      </c>
      <c r="N6" s="12">
        <f ca="1">IF($C6="","",$C6+365-TODAY())</f>
        <v>304</v>
      </c>
      <c r="O6" s="6">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IF($C9="","",$C9+365-TODAY())</f>
        <v>246</v>
      </c>
      <c r="N9" s="12">
        <f ca="1">IF($C9="","",$C9+90-TODAY())</f>
        <v>-29</v>
      </c>
      <c r="O9" s="6">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IF($C10="","",$C10+365-TODAY())</f>
        <v>219</v>
      </c>
      <c r="N10" s="12">
        <f ca="1">IF($C10="","",$C10+120-TODAY())</f>
        <v>-26</v>
      </c>
      <c r="O10" s="6">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IF($C11="","",$C11+365-TODAY())</f>
        <v>223</v>
      </c>
      <c r="N11" s="12">
        <f ca="1">IF($C11="","",$C11+120-TODAY())</f>
        <v>-22</v>
      </c>
      <c r="O11" s="6">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IF($C12="","",$C12+365-TODAY())</f>
        <v>307</v>
      </c>
      <c r="N12" s="12">
        <f ca="1">IF($C12="","",$C12+120-TODAY())</f>
        <v>62</v>
      </c>
      <c r="O12" s="6">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IF($C13="","",$C13+365-TODAY())</f>
        <v>230</v>
      </c>
      <c r="N13" s="12">
        <f ca="1">IF($C13="","",$C13+120-TODAY())</f>
        <v>-15</v>
      </c>
      <c r="O13" s="6">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IF($C14="","",$C14+365-TODAY())</f>
        <v>230</v>
      </c>
      <c r="N14" s="12">
        <f ca="1">IF($C14="","",$C14+120-TODAY())</f>
        <v>-15</v>
      </c>
      <c r="O14" s="6">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IF($C15="","",$C15+365-TODAY())</f>
        <v>251</v>
      </c>
      <c r="N15" s="12">
        <f ca="1">IF($C15="","",$C15+120-TODAY())</f>
        <v>6</v>
      </c>
      <c r="O15" s="6">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IF($C16="","",$C16+180-TODAY())</f>
        <v>47</v>
      </c>
      <c r="N16" s="12">
        <f ca="1">IF($C16="","",$C16+365-TODAY())</f>
        <v>232</v>
      </c>
      <c r="O16" s="6">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IF($F17="","",$F17+90-TODAY())</f>
        <v>-65</v>
      </c>
      <c r="N17" s="12">
        <f ca="1">IF($C17="","",$C17+365-TODAY())</f>
        <v>259</v>
      </c>
      <c r="O17" s="6">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IF($C18="","",$C18+365-TODAY())</f>
        <v>324</v>
      </c>
      <c r="N18" s="12">
        <f ca="1">IF($C18="","",$C18+365-TODAY())</f>
        <v>324</v>
      </c>
      <c r="O18" s="6">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r="L19" s="12">
        <f ca="1">IF($O19="","",$O19-TODAY())</f>
        <v>-51</v>
      </c>
      <c r="M19" s="12">
        <f ca="1">IF($C19="","",$C19+90-TODAY())</f>
        <v>-43</v>
      </c>
      <c r="N19" s="12">
        <f ca="1">IF($C19="","",$C19+90-TODAY())</f>
        <v>-43</v>
      </c>
      <c r="O19" s="6">
        <v>46252</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r="L20" s="12">
        <f ca="1">IF($O20="","",$O20-TODAY())</f>
        <v>-45</v>
      </c>
      <c r="M20" s="12">
        <f ca="1">IF($F20="","",$F20+90-TODAY())</f>
        <v>-45</v>
      </c>
      <c r="N20" s="12">
        <f ca="1">IF($C20="","",$C20+180-TODAY())</f>
        <v>108</v>
      </c>
      <c r="O20" s="6">
        <v>46258</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r="L21" s="12">
        <f ca="1">IF($O21="","",$O21-TODAY())</f>
        <v>-30</v>
      </c>
      <c r="M21" s="12">
        <f ca="1">IF($C21="","",$C21+180-TODAY())</f>
        <v>41</v>
      </c>
      <c r="N21" s="12">
        <f ca="1">IF($C21="","",$C21+180-TODAY())</f>
        <v>41</v>
      </c>
      <c r="O21" s="6">
        <v>46273</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r="L22" s="12">
        <f ca="1">IF($O22="","",$O22-TODAY())</f>
        <v>-27</v>
      </c>
      <c r="M22" s="12">
        <f ca="1">IF($C22="","",$C22+180-TODAY())</f>
        <v>48</v>
      </c>
      <c r="N22" s="12">
        <f ca="1">IF($C22="","",$C22+180-TODAY())</f>
        <v>48</v>
      </c>
      <c r="O22" s="6">
        <v>46276</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r="L23" s="12">
        <f ca="1">IF($O23="","",$O23-TODAY())</f>
        <v>33</v>
      </c>
      <c r="M23" s="12">
        <f ca="1">IF($F23="","",$F23+180-TODAY())</f>
        <v>33</v>
      </c>
      <c r="N23" s="12">
        <f ca="1">IF($C23="","",$C23+180-TODAY())</f>
        <v>47</v>
      </c>
      <c r="O23" s="6">
        <v>46336</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90"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