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617" documentId="11_6B9BB8725AE71A15A966DEDF36453D74718E7D59" xr6:coauthVersionLast="47" xr6:coauthVersionMax="47" xr10:uidLastSave="{8D31CDF8-786D-46C4-8E92-04AC5EADF765}"/>
  <bookViews>
    <workbookView xWindow="-28920" yWindow="-1875" windowWidth="29040" windowHeight="15720" activeTab="3"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BH!$A$1:$AO$31</definedName>
    <definedName name="_xlnm._FilterDatabase" localSheetId="1" hidden="1">DME!$A$1:$AO$35</definedName>
    <definedName name="_xlnm._FilterDatabase" localSheetId="2" hidden="1">GAE!$A$1:$AO$7</definedName>
    <definedName name="_xlnm._FilterDatabase" localSheetId="3" hidden="1">ORTHO!$A$1:$AO$23</definedName>
    <definedName name="_xlnm._FilterDatabase" localSheetId="4" hidden="1">US!$A$1:$AO$16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100-000003000000}">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200-00000300000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300-000003000000}">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400-000003000000}">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<sst xmlns="http://schemas.openxmlformats.org/spreadsheetml/2006/main" count="2262" uniqueCount="551">
  <si>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</si>
  <si>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</si>
  <si>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</si>
  <si>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</si>
  <si>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</si>
  <si>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</si>
  <si>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</si>
  <si>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</si>
  <si>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</si>
  <si>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</si>
  <si>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</si>
  <si>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</si>
  <si>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</si>
  <si>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</si>
  <si>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</si>
  <si>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</si>
  <si>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</si>
  <si>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</si>
  <si>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</si>
  <si>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</si>
  <si>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</si>
  <si>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</si>
  <si>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</si>
  <si>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</si>
  <si>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</si>
  <si>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</si>
  <si>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</si>
  <si>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</si>
  <si>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</si>
  <si>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</si>
  <si>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</si>
  <si>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</si>
  <si>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</si>
  <si>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</si>
  <si>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</si>
  <si>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</si>
  <si>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</si>
  <si>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</si>
  <si>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</si>
  <si>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</si>
  <si>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Pending</t>
  </si>
  <si>
    <t>Uploaded MR - PIQ-88903761</t>
  </si>
  <si>
    <t>HF479934906</t>
  </si>
  <si>
    <t>United Healthcare</t>
  </si>
  <si>
    <t>No Payer</t>
  </si>
  <si>
    <t>99494 x1; 99493 x1</t>
  </si>
  <si>
    <t>90 days</t>
  </si>
  <si>
    <t>UHC COMMERCIAL</t>
  </si>
  <si>
    <t>180 days</t>
  </si>
  <si>
    <t>Processed date</t>
  </si>
  <si>
    <t>365 days</t>
  </si>
  <si>
    <t>1</t>
  </si>
  <si>
    <t>F4312</t>
  </si>
  <si>
    <t>MEARS, CHAD</t>
  </si>
  <si>
    <t>ASAP - DEER VALLEY</t>
  </si>
  <si>
    <t>BH</t>
  </si>
  <si>
    <t>Uploaded MR - PIQ-88903858</t>
  </si>
  <si>
    <t>HF555357253</t>
  </si>
  <si>
    <t>99494 x1; 99492 x1</t>
  </si>
  <si>
    <t>F4320</t>
  </si>
  <si>
    <t>On hold - Missing MR - Uploaded MR on portal</t>
  </si>
  <si>
    <t>HF475049197</t>
  </si>
  <si>
    <t>Allwell - All States (Centene)</t>
  </si>
  <si>
    <t>Arizona Complete Health (Centene)</t>
  </si>
  <si>
    <t>99493 x1</t>
  </si>
  <si>
    <t>95 days</t>
  </si>
  <si>
    <t>WELLCARE BY ALLWELL</t>
  </si>
  <si>
    <t>SARKAR, AWNIK</t>
  </si>
  <si>
    <t>ASAP Peoria</t>
  </si>
  <si>
    <t>Corrected service line 1 to 99492, and resubmitted - Processed date 06/16/2026</t>
  </si>
  <si>
    <t>HF494160468</t>
  </si>
  <si>
    <t>UnitedHealthcare Community Plan / Arizona Long Term Care</t>
  </si>
  <si>
    <t>99494 x1; 99494 x1</t>
  </si>
  <si>
    <t>UHC COMMUNITY</t>
  </si>
  <si>
    <t>F32A</t>
  </si>
  <si>
    <t>F411</t>
  </si>
  <si>
    <t>O'NEIL, ROY</t>
  </si>
  <si>
    <t>Corrected service line 1 - Changed to 99492, and resubmitted - Processed date 06/10/2026</t>
  </si>
  <si>
    <t>HF485806241</t>
  </si>
  <si>
    <t>99494 x1</t>
  </si>
  <si>
    <t>F1190</t>
  </si>
  <si>
    <t>TURLEY, TODD</t>
  </si>
  <si>
    <t>Uploaded MR - PIQ-88958247</t>
  </si>
  <si>
    <t>HF495815066</t>
  </si>
  <si>
    <t>F39</t>
  </si>
  <si>
    <t>MORALES, DAVID</t>
  </si>
  <si>
    <t>ASAP - Gilbert</t>
  </si>
  <si>
    <t>Denied</t>
  </si>
  <si>
    <t>UHC not active on DOS - Resubmitted to Mercy Care (secondary)</t>
  </si>
  <si>
    <t>HF528535429</t>
  </si>
  <si>
    <t>Mercy Care RBHA</t>
  </si>
  <si>
    <t>99493 x1; 99494 x1</t>
  </si>
  <si>
    <t>F331</t>
  </si>
  <si>
    <t>We have to wait for claim on DOS 02/20/2026 approval to reprocess</t>
  </si>
  <si>
    <t>HF460603685</t>
  </si>
  <si>
    <t>Optum Care Medical Network of Arizona, Utah, &amp; Washington (LifePrint)</t>
  </si>
  <si>
    <t>OPTUM</t>
  </si>
  <si>
    <t>LEATHEM, JARRETT</t>
  </si>
  <si>
    <t>Rejected</t>
  </si>
  <si>
    <t>HF384867230</t>
  </si>
  <si>
    <t>ADLER, STEVEN</t>
  </si>
  <si>
    <t>HF539945835</t>
  </si>
  <si>
    <t>Banner Health &amp; Aetna Health Insurance Company</t>
  </si>
  <si>
    <t>120 days</t>
  </si>
  <si>
    <t>BANNER HEALTH &amp; AETNA</t>
  </si>
  <si>
    <t>HF559365958</t>
  </si>
  <si>
    <t>Aetna Legacy</t>
  </si>
  <si>
    <t>99484+95 x1</t>
  </si>
  <si>
    <t>AETNA</t>
  </si>
  <si>
    <t>95</t>
  </si>
  <si>
    <t>G959</t>
  </si>
  <si>
    <t>R7989</t>
  </si>
  <si>
    <t>Z79891</t>
  </si>
  <si>
    <t>Z1331</t>
  </si>
  <si>
    <t>WILSON, JARED</t>
  </si>
  <si>
    <t>Finalized</t>
  </si>
  <si>
    <t>PAID</t>
  </si>
  <si>
    <t>HF548056702</t>
  </si>
  <si>
    <t>Medicare Part B Arizona *</t>
  </si>
  <si>
    <t>ChampVA - HAC</t>
  </si>
  <si>
    <t>99492 x1; 99494 x1</t>
  </si>
  <si>
    <t>MEDICARE</t>
  </si>
  <si>
    <t>BAUGHER, TIMOTHY</t>
  </si>
  <si>
    <t>MBI updated on chart, and resubmitted - MBI End Date 04/14/2026</t>
  </si>
  <si>
    <t>HF480155713</t>
  </si>
  <si>
    <t>AARP United Healthcare</t>
  </si>
  <si>
    <t>99494 x2; 99492 x1</t>
  </si>
  <si>
    <t>2, 1</t>
  </si>
  <si>
    <t>F4323</t>
  </si>
  <si>
    <t>PENDING POSTING - Secondary</t>
  </si>
  <si>
    <t>HF552240602</t>
  </si>
  <si>
    <t>Blue Cross Blue Shield of Arizona (BCBS AZ)</t>
  </si>
  <si>
    <t>HF465024111</t>
  </si>
  <si>
    <t>HF514978991</t>
  </si>
  <si>
    <t>Bankers Life Colonial Penn Life</t>
  </si>
  <si>
    <t>secondary - adjusted balance - Termed date 04/30/2026</t>
  </si>
  <si>
    <t>HF470696196</t>
  </si>
  <si>
    <t>HF441452642</t>
  </si>
  <si>
    <t>HF537014260</t>
  </si>
  <si>
    <t>HF494117278</t>
  </si>
  <si>
    <t>BURGHER, ABRAM</t>
  </si>
  <si>
    <t>Resubmitted to AARP MedicareComplete (SecureHorizons &amp; Oxford Network)</t>
  </si>
  <si>
    <t>HF480313866</t>
  </si>
  <si>
    <t>AARP MedicareComplete (SecureHorizons &amp; Oxford Network)</t>
  </si>
  <si>
    <t>60 days</t>
  </si>
  <si>
    <t>AARP MA CHOICE / MEDICARE COMPLETE</t>
  </si>
  <si>
    <t>Requested Linda W. fax medical records to 480-499-8744 - TAT I have to send MR 08/18/2026</t>
  </si>
  <si>
    <t>HF554254508</t>
  </si>
  <si>
    <t>Arizona Priority Care Plus</t>
  </si>
  <si>
    <t>AZ PRIORITY CARE</t>
  </si>
  <si>
    <t>Billed to PR - Adjusted ins balance- Provider OON  - Audit #: WY03MQKV - Provider inquiry</t>
  </si>
  <si>
    <t>HF458717535</t>
  </si>
  <si>
    <t>BCBS</t>
  </si>
  <si>
    <t>Resubmitted to Optum</t>
  </si>
  <si>
    <t>HF548715732</t>
  </si>
  <si>
    <t>Alignment Health Care</t>
  </si>
  <si>
    <t>Not on reference list</t>
  </si>
  <si>
    <t>KALLGREN, MARK</t>
  </si>
  <si>
    <t>HF509754338</t>
  </si>
  <si>
    <t>Gold Kidney Health Plan</t>
  </si>
  <si>
    <t>99492 x1</t>
  </si>
  <si>
    <t>HF543849258</t>
  </si>
  <si>
    <t>KRAUSE, JEFFREY</t>
  </si>
  <si>
    <t>HF516521878</t>
  </si>
  <si>
    <t>HF387513216</t>
  </si>
  <si>
    <t>HF559981122</t>
  </si>
  <si>
    <t>EMI Health (Educators Mutual - EMIA)</t>
  </si>
  <si>
    <t>HF550464457</t>
  </si>
  <si>
    <t>Latest Date Worked</t>
  </si>
  <si>
    <t>HF549730183</t>
  </si>
  <si>
    <t>LIEN 03</t>
  </si>
  <si>
    <t>A6023+A1 x20</t>
  </si>
  <si>
    <t>A1</t>
  </si>
  <si>
    <t>20</t>
  </si>
  <si>
    <t>G894</t>
  </si>
  <si>
    <t>M50022</t>
  </si>
  <si>
    <t>M50023</t>
  </si>
  <si>
    <t>M50122</t>
  </si>
  <si>
    <t>MCCUNNIFF, PETER</t>
  </si>
  <si>
    <t>DME</t>
  </si>
  <si>
    <t>Checking with auth team</t>
  </si>
  <si>
    <t>HF543653317</t>
  </si>
  <si>
    <t>A6010+A2 x20</t>
  </si>
  <si>
    <t>A2</t>
  </si>
  <si>
    <t>TONDINI, JENISE</t>
  </si>
  <si>
    <t>ASAP - Goodyear</t>
  </si>
  <si>
    <t>Removed rendering, added servicing, changed from professional to DME, and resubmitted - Denied due to missing auth - I see rendering OON -  Processed date 06/12/2026</t>
  </si>
  <si>
    <t>HF545888888</t>
  </si>
  <si>
    <t>Humana Gold Plus HMO</t>
  </si>
  <si>
    <t>A6023+A2 x40</t>
  </si>
  <si>
    <t>HUMANA MA</t>
  </si>
  <si>
    <t>Date of service</t>
  </si>
  <si>
    <t>40</t>
  </si>
  <si>
    <t>G90523</t>
  </si>
  <si>
    <t>Van Dyke, Sandra</t>
  </si>
  <si>
    <t>Billed PT according to ABN charges agreed.</t>
  </si>
  <si>
    <t>HF533960930</t>
  </si>
  <si>
    <t>Molina Complete Care of Arizona (Magellan Complete Care AZ)</t>
  </si>
  <si>
    <t>A6010+A1 x10</t>
  </si>
  <si>
    <t>10</t>
  </si>
  <si>
    <t>M5030</t>
  </si>
  <si>
    <t>M5412</t>
  </si>
  <si>
    <t>LUKE, TIMOTHY</t>
  </si>
  <si>
    <t>No auth on file - Adjusted</t>
  </si>
  <si>
    <t>HF508345961</t>
  </si>
  <si>
    <t>A6010+A1 x20</t>
  </si>
  <si>
    <t>M461</t>
  </si>
  <si>
    <t>CURRIE, DAVID</t>
  </si>
  <si>
    <t>Shift to PR - ABN signed - No coverage</t>
  </si>
  <si>
    <t>HF537684538</t>
  </si>
  <si>
    <t>A6010+A2 x10</t>
  </si>
  <si>
    <t>M5416</t>
  </si>
  <si>
    <t>M1711</t>
  </si>
  <si>
    <t>ASAP - Biltmore</t>
  </si>
  <si>
    <t>Shift to PR - ABN signed - No auth</t>
  </si>
  <si>
    <t>HF533281585</t>
  </si>
  <si>
    <t>Banner Medicare Advantage Prime HMO (BMAH)</t>
  </si>
  <si>
    <t>BANNER MEDICARE ADVANTAGE</t>
  </si>
  <si>
    <t>65 days</t>
  </si>
  <si>
    <t>Not found</t>
  </si>
  <si>
    <t xml:space="preserve">Claim not found - Resubmitted - Asked April to print </t>
  </si>
  <si>
    <t>HF400854650</t>
  </si>
  <si>
    <t>TRIWEST VA CCN CLAIMS</t>
  </si>
  <si>
    <t>A6023+A2 x20</t>
  </si>
  <si>
    <t>TRIWEST</t>
  </si>
  <si>
    <t>M961</t>
  </si>
  <si>
    <t>ASAP Prescott Valley</t>
  </si>
  <si>
    <t>Dropped dx M54.16, and resubmitted</t>
  </si>
  <si>
    <t>HF547456904</t>
  </si>
  <si>
    <t>AZ COMPLETE</t>
  </si>
  <si>
    <t>M5116</t>
  </si>
  <si>
    <t>BARCOME, MARYBETH</t>
  </si>
  <si>
    <t>Edited mod from A2 to KX, and resubmitted</t>
  </si>
  <si>
    <t>HF513154140</t>
  </si>
  <si>
    <t>Mercy Care Plan (AHCCCS) - Complete Care &amp; Long Term Care (LTC)</t>
  </si>
  <si>
    <t>MERCY CARE MEDICAID</t>
  </si>
  <si>
    <t>HF551547091</t>
  </si>
  <si>
    <t>Oscar Health</t>
  </si>
  <si>
    <t>OSCAR HEALTH</t>
  </si>
  <si>
    <t>Removed Dx M5116, and resubmitted - Dx M5116 and M5416 can't be billed together</t>
  </si>
  <si>
    <t>HF526296603</t>
  </si>
  <si>
    <t>L0650+NU x1</t>
  </si>
  <si>
    <t>NU</t>
  </si>
  <si>
    <t>ASAP Sun City</t>
  </si>
  <si>
    <t>Mesa - MBI updated on chart, and resubmitted - MBI End Date 04/14/2026</t>
  </si>
  <si>
    <t>HF551706140</t>
  </si>
  <si>
    <t>DME Region D</t>
  </si>
  <si>
    <t>L0457+KX x1</t>
  </si>
  <si>
    <t>KX</t>
  </si>
  <si>
    <t>M48061</t>
  </si>
  <si>
    <t>Advanced Spine and Pain LLC DME MSA</t>
  </si>
  <si>
    <t>Advanced Spine and Pain LLC DME - Mesa</t>
  </si>
  <si>
    <t>Surprise Reems - PENDING POSTING</t>
  </si>
  <si>
    <t>HF557330085</t>
  </si>
  <si>
    <t>M4312</t>
  </si>
  <si>
    <t>Advanced Spine and Pain LLC DME SUR</t>
  </si>
  <si>
    <t>Advanced Spine and Pain LLC DME - Surprise Reems</t>
  </si>
  <si>
    <t>Secondary - PENDING POSTING</t>
  </si>
  <si>
    <t>HF418448812</t>
  </si>
  <si>
    <t>Blue Cross Blue Shield of Arizona</t>
  </si>
  <si>
    <t>L0650+KX x1</t>
  </si>
  <si>
    <t>M4306</t>
  </si>
  <si>
    <t>M47817</t>
  </si>
  <si>
    <t>Advanced Spine and Pain LLC DME GWY</t>
  </si>
  <si>
    <t>Advanced Spine and Pain LLC DME - Greenway</t>
  </si>
  <si>
    <t>Gilbert - MBI updated on chart, and resubmitted - MBI End Date 04/14/2026</t>
  </si>
  <si>
    <t>HF444976688</t>
  </si>
  <si>
    <t>G609</t>
  </si>
  <si>
    <t>Advanced Spine and Pain LLC DME GIL</t>
  </si>
  <si>
    <t>Advanced Spine and Pain LLC DME - Gilbert</t>
  </si>
  <si>
    <t>Greenway - Billed to PT - ABN signed - Void claim 569311834 request as per Medicare recoup - Home Health Scottsdale is the delegated DME vendor on DOS</t>
  </si>
  <si>
    <t>HF535853050</t>
  </si>
  <si>
    <t>Tricare for Life (All Regions)</t>
  </si>
  <si>
    <t xml:space="preserve">Surprise Reems - Billed to PT - ABN signed - No auth found - Auth missing denial </t>
  </si>
  <si>
    <t>HF550915147</t>
  </si>
  <si>
    <t>Aetna Life &amp; Casualty Company</t>
  </si>
  <si>
    <t>L1851+KX+RT x1; L1851+KX+LT x1</t>
  </si>
  <si>
    <t>RT, LT</t>
  </si>
  <si>
    <t>M25561, M25562</t>
  </si>
  <si>
    <t>M1711, M1712</t>
  </si>
  <si>
    <t>Goodyear - Adjusted balance - No auth on file</t>
  </si>
  <si>
    <t>HF552653702</t>
  </si>
  <si>
    <t>M5417</t>
  </si>
  <si>
    <t>Advanced Spine and Pain LLC DME GYR</t>
  </si>
  <si>
    <t>Advanced Spine and Pain LLC DME - Goodyear</t>
  </si>
  <si>
    <t>Peoria - Adjusted balance - No auth on file</t>
  </si>
  <si>
    <t>HF546470119</t>
  </si>
  <si>
    <t>M51362</t>
  </si>
  <si>
    <t>M48062</t>
  </si>
  <si>
    <t>M4120</t>
  </si>
  <si>
    <t>Advanced Spine and Pain LLC DME PEO</t>
  </si>
  <si>
    <t>Advanced Spine and Pain LLC DME - Peoria</t>
  </si>
  <si>
    <t>Surprise Reems -  PENDING POSTING</t>
  </si>
  <si>
    <t>HF342287357</t>
  </si>
  <si>
    <t>Physicians Mutual Insurance Company - ENS</t>
  </si>
  <si>
    <t>A6023+A1 x10</t>
  </si>
  <si>
    <t>M1712</t>
  </si>
  <si>
    <t>HF555483131</t>
  </si>
  <si>
    <t>Peoria - Added the only knee dx on order encounter notes M25562, and resubmitted - Remark says 'medical necessity' because the diagnoses on the claim aren't knee diagnoses, yet this will probably denied again for missing authorzation.</t>
  </si>
  <si>
    <t>HF423871454</t>
  </si>
  <si>
    <t>ACE MEDICARE SUPPLEMENTAL</t>
  </si>
  <si>
    <t>L1843+KX+LT x1</t>
  </si>
  <si>
    <t>LT</t>
  </si>
  <si>
    <t>M19072</t>
  </si>
  <si>
    <t>M79672</t>
  </si>
  <si>
    <t>M2012</t>
  </si>
  <si>
    <t>M4316</t>
  </si>
  <si>
    <t>M4156</t>
  </si>
  <si>
    <t>Shift to PT - ABN signed - Bundled remark - Rep Mark confirmed that Integra is the delegated DME vendor for this PT -  Provider OON with Devoted - Ref # CALLX8R53SRA</t>
  </si>
  <si>
    <t>HF530195235</t>
  </si>
  <si>
    <t>Devoted Health Plan</t>
  </si>
  <si>
    <t>DEVOTED</t>
  </si>
  <si>
    <t>OROC, RENEE</t>
  </si>
  <si>
    <t>HF436451045</t>
  </si>
  <si>
    <t xml:space="preserve">Billed to PT - ABN signed - PCP is the delegated DME vendor </t>
  </si>
  <si>
    <t>HF342742988</t>
  </si>
  <si>
    <t>Edited mod, and resubmitted</t>
  </si>
  <si>
    <t>HF529780586</t>
  </si>
  <si>
    <t>L1851+KX+RT x1</t>
  </si>
  <si>
    <t>RT</t>
  </si>
  <si>
    <t>M25561</t>
  </si>
  <si>
    <t>Edited rendering provider, and resubmitted</t>
  </si>
  <si>
    <t>HF546093906</t>
  </si>
  <si>
    <t>HealthSpring Medicare Advantage</t>
  </si>
  <si>
    <t>Banner University Family Care - Arizona Long Term Care System</t>
  </si>
  <si>
    <t>CIGNA / CIGNA MEDICARE</t>
  </si>
  <si>
    <t>ASAP - Mesa</t>
  </si>
  <si>
    <t xml:space="preserve">Adjusted balance - No ABN signed  - PCP is the delegated DME vendor </t>
  </si>
  <si>
    <t>HF550003369</t>
  </si>
  <si>
    <t>A6010+A2 x40</t>
  </si>
  <si>
    <t>M2011</t>
  </si>
  <si>
    <t>M2041</t>
  </si>
  <si>
    <t>KOMINSKY, STEPHEN</t>
  </si>
  <si>
    <t xml:space="preserve">Billed to PT - ABN signed - No auth found - Auth missing denial </t>
  </si>
  <si>
    <t>HF399755417</t>
  </si>
  <si>
    <t>HOLLISTER, ALICIA</t>
  </si>
  <si>
    <t>HF331630717</t>
  </si>
  <si>
    <t>Rep Keran - Charges issue under review - Call ref # REQ0679770 - on claim 553079628</t>
  </si>
  <si>
    <t>HF538908740</t>
  </si>
  <si>
    <t>HF403746522</t>
  </si>
  <si>
    <t>TERRILL, STEPHANIE</t>
  </si>
  <si>
    <t>37242 not covered by Aetna - consider experimental when dealing with knee pain</t>
  </si>
  <si>
    <t>HF523293759</t>
  </si>
  <si>
    <t>36248+59 x3; 37242 x1</t>
  </si>
  <si>
    <t>59</t>
  </si>
  <si>
    <t>3, 1</t>
  </si>
  <si>
    <t>I798</t>
  </si>
  <si>
    <t>M25562</t>
  </si>
  <si>
    <t>HUNTER, DREW</t>
  </si>
  <si>
    <t>Premier Endoscopy Center, LLC</t>
  </si>
  <si>
    <t>GAE</t>
  </si>
  <si>
    <t>MBI typo corrected, and resubmitted</t>
  </si>
  <si>
    <t>HF555898882</t>
  </si>
  <si>
    <t>36246+59+LT x1; 37242 x1; 36245+59 x1; 76937+26 x1; 75710+26+XU+LT x1; 36248+59 x3; 75774+26+XU x5</t>
  </si>
  <si>
    <t>59, 26</t>
  </si>
  <si>
    <t>LT, XU</t>
  </si>
  <si>
    <t>1, 3, 5</t>
  </si>
  <si>
    <t>ASAP Surgery Centers North Valley LLC</t>
  </si>
  <si>
    <t>secondary - PENDING POSTING</t>
  </si>
  <si>
    <t>HF495874808</t>
  </si>
  <si>
    <t>75774+26+XU x5; 36246+59+LT x1; 37242 x1; 36248+59 x3; 75710+26+XU+LT x1; 36245+59 x1; 76937+26 x1</t>
  </si>
  <si>
    <t>26, 59</t>
  </si>
  <si>
    <t>XU, LT</t>
  </si>
  <si>
    <t>5, 1, 3</t>
  </si>
  <si>
    <t>Adjusted balance - Auth was requested to Medicare and not Humana</t>
  </si>
  <si>
    <t>HF552607845</t>
  </si>
  <si>
    <t>Humana</t>
  </si>
  <si>
    <t>36248+59 x3; 36247+59+LT x1</t>
  </si>
  <si>
    <t>HUMANA COMMERCIAL</t>
  </si>
  <si>
    <t>M722</t>
  </si>
  <si>
    <t>Filed dispute on portal with MR</t>
  </si>
  <si>
    <t>HF534608085</t>
  </si>
  <si>
    <t>36246+59+RT x1; 36245+59 x1; 75774+26+XU x5; 75710+26+XU+RT x1; 36248+59 x3</t>
  </si>
  <si>
    <t>RT, XU</t>
  </si>
  <si>
    <t>1, 5, 3</t>
  </si>
  <si>
    <t>HF396841556</t>
  </si>
  <si>
    <t>76937+26 x1; 36248+59 x2; 36245+59 x1; 75710+26+XU+RT x1; 75774+26+XU x4; 36246+59+RT x1; 37242 x1</t>
  </si>
  <si>
    <t>XU, RT</t>
  </si>
  <si>
    <t>1, 2, 4</t>
  </si>
  <si>
    <t>Resubmitted with 63030+63035 - then rejected due to an invalid original claim number - Corrected and resubmitted</t>
  </si>
  <si>
    <t>HF427171307</t>
  </si>
  <si>
    <t>63047 x1</t>
  </si>
  <si>
    <t>ORTHO</t>
  </si>
  <si>
    <t xml:space="preserve">Filed reconsideration with WC denied auth #910943907 and MR - PIQ-89349080 - Denied as a work related injury - Unchecked employment box, reorganize dx as they were before, and resubmitted - Rejected again  - Changed employment dx to primary, added dx Y990, added CLM note, and resubmitted </t>
  </si>
  <si>
    <t>WC-509516716</t>
  </si>
  <si>
    <t>63047 x1; 63048 x1</t>
  </si>
  <si>
    <t>S335XXA</t>
  </si>
  <si>
    <t>MAYURAN, VIKRAM</t>
  </si>
  <si>
    <t>Auth only included 63650 - Adjusted 63685</t>
  </si>
  <si>
    <t>HF522538764</t>
  </si>
  <si>
    <t>63685 x1</t>
  </si>
  <si>
    <t>Uploaded MR - PIQ-88975230</t>
  </si>
  <si>
    <t>HF554018380</t>
  </si>
  <si>
    <t>63030+RT x1</t>
  </si>
  <si>
    <t>M4807</t>
  </si>
  <si>
    <t>M5127</t>
  </si>
  <si>
    <t>Jess corrected member ID and resubmitted</t>
  </si>
  <si>
    <t>HF437377904</t>
  </si>
  <si>
    <t>T85123A</t>
  </si>
  <si>
    <t>T85193A</t>
  </si>
  <si>
    <t>Filed reconsideration with desicion ID # D606429361 - PIQ-89227438</t>
  </si>
  <si>
    <t>HF419899260</t>
  </si>
  <si>
    <t>22856 x1</t>
  </si>
  <si>
    <t>M4802</t>
  </si>
  <si>
    <t>M542</t>
  </si>
  <si>
    <t>V892XXD</t>
  </si>
  <si>
    <t>Changed POS and location, used 24 instead of 11, updated location to ASAP SURGERY CENTERS NORTH VALLEY, and resubmitted</t>
  </si>
  <si>
    <t>HF329710667</t>
  </si>
  <si>
    <t>Aetna</t>
  </si>
  <si>
    <t>27279+LT x1</t>
  </si>
  <si>
    <t>Adjusted balance - Certificate Number 260506159813 was cancelled and it didn't say auth was not required - Auth for procedure 63030 and 63047 is required</t>
  </si>
  <si>
    <t>HF343217183</t>
  </si>
  <si>
    <t>63047+59 x1; 63030+LT x1</t>
  </si>
  <si>
    <t>59, LT</t>
  </si>
  <si>
    <t>M5126</t>
  </si>
  <si>
    <t>63685 x1; 63655 x1</t>
  </si>
  <si>
    <t>T85122D</t>
  </si>
  <si>
    <t xml:space="preserve">Shifted to PR as per EOB </t>
  </si>
  <si>
    <t>HF537452337</t>
  </si>
  <si>
    <t>Adjusted balance - AUTH# A273499577 approval only include 63650</t>
  </si>
  <si>
    <t>Deanne removed mod, and resubmitted</t>
  </si>
  <si>
    <t>HF499790971</t>
  </si>
  <si>
    <t>63047+LT x1</t>
  </si>
  <si>
    <t>MBI updated on chart, and resubmitted</t>
  </si>
  <si>
    <t>T85123D</t>
  </si>
  <si>
    <t>Z9682</t>
  </si>
  <si>
    <t>Filed appeal for 63685 - Confirmation Number: 2686931212 - TAT 60 days - Filed auth on Zyter - Auth # OPRJYT0825190856 - No auth found - Auth # QPBUGF0822223530</t>
  </si>
  <si>
    <t>63655 x1</t>
  </si>
  <si>
    <t>Added mod 79 on portal, and reopened claim - Confirmation Number: 4726237491810 - DND Bundled with 27279 DOS 02/13/2026</t>
  </si>
  <si>
    <t>HF488150554</t>
  </si>
  <si>
    <t>27279+RT x1</t>
  </si>
  <si>
    <t>HF406148821</t>
  </si>
  <si>
    <t>secondary - Added Medicare ICN, and crossover electronically</t>
  </si>
  <si>
    <t>HF555347656</t>
  </si>
  <si>
    <t>E1142</t>
  </si>
  <si>
    <t>Added mod 58, and resubmitted</t>
  </si>
  <si>
    <t>HF331075211</t>
  </si>
  <si>
    <t>UHC Group Medicare Advantage</t>
  </si>
  <si>
    <t>UHC MA</t>
  </si>
  <si>
    <t>Removed 20936, and resubmited</t>
  </si>
  <si>
    <t>22845+59 x1; 22853 x1; 22551 x1; 22853+59 x1</t>
  </si>
  <si>
    <t>M50022, M50023</t>
  </si>
  <si>
    <t>M50023, M50122, M5412</t>
  </si>
  <si>
    <t>M50122, M5412, M5000</t>
  </si>
  <si>
    <t>M5412, M5000, M542</t>
  </si>
  <si>
    <t>PENDING POSTING</t>
  </si>
  <si>
    <t>Ordering provider Dr. Krause was notified of the dx issue - Continue with adjustments</t>
  </si>
  <si>
    <t>HF330335441</t>
  </si>
  <si>
    <t>93923 x1; 93925 x1</t>
  </si>
  <si>
    <t>R2243</t>
  </si>
  <si>
    <t>ASAP - DEER VALLEY 240</t>
  </si>
  <si>
    <t>US</t>
  </si>
  <si>
    <t>Uploaded MR - PIQ-89018322</t>
  </si>
  <si>
    <t>HF556870121</t>
  </si>
  <si>
    <t>93970 x1; 93923 x1; 93925 x1</t>
  </si>
  <si>
    <t>R2242</t>
  </si>
  <si>
    <t>I872</t>
  </si>
  <si>
    <t>I739</t>
  </si>
  <si>
    <t xml:space="preserve">Jess reached out to our team to post payment </t>
  </si>
  <si>
    <t>HF465243875</t>
  </si>
  <si>
    <t>93970 x1</t>
  </si>
  <si>
    <t>I83011</t>
  </si>
  <si>
    <t>Edited dx for 93970, and resubmitted</t>
  </si>
  <si>
    <t>HF440522373</t>
  </si>
  <si>
    <t>M79605</t>
  </si>
  <si>
    <t>M79604</t>
  </si>
  <si>
    <t>Edited dx for 93970, delete 93923, and resubmitted</t>
  </si>
  <si>
    <t>HF559665893</t>
  </si>
  <si>
    <t>93970 x1; 93923 x1</t>
  </si>
  <si>
    <t>I6522</t>
  </si>
  <si>
    <t>I10</t>
  </si>
  <si>
    <t>E785</t>
  </si>
  <si>
    <t>ASAP - Surprise - Reems</t>
  </si>
  <si>
    <t>Adjusted balance - The ABI and TBI are not a standalone study. They're embedded inside the Arterial Duplex Lower Extremity report</t>
  </si>
  <si>
    <t>HF509523131</t>
  </si>
  <si>
    <t>R600</t>
  </si>
  <si>
    <t>Added mod XU, and resubmitted</t>
  </si>
  <si>
    <t>HF354421716</t>
  </si>
  <si>
    <t>Edited referring provider, and resubmitted</t>
  </si>
  <si>
    <t>HF449199201</t>
  </si>
  <si>
    <t>93925 x1; 93970 x1; 93923 x1</t>
  </si>
  <si>
    <t>Corrected service line 1 on portal, used CPT code 93970 instead of 93923, and reopened claim - Confirmation Number: 4726237493100 - We billed 93923 on 2 separate service lines and missed 93970</t>
  </si>
  <si>
    <t>HF469070076</t>
  </si>
  <si>
    <t>93923 x1</t>
  </si>
  <si>
    <t>R609</t>
  </si>
  <si>
    <t>HF330285753</t>
  </si>
  <si>
    <t>MediCo Insurance Company</t>
  </si>
  <si>
    <t>93923 x1; 93970 x1; 93925 x1</t>
  </si>
  <si>
    <t>Edited referring and ordering providers, and resubmitted</t>
  </si>
  <si>
    <t>HF558055336</t>
  </si>
  <si>
    <t>93925 x1</t>
  </si>
  <si>
    <t>PENDING POSTING - Payment approved - DMinker30A corrected claim and resubmitted on 08/03/2026</t>
  </si>
  <si>
    <t>HF533821631</t>
  </si>
  <si>
    <t>I8393</t>
  </si>
  <si>
    <t>Uploaded MR - PIQ-88944138</t>
  </si>
  <si>
    <t>HF544192008</t>
  </si>
  <si>
    <t xml:space="preserve">93923 changed to 93922, and resubmitted - 93923 requires 3 levels and the document only reports ankle + toe = two levels - DND invalid CPT codes - April resubmitted by mail - DMinker30A uploaded MR </t>
  </si>
  <si>
    <t>HF330717562</t>
  </si>
  <si>
    <t>United HealthCare Dual Complete</t>
  </si>
  <si>
    <t>93925 x1; 93923 x1; 93970 x1</t>
  </si>
  <si>
    <t>I70213, R202, M79604</t>
  </si>
  <si>
    <t>R202, I70213, M79605</t>
  </si>
  <si>
    <t>M79604, R202</t>
  </si>
  <si>
    <t>M79605, I70213</t>
  </si>
  <si>
    <t>2026-05 May - Specialty Claims</t>
  </si>
  <si>
    <t>Row order - work queue, then timely filing deadline</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</si>
  <si>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</si>
  <si>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</si>
  <si>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</si>
  <si>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</si>
  <si>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</si>
  <si>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</si>
  <si>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</si>
  <si>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</si>
  <si>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</si>
  <si>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</si>
  <si>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</si>
  <si>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</si>
  <si>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</si>
  <si>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</si>
  <si>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</si>
  <si>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</si>
  <si>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</si>
  <si>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Adjusted balance - No BH documentation found for those 20+ mins</t>
  </si>
  <si>
    <t>PAID - Bri resubmited claim on 08/05/2026</t>
  </si>
  <si>
    <t>secondary - PENDING POSTING - MBI updated on chart, and resubmitted - MBI End Date 04/14/2026</t>
  </si>
  <si>
    <t>PAID - secondary - Added COB info and crossover electronically</t>
  </si>
  <si>
    <t>PAID - Edited rendering and referring provider, and resubmitted</t>
  </si>
  <si>
    <t>PAID - Edited ordering provider, and resubmitted</t>
  </si>
  <si>
    <t>Secondary - PAID</t>
  </si>
  <si>
    <t>Under Review</t>
  </si>
  <si>
    <t>I need to call PT - Aetna termed date March 31, 2026</t>
  </si>
  <si>
    <t>Waiting for account to get activated again</t>
  </si>
  <si>
    <t>MUE issue - CALL INS</t>
  </si>
  <si>
    <t>Still processing - ins received claim on 07/20/2026</t>
  </si>
  <si>
    <t>Call PT for COB update needed by ins - Rep said the patient will need to update their Coordination of Benefits (COB) information with their insurance carrier. Once the COB has been updated, the claim can be reprocessed for review and adjudication. On yearly basis patient needs to update the COB.</t>
  </si>
  <si>
    <t xml:space="preserve">Call ins - Bundled - but we have an auth for this one </t>
  </si>
  <si>
    <t xml:space="preserve">Expecting ins reply - DND as medical necessity - Jess sent MR </t>
  </si>
  <si>
    <t>Statuses on the drop-down: Denied, Finalized, Not found, PAID, Pending, Received, Rejected, Under Review.</t>
  </si>
  <si>
    <t>540 days</t>
  </si>
  <si>
    <t>107 claims with a date of service in 2026-05 May, split into one sheet per specialty: BH, DME, GAE, ORTHO, US.</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</si>
  <si>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</si>
  <si>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 Finalized claims with a Latest Date Worked have their deadline cells left empty and are not counted):</t>
  </si>
  <si>
    <t xml:space="preserve">    1 - Due in 5 days or less: 3</t>
  </si>
  <si>
    <t xml:space="preserve">    2 - Due in 6-30 days: 0</t>
  </si>
  <si>
    <t xml:space="preserve">    3 - Due in 31+ days: 38</t>
  </si>
  <si>
    <t xml:space="preserve">    4 - Past deadline: 55</t>
  </si>
  <si>
    <t xml:space="preserve">    5 - No limit on file: 11</t>
  </si>
  <si>
    <t>'SPC26S1 - 00 Master v3.xlsx'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</si>
  <si>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Resubmitted again - Aisha review Adlers status on the AHCCCS portal. He is showing active ins 2012 - Rendering OON with Medicaid AHCCCS - Confirming with Bri - DOS we were working on 05/01/2026</t>
  </si>
  <si>
    <t>I need to get the MR request letter - MR requested - Remove CPT A6219, and resubmitted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</si>
</sst>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7"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0"/>
      <color rgb="FF212529"/>
      <name val="Tahoma"/>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14" fontId="0" fillId="0" borderId="0" xfId="0" applyNumberFormat="1"/>
    <xf numFmtId="0" fontId="5" fillId="0" borderId="0" xfId="0" applyFont="1"/>
    <xf numFmtId="0" fontId="6" fillId="3" borderId="1" xfId="0" applyFont="1" applyFill="1" applyBorder="1" applyAlignment="1">
      <alignment vertical="top"/>
    </xf>
    <xf numFmtId="0" fontId="6" fillId="0" borderId="1" xfId="0" applyFont="1" applyBorder="1" applyAlignment="1">
      <alignment vertical="top"/>
    </xf>
  </cellXfs>
  <cellStyles count="1">
    <cellStyle name="Normal" xfId="0" builtinId="0"/>
  </cellStyles>
  <dxfs count="104">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31"/>
  <sheetViews>
    <sheetView zoomScale="90" workbookViewId="0">
      <pane xSplit="2" ySplit="1" topLeftCell="C2" activePane="bottomRight" state="frozen"/>
      <selection pane="topRight"/>
      <selection pane="bottomLeft"/>
      <selection pane="bottomRight" activeCell="K11" sqref="K11"/>
    </sheetView>
  </sheetViews>
  <sheetFormatPr defaultColWidth="9.140625"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6.7109375" customWidth="1"/>
    <col min="11" max="11" width="14" customWidth="1"/>
    <col min="12" max="12" width="12.7109375" customWidth="1"/>
    <col min="13" max="13" width="19.28515625" customWidth="1"/>
    <col min="14" max="14" width="17.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98</v>
      </c>
      <c r="B2" s="2" t="s">
        <v>549</v>
      </c>
      <c r="C2" s="3"/>
      <c r="D2" s="4">
        <v>558010066</v>
      </c>
      <c r="E2" s="5" t="s">
        <v>99</v>
      </c>
      <c r="F2" s="6">
        <v>46143</v>
      </c>
      <c r="G2" s="5" t="s">
        <v>71</v>
      </c>
      <c r="H2" s="5" t="s">
        <v>71</v>
      </c>
      <c r="I2" s="5" t="s">
        <v>44</v>
      </c>
      <c r="J2" s="5" t="s">
        <v>58</v>
      </c>
      <c r="K2" s="3">
        <v>46300</v>
      </c>
      <c r="L2" s="12">
        <f ca="1">IF($O2="","",$O2-TODAY())</f>
        <v>-70</v>
      </c>
      <c r="M2" s="12" t="str">
        <f ca="1">IF(AND(TRIM($A2)="Finalized",$K2&lt;&gt;""),"",IF($C2="","",$C2+180-TODAY()))</f>
        <v/>
      </c>
      <c r="N2" s="12" t="str">
        <f ca="1">IF(AND(TRIM($A2)="Finalized",$K2&lt;&gt;""),"",IF($C2="","",$C2+365-TODAY()))</f>
        <v/>
      </c>
      <c r="O2" s="6">
        <f>IF(AND(TRIM($A2)="Finalized",$K2&lt;&gt;""),"",DATE(2026,7,30))</f>
        <v>46233</v>
      </c>
      <c r="P2" s="5" t="s">
        <v>46</v>
      </c>
      <c r="Q2" s="5" t="s">
        <v>73</v>
      </c>
      <c r="R2" s="5" t="s">
        <v>48</v>
      </c>
      <c r="S2" s="5" t="s">
        <v>49</v>
      </c>
      <c r="T2" s="5" t="s">
        <v>50</v>
      </c>
      <c r="U2" s="5" t="s">
        <v>49</v>
      </c>
      <c r="V2" s="5"/>
      <c r="W2" s="5"/>
      <c r="X2" s="5"/>
      <c r="Y2" s="5" t="s">
        <v>51</v>
      </c>
      <c r="Z2" s="7">
        <v>1426.25</v>
      </c>
      <c r="AA2" s="7">
        <v>0</v>
      </c>
      <c r="AB2" s="7">
        <v>0</v>
      </c>
      <c r="AC2" s="6"/>
      <c r="AD2" s="7">
        <v>1426.25</v>
      </c>
      <c r="AE2" s="4">
        <v>99</v>
      </c>
      <c r="AF2" s="5" t="s">
        <v>80</v>
      </c>
      <c r="AG2" s="5"/>
      <c r="AH2" s="5"/>
      <c r="AI2" s="5"/>
      <c r="AJ2" s="4"/>
      <c r="AK2" s="5" t="s">
        <v>100</v>
      </c>
      <c r="AL2" s="5" t="s">
        <v>54</v>
      </c>
      <c r="AM2" s="6">
        <v>46180</v>
      </c>
      <c r="AN2" s="5" t="s">
        <v>55</v>
      </c>
    </row>
    <row r="3" spans="1:40" x14ac:dyDescent="0.25">
      <c r="A3" s="2" t="s">
        <v>530</v>
      </c>
      <c r="B3" s="2" t="s">
        <v>531</v>
      </c>
      <c r="C3" s="3">
        <v>46195</v>
      </c>
      <c r="D3" s="4">
        <v>560450629</v>
      </c>
      <c r="E3" s="5" t="s">
        <v>101</v>
      </c>
      <c r="F3" s="6">
        <v>46169</v>
      </c>
      <c r="G3" s="5" t="s">
        <v>102</v>
      </c>
      <c r="H3" s="5" t="s">
        <v>102</v>
      </c>
      <c r="I3" s="5" t="s">
        <v>44</v>
      </c>
      <c r="J3" s="5" t="s">
        <v>64</v>
      </c>
      <c r="K3" s="3"/>
      <c r="L3" s="12">
        <f ca="1">IF($O3="","",$O3-TODAY())</f>
        <v>-14</v>
      </c>
      <c r="M3" s="12">
        <f ca="1">IF(AND(TRIM($A3)="Finalized",$K3&lt;&gt;""),"",IF($C3="","",$C3+180-TODAY()))</f>
        <v>72</v>
      </c>
      <c r="N3" s="12">
        <f ca="1">IF(AND(TRIM($A3)="Finalized",$K3&lt;&gt;""),"",IF($C3="","",$C3+180-TODAY()))</f>
        <v>72</v>
      </c>
      <c r="O3" s="6">
        <f>IF(AND(TRIM($A3)="Finalized",$K3&lt;&gt;""),"",DATE(2026,9,24))</f>
        <v>46289</v>
      </c>
      <c r="P3" s="5" t="s">
        <v>103</v>
      </c>
      <c r="Q3" s="5" t="s">
        <v>104</v>
      </c>
      <c r="R3" s="5" t="s">
        <v>48</v>
      </c>
      <c r="S3" s="5" t="s">
        <v>49</v>
      </c>
      <c r="T3" s="5" t="s">
        <v>48</v>
      </c>
      <c r="U3" s="5" t="s">
        <v>49</v>
      </c>
      <c r="V3" s="5"/>
      <c r="W3" s="5"/>
      <c r="X3" s="5"/>
      <c r="Y3" s="5" t="s">
        <v>51</v>
      </c>
      <c r="Z3" s="7">
        <v>976.64</v>
      </c>
      <c r="AA3" s="7">
        <v>0</v>
      </c>
      <c r="AB3" s="7">
        <v>0</v>
      </c>
      <c r="AC3" s="6">
        <v>46195</v>
      </c>
      <c r="AD3" s="7">
        <v>976.64</v>
      </c>
      <c r="AE3" s="4">
        <v>73</v>
      </c>
      <c r="AF3" s="5" t="s">
        <v>59</v>
      </c>
      <c r="AG3" s="5"/>
      <c r="AH3" s="5"/>
      <c r="AI3" s="5"/>
      <c r="AJ3" s="4"/>
      <c r="AK3" s="5" t="s">
        <v>76</v>
      </c>
      <c r="AL3" s="5" t="s">
        <v>54</v>
      </c>
      <c r="AM3" s="6">
        <v>46182</v>
      </c>
      <c r="AN3" s="5" t="s">
        <v>55</v>
      </c>
    </row>
    <row r="4" spans="1:40" x14ac:dyDescent="0.25">
      <c r="A4" s="2" t="s">
        <v>530</v>
      </c>
      <c r="B4" s="2" t="s">
        <v>532</v>
      </c>
      <c r="C4" s="3"/>
      <c r="D4" s="4">
        <v>558642005</v>
      </c>
      <c r="E4" s="5" t="s">
        <v>158</v>
      </c>
      <c r="F4" s="6">
        <v>46150</v>
      </c>
      <c r="G4" s="5" t="s">
        <v>159</v>
      </c>
      <c r="H4" s="5" t="s">
        <v>159</v>
      </c>
      <c r="I4" s="5" t="s">
        <v>44</v>
      </c>
      <c r="J4" s="5" t="s">
        <v>160</v>
      </c>
      <c r="K4" s="3"/>
      <c r="L4" s="4" t="str">
        <f ca="1">IF($O4="","",$O4-TODAY())</f>
        <v/>
      </c>
      <c r="M4" s="4"/>
      <c r="N4" s="4"/>
      <c r="O4" s="6"/>
      <c r="P4" s="5"/>
      <c r="Q4" s="5" t="s">
        <v>156</v>
      </c>
      <c r="R4" s="5"/>
      <c r="S4" s="5"/>
      <c r="T4" s="5"/>
      <c r="U4" s="5"/>
      <c r="V4" s="5"/>
      <c r="W4" s="5"/>
      <c r="X4" s="5"/>
      <c r="Y4" s="5" t="s">
        <v>51</v>
      </c>
      <c r="Z4" s="7">
        <v>1029.98</v>
      </c>
      <c r="AA4" s="7">
        <v>0</v>
      </c>
      <c r="AB4" s="7">
        <v>0</v>
      </c>
      <c r="AC4" s="6"/>
      <c r="AD4" s="7">
        <v>1029.98</v>
      </c>
      <c r="AE4" s="4">
        <v>92</v>
      </c>
      <c r="AF4" s="5" t="s">
        <v>80</v>
      </c>
      <c r="AG4" s="5"/>
      <c r="AH4" s="5"/>
      <c r="AI4" s="5"/>
      <c r="AJ4" s="4"/>
      <c r="AK4" s="5" t="s">
        <v>157</v>
      </c>
      <c r="AL4" s="5" t="s">
        <v>86</v>
      </c>
      <c r="AM4" s="6">
        <v>46188</v>
      </c>
      <c r="AN4" s="5" t="s">
        <v>55</v>
      </c>
    </row>
    <row r="5" spans="1:40" x14ac:dyDescent="0.25">
      <c r="A5" s="2" t="s">
        <v>530</v>
      </c>
      <c r="B5" s="2" t="s">
        <v>532</v>
      </c>
      <c r="C5" s="3"/>
      <c r="D5" s="4">
        <v>560692149</v>
      </c>
      <c r="E5" s="5" t="s">
        <v>167</v>
      </c>
      <c r="F5" s="6">
        <v>46171</v>
      </c>
      <c r="G5" s="5" t="s">
        <v>159</v>
      </c>
      <c r="H5" s="5" t="s">
        <v>159</v>
      </c>
      <c r="I5" s="5" t="s">
        <v>44</v>
      </c>
      <c r="J5" s="5" t="s">
        <v>160</v>
      </c>
      <c r="K5" s="3"/>
      <c r="L5" s="4" t="str">
        <f ca="1">IF($O5="","",$O5-TODAY())</f>
        <v/>
      </c>
      <c r="M5" s="4"/>
      <c r="N5" s="4"/>
      <c r="O5" s="6"/>
      <c r="P5" s="5"/>
      <c r="Q5" s="5" t="s">
        <v>156</v>
      </c>
      <c r="R5" s="5"/>
      <c r="S5" s="5"/>
      <c r="T5" s="5"/>
      <c r="U5" s="5"/>
      <c r="V5" s="5"/>
      <c r="W5" s="5"/>
      <c r="X5" s="5"/>
      <c r="Y5" s="5" t="s">
        <v>51</v>
      </c>
      <c r="Z5" s="7">
        <v>1029.98</v>
      </c>
      <c r="AA5" s="7">
        <v>0</v>
      </c>
      <c r="AB5" s="7">
        <v>0</v>
      </c>
      <c r="AC5" s="6"/>
      <c r="AD5" s="7">
        <v>1029.98</v>
      </c>
      <c r="AE5" s="4">
        <v>71</v>
      </c>
      <c r="AF5" s="5" t="s">
        <v>80</v>
      </c>
      <c r="AG5" s="5"/>
      <c r="AH5" s="5"/>
      <c r="AI5" s="5"/>
      <c r="AJ5" s="4"/>
      <c r="AK5" s="5" t="s">
        <v>97</v>
      </c>
      <c r="AL5" s="5" t="s">
        <v>86</v>
      </c>
      <c r="AM5" s="6">
        <v>46182</v>
      </c>
      <c r="AN5" s="5" t="s">
        <v>55</v>
      </c>
    </row>
    <row r="6" spans="1:40" x14ac:dyDescent="0.25">
      <c r="A6" s="2" t="s">
        <v>40</v>
      </c>
      <c r="B6" s="2" t="s">
        <v>41</v>
      </c>
      <c r="C6" s="3"/>
      <c r="D6" s="4">
        <v>559331282</v>
      </c>
      <c r="E6" s="5" t="s">
        <v>42</v>
      </c>
      <c r="F6" s="6">
        <v>46156</v>
      </c>
      <c r="G6" s="5" t="s">
        <v>43</v>
      </c>
      <c r="H6" s="5" t="s">
        <v>43</v>
      </c>
      <c r="I6" s="5" t="s">
        <v>44</v>
      </c>
      <c r="J6" s="5" t="s">
        <v>45</v>
      </c>
      <c r="K6" s="3">
        <v>46244</v>
      </c>
      <c r="L6" s="12">
        <f ca="1">IF($O6="","",$O6-TODAY())</f>
        <v>-57</v>
      </c>
      <c r="M6" s="12" t="str">
        <f ca="1">IF(AND(TRIM($A6)="Finalized",$K6&lt;&gt;""),"",IF($C6="","",$C6+180-TODAY()))</f>
        <v/>
      </c>
      <c r="N6" s="12" t="str">
        <f ca="1">IF(AND(TRIM($A6)="Finalized",$K6&lt;&gt;""),"",IF($C6="","",$C6+365-TODAY()))</f>
        <v/>
      </c>
      <c r="O6" s="6">
        <f>IF(AND(TRIM($A6)="Finalized",$K6&lt;&gt;""),"",DATE(2026,8,12))</f>
        <v>46246</v>
      </c>
      <c r="P6" s="5" t="s">
        <v>46</v>
      </c>
      <c r="Q6" s="5" t="s">
        <v>47</v>
      </c>
      <c r="R6" s="5" t="s">
        <v>48</v>
      </c>
      <c r="S6" s="5" t="s">
        <v>49</v>
      </c>
      <c r="T6" s="5" t="s">
        <v>50</v>
      </c>
      <c r="U6" s="5" t="s">
        <v>49</v>
      </c>
      <c r="V6" s="5"/>
      <c r="W6" s="5"/>
      <c r="X6" s="5"/>
      <c r="Y6" s="5" t="s">
        <v>51</v>
      </c>
      <c r="Z6" s="7">
        <v>1372.91</v>
      </c>
      <c r="AA6" s="7">
        <v>0</v>
      </c>
      <c r="AB6" s="7">
        <v>0</v>
      </c>
      <c r="AC6" s="6"/>
      <c r="AD6" s="7">
        <v>1372.91</v>
      </c>
      <c r="AE6" s="4">
        <v>86</v>
      </c>
      <c r="AF6" s="5" t="s">
        <v>52</v>
      </c>
      <c r="AG6" s="5"/>
      <c r="AH6" s="5"/>
      <c r="AI6" s="5"/>
      <c r="AJ6" s="4"/>
      <c r="AK6" s="5" t="s">
        <v>53</v>
      </c>
      <c r="AL6" s="5" t="s">
        <v>54</v>
      </c>
      <c r="AM6" s="6">
        <v>46180</v>
      </c>
      <c r="AN6" s="5" t="s">
        <v>55</v>
      </c>
    </row>
    <row r="7" spans="1:40" x14ac:dyDescent="0.25">
      <c r="A7" s="2" t="s">
        <v>40</v>
      </c>
      <c r="B7" s="2" t="s">
        <v>56</v>
      </c>
      <c r="C7" s="3"/>
      <c r="D7" s="4">
        <v>559334288</v>
      </c>
      <c r="E7" s="5" t="s">
        <v>57</v>
      </c>
      <c r="F7" s="6">
        <v>46156</v>
      </c>
      <c r="G7" s="5" t="s">
        <v>43</v>
      </c>
      <c r="H7" s="5" t="s">
        <v>43</v>
      </c>
      <c r="I7" s="5" t="s">
        <v>44</v>
      </c>
      <c r="J7" s="5" t="s">
        <v>58</v>
      </c>
      <c r="K7" s="3">
        <v>46244</v>
      </c>
      <c r="L7" s="12">
        <f ca="1">IF($O7="","",$O7-TODAY())</f>
        <v>-57</v>
      </c>
      <c r="M7" s="12" t="str">
        <f ca="1">IF(AND(TRIM($A7)="Finalized",$K7&lt;&gt;""),"",IF($C7="","",$C7+180-TODAY()))</f>
        <v/>
      </c>
      <c r="N7" s="12" t="str">
        <f ca="1">IF(AND(TRIM($A7)="Finalized",$K7&lt;&gt;""),"",IF($C7="","",$C7+365-TODAY()))</f>
        <v/>
      </c>
      <c r="O7" s="6">
        <f>IF(AND(TRIM($A7)="Finalized",$K7&lt;&gt;""),"",DATE(2026,8,12))</f>
        <v>46246</v>
      </c>
      <c r="P7" s="5" t="s">
        <v>46</v>
      </c>
      <c r="Q7" s="5" t="s">
        <v>47</v>
      </c>
      <c r="R7" s="5" t="s">
        <v>48</v>
      </c>
      <c r="S7" s="5" t="s">
        <v>49</v>
      </c>
      <c r="T7" s="5" t="s">
        <v>50</v>
      </c>
      <c r="U7" s="5" t="s">
        <v>49</v>
      </c>
      <c r="V7" s="5"/>
      <c r="W7" s="5"/>
      <c r="X7" s="5"/>
      <c r="Y7" s="5" t="s">
        <v>51</v>
      </c>
      <c r="Z7" s="7">
        <v>1426.25</v>
      </c>
      <c r="AA7" s="7">
        <v>0</v>
      </c>
      <c r="AB7" s="7">
        <v>0</v>
      </c>
      <c r="AC7" s="6"/>
      <c r="AD7" s="7">
        <v>1426.25</v>
      </c>
      <c r="AE7" s="4">
        <v>86</v>
      </c>
      <c r="AF7" s="5" t="s">
        <v>59</v>
      </c>
      <c r="AG7" s="5"/>
      <c r="AH7" s="5"/>
      <c r="AI7" s="5"/>
      <c r="AJ7" s="4"/>
      <c r="AK7" s="5" t="s">
        <v>53</v>
      </c>
      <c r="AL7" s="5" t="s">
        <v>54</v>
      </c>
      <c r="AM7" s="6">
        <v>46180</v>
      </c>
      <c r="AN7" s="5" t="s">
        <v>55</v>
      </c>
    </row>
    <row r="8" spans="1:40" x14ac:dyDescent="0.25">
      <c r="A8" s="2" t="s">
        <v>40</v>
      </c>
      <c r="B8" s="2" t="s">
        <v>60</v>
      </c>
      <c r="C8" s="3"/>
      <c r="D8" s="4">
        <v>558887755</v>
      </c>
      <c r="E8" s="5" t="s">
        <v>61</v>
      </c>
      <c r="F8" s="6">
        <v>46153</v>
      </c>
      <c r="G8" s="5" t="s">
        <v>62</v>
      </c>
      <c r="H8" s="5" t="s">
        <v>62</v>
      </c>
      <c r="I8" s="5" t="s">
        <v>63</v>
      </c>
      <c r="J8" s="5" t="s">
        <v>64</v>
      </c>
      <c r="K8" s="3">
        <v>46245</v>
      </c>
      <c r="L8" s="12">
        <f ca="1">IF($O8="","",$O8-TODAY())</f>
        <v>-55</v>
      </c>
      <c r="M8" s="12" t="str">
        <f ca="1">IF(AND(TRIM($A8)="Finalized",$K8&lt;&gt;""),"",IF($C8="","",$C8+90-TODAY()))</f>
        <v/>
      </c>
      <c r="N8" s="12" t="str">
        <f ca="1">IF(AND(TRIM($A8)="Finalized",$K8&lt;&gt;""),"",IF($C8="","",$C8+90-TODAY()))</f>
        <v/>
      </c>
      <c r="O8" s="6">
        <f>IF(AND(TRIM($A8)="Finalized",$K8&lt;&gt;""),"",DATE(2026,8,14))</f>
        <v>46248</v>
      </c>
      <c r="P8" s="5" t="s">
        <v>65</v>
      </c>
      <c r="Q8" s="5" t="s">
        <v>66</v>
      </c>
      <c r="R8" s="5" t="s">
        <v>46</v>
      </c>
      <c r="S8" s="5" t="s">
        <v>49</v>
      </c>
      <c r="T8" s="5" t="s">
        <v>46</v>
      </c>
      <c r="U8" s="5" t="s">
        <v>49</v>
      </c>
      <c r="V8" s="5"/>
      <c r="W8" s="5"/>
      <c r="X8" s="5"/>
      <c r="Y8" s="5" t="s">
        <v>51</v>
      </c>
      <c r="Z8" s="7">
        <v>976.64</v>
      </c>
      <c r="AA8" s="7">
        <v>0</v>
      </c>
      <c r="AB8" s="7">
        <v>0</v>
      </c>
      <c r="AC8" s="6"/>
      <c r="AD8" s="7">
        <v>976.64</v>
      </c>
      <c r="AE8" s="4">
        <v>89</v>
      </c>
      <c r="AF8" s="5" t="s">
        <v>59</v>
      </c>
      <c r="AG8" s="5"/>
      <c r="AH8" s="5"/>
      <c r="AI8" s="5"/>
      <c r="AJ8" s="4"/>
      <c r="AK8" s="5" t="s">
        <v>67</v>
      </c>
      <c r="AL8" s="5" t="s">
        <v>68</v>
      </c>
      <c r="AM8" s="6">
        <v>46180</v>
      </c>
      <c r="AN8" s="5" t="s">
        <v>55</v>
      </c>
    </row>
    <row r="9" spans="1:40" x14ac:dyDescent="0.25">
      <c r="A9" s="2" t="s">
        <v>40</v>
      </c>
      <c r="B9" s="2" t="s">
        <v>69</v>
      </c>
      <c r="C9" s="3">
        <v>46189</v>
      </c>
      <c r="D9" s="4">
        <v>559931934</v>
      </c>
      <c r="E9" s="5" t="s">
        <v>70</v>
      </c>
      <c r="F9" s="6">
        <v>46162</v>
      </c>
      <c r="G9" s="5" t="s">
        <v>71</v>
      </c>
      <c r="H9" s="5" t="s">
        <v>71</v>
      </c>
      <c r="I9" s="5" t="s">
        <v>44</v>
      </c>
      <c r="J9" s="5" t="s">
        <v>72</v>
      </c>
      <c r="K9" s="3">
        <v>46245</v>
      </c>
      <c r="L9" s="12">
        <f ca="1">IF($O9="","",$O9-TODAY())</f>
        <v>-51</v>
      </c>
      <c r="M9" s="12">
        <f ca="1">IF(AND(TRIM($A9)="Finalized",$K9&lt;&gt;""),"",IF($C9="","",$C9+180-TODAY()))</f>
        <v>66</v>
      </c>
      <c r="N9" s="12">
        <f ca="1">IF(AND(TRIM($A9)="Finalized",$K9&lt;&gt;""),"",IF($C9="","",$C9+365-TODAY()))</f>
        <v>251</v>
      </c>
      <c r="O9" s="6">
        <f>IF(AND(TRIM($A9)="Finalized",$K9&lt;&gt;""),"",DATE(2026,8,18))</f>
        <v>46252</v>
      </c>
      <c r="P9" s="5" t="s">
        <v>46</v>
      </c>
      <c r="Q9" s="5" t="s">
        <v>73</v>
      </c>
      <c r="R9" s="5" t="s">
        <v>48</v>
      </c>
      <c r="S9" s="5" t="s">
        <v>49</v>
      </c>
      <c r="T9" s="5" t="s">
        <v>50</v>
      </c>
      <c r="U9" s="5" t="s">
        <v>49</v>
      </c>
      <c r="V9" s="5"/>
      <c r="W9" s="5"/>
      <c r="X9" s="5"/>
      <c r="Y9" s="5" t="s">
        <v>51</v>
      </c>
      <c r="Z9" s="7">
        <v>792.54</v>
      </c>
      <c r="AA9" s="7">
        <v>0</v>
      </c>
      <c r="AB9" s="7">
        <v>0</v>
      </c>
      <c r="AC9" s="6">
        <v>46196</v>
      </c>
      <c r="AD9" s="7">
        <v>792.54</v>
      </c>
      <c r="AE9" s="4">
        <v>80</v>
      </c>
      <c r="AF9" s="5" t="s">
        <v>74</v>
      </c>
      <c r="AG9" s="5" t="s">
        <v>75</v>
      </c>
      <c r="AH9" s="5"/>
      <c r="AI9" s="5"/>
      <c r="AJ9" s="4"/>
      <c r="AK9" s="5" t="s">
        <v>76</v>
      </c>
      <c r="AL9" s="5" t="s">
        <v>54</v>
      </c>
      <c r="AM9" s="6">
        <v>46182</v>
      </c>
      <c r="AN9" s="5" t="s">
        <v>55</v>
      </c>
    </row>
    <row r="10" spans="1:40" x14ac:dyDescent="0.25">
      <c r="A10" s="2" t="s">
        <v>40</v>
      </c>
      <c r="B10" s="2" t="s">
        <v>77</v>
      </c>
      <c r="C10" s="3">
        <v>46183</v>
      </c>
      <c r="D10" s="4">
        <v>560175340</v>
      </c>
      <c r="E10" s="5" t="s">
        <v>78</v>
      </c>
      <c r="F10" s="6">
        <v>46162</v>
      </c>
      <c r="G10" s="5" t="s">
        <v>71</v>
      </c>
      <c r="H10" s="5" t="s">
        <v>71</v>
      </c>
      <c r="I10" s="5" t="s">
        <v>71</v>
      </c>
      <c r="J10" s="5" t="s">
        <v>79</v>
      </c>
      <c r="K10" s="3">
        <v>46245</v>
      </c>
      <c r="L10" s="12">
        <f ca="1">IF($O10="","",$O10-TODAY())</f>
        <v>-51</v>
      </c>
      <c r="M10" s="12">
        <f ca="1">IF(AND(TRIM($A10)="Finalized",$K10&lt;&gt;""),"",IF($C10="","",$C10+180-TODAY()))</f>
        <v>60</v>
      </c>
      <c r="N10" s="12">
        <f ca="1">IF(AND(TRIM($A10)="Finalized",$K10&lt;&gt;""),"",IF($C10="","",$C10+365-TODAY()))</f>
        <v>245</v>
      </c>
      <c r="O10" s="6">
        <f>IF(AND(TRIM($A10)="Finalized",$K10&lt;&gt;""),"",DATE(2026,8,18))</f>
        <v>46252</v>
      </c>
      <c r="P10" s="5" t="s">
        <v>46</v>
      </c>
      <c r="Q10" s="5" t="s">
        <v>73</v>
      </c>
      <c r="R10" s="5" t="s">
        <v>48</v>
      </c>
      <c r="S10" s="5" t="s">
        <v>49</v>
      </c>
      <c r="T10" s="5" t="s">
        <v>50</v>
      </c>
      <c r="U10" s="5" t="s">
        <v>49</v>
      </c>
      <c r="V10" s="5"/>
      <c r="W10" s="5"/>
      <c r="X10" s="5"/>
      <c r="Y10" s="5" t="s">
        <v>51</v>
      </c>
      <c r="Z10" s="7">
        <v>396.27</v>
      </c>
      <c r="AA10" s="7">
        <v>0</v>
      </c>
      <c r="AB10" s="7">
        <v>0</v>
      </c>
      <c r="AC10" s="6">
        <v>46195</v>
      </c>
      <c r="AD10" s="7">
        <v>396.27</v>
      </c>
      <c r="AE10" s="4">
        <v>80</v>
      </c>
      <c r="AF10" s="5" t="s">
        <v>80</v>
      </c>
      <c r="AG10" s="5" t="s">
        <v>74</v>
      </c>
      <c r="AH10" s="5"/>
      <c r="AI10" s="5"/>
      <c r="AJ10" s="4"/>
      <c r="AK10" s="5" t="s">
        <v>81</v>
      </c>
      <c r="AL10" s="5" t="s">
        <v>54</v>
      </c>
      <c r="AM10" s="6">
        <v>46182</v>
      </c>
      <c r="AN10" s="5" t="s">
        <v>55</v>
      </c>
    </row>
    <row r="11" spans="1:40" x14ac:dyDescent="0.25">
      <c r="A11" s="2" t="s">
        <v>40</v>
      </c>
      <c r="B11" s="2" t="s">
        <v>82</v>
      </c>
      <c r="C11" s="3"/>
      <c r="D11" s="4">
        <v>560027331</v>
      </c>
      <c r="E11" s="5" t="s">
        <v>83</v>
      </c>
      <c r="F11" s="6">
        <v>46164</v>
      </c>
      <c r="G11" s="5" t="s">
        <v>43</v>
      </c>
      <c r="H11" s="5" t="s">
        <v>43</v>
      </c>
      <c r="I11" s="5" t="s">
        <v>44</v>
      </c>
      <c r="J11" s="5" t="s">
        <v>58</v>
      </c>
      <c r="K11" s="3">
        <v>46245</v>
      </c>
      <c r="L11" s="12">
        <f ca="1">IF($O11="","",$O11-TODAY())</f>
        <v>-49</v>
      </c>
      <c r="M11" s="12" t="str">
        <f ca="1">IF(AND(TRIM($A11)="Finalized",$K11&lt;&gt;""),"",IF($C11="","",$C11+180-TODAY()))</f>
        <v/>
      </c>
      <c r="N11" s="12" t="str">
        <f ca="1">IF(AND(TRIM($A11)="Finalized",$K11&lt;&gt;""),"",IF($C11="","",$C11+365-TODAY()))</f>
        <v/>
      </c>
      <c r="O11" s="6">
        <f>IF(AND(TRIM($A11)="Finalized",$K11&lt;&gt;""),"",DATE(2026,8,20))</f>
        <v>46254</v>
      </c>
      <c r="P11" s="5" t="s">
        <v>46</v>
      </c>
      <c r="Q11" s="5" t="s">
        <v>47</v>
      </c>
      <c r="R11" s="5" t="s">
        <v>48</v>
      </c>
      <c r="S11" s="5" t="s">
        <v>49</v>
      </c>
      <c r="T11" s="5" t="s">
        <v>50</v>
      </c>
      <c r="U11" s="5" t="s">
        <v>49</v>
      </c>
      <c r="V11" s="5"/>
      <c r="W11" s="5"/>
      <c r="X11" s="5"/>
      <c r="Y11" s="5" t="s">
        <v>51</v>
      </c>
      <c r="Z11" s="7">
        <v>1426.25</v>
      </c>
      <c r="AA11" s="7">
        <v>0</v>
      </c>
      <c r="AB11" s="7">
        <v>0</v>
      </c>
      <c r="AC11" s="6"/>
      <c r="AD11" s="7">
        <v>1426.25</v>
      </c>
      <c r="AE11" s="4">
        <v>78</v>
      </c>
      <c r="AF11" s="5" t="s">
        <v>84</v>
      </c>
      <c r="AG11" s="5"/>
      <c r="AH11" s="5"/>
      <c r="AI11" s="5"/>
      <c r="AJ11" s="4"/>
      <c r="AK11" s="5" t="s">
        <v>85</v>
      </c>
      <c r="AL11" s="5" t="s">
        <v>86</v>
      </c>
      <c r="AM11" s="6">
        <v>46182</v>
      </c>
      <c r="AN11" s="5" t="s">
        <v>55</v>
      </c>
    </row>
    <row r="12" spans="1:40" x14ac:dyDescent="0.25">
      <c r="A12" s="2" t="s">
        <v>87</v>
      </c>
      <c r="B12" s="2" t="s">
        <v>88</v>
      </c>
      <c r="C12" s="3">
        <v>46183</v>
      </c>
      <c r="D12" s="4">
        <v>560178463</v>
      </c>
      <c r="E12" s="5" t="s">
        <v>89</v>
      </c>
      <c r="F12" s="6">
        <v>46164</v>
      </c>
      <c r="G12" s="5" t="s">
        <v>71</v>
      </c>
      <c r="H12" s="5" t="s">
        <v>71</v>
      </c>
      <c r="I12" s="5" t="s">
        <v>90</v>
      </c>
      <c r="J12" s="5" t="s">
        <v>91</v>
      </c>
      <c r="K12" s="3">
        <v>46245</v>
      </c>
      <c r="L12" s="12">
        <f ca="1">IF($O12="","",$O12-TODAY())</f>
        <v>-49</v>
      </c>
      <c r="M12" s="12">
        <f ca="1">IF(AND(TRIM($A12)="Finalized",$K12&lt;&gt;""),"",IF($C12="","",$C12+180-TODAY()))</f>
        <v>60</v>
      </c>
      <c r="N12" s="12">
        <f ca="1">IF(AND(TRIM($A12)="Finalized",$K12&lt;&gt;""),"",IF($C12="","",$C12+365-TODAY()))</f>
        <v>245</v>
      </c>
      <c r="O12" s="6">
        <f>IF(AND(TRIM($A12)="Finalized",$K12&lt;&gt;""),"",DATE(2026,8,20))</f>
        <v>46254</v>
      </c>
      <c r="P12" s="5" t="s">
        <v>46</v>
      </c>
      <c r="Q12" s="5" t="s">
        <v>73</v>
      </c>
      <c r="R12" s="5" t="s">
        <v>48</v>
      </c>
      <c r="S12" s="5" t="s">
        <v>49</v>
      </c>
      <c r="T12" s="5" t="s">
        <v>50</v>
      </c>
      <c r="U12" s="5" t="s">
        <v>49</v>
      </c>
      <c r="V12" s="5"/>
      <c r="W12" s="5"/>
      <c r="X12" s="5"/>
      <c r="Y12" s="5" t="s">
        <v>51</v>
      </c>
      <c r="Z12" s="7">
        <v>1372.91</v>
      </c>
      <c r="AA12" s="7">
        <v>0</v>
      </c>
      <c r="AB12" s="7">
        <v>0</v>
      </c>
      <c r="AC12" s="6">
        <v>46189</v>
      </c>
      <c r="AD12" s="7">
        <v>1372.91</v>
      </c>
      <c r="AE12" s="4">
        <v>78</v>
      </c>
      <c r="AF12" s="5" t="s">
        <v>92</v>
      </c>
      <c r="AG12" s="5" t="s">
        <v>75</v>
      </c>
      <c r="AH12" s="5"/>
      <c r="AI12" s="5"/>
      <c r="AJ12" s="4"/>
      <c r="AK12" s="5" t="s">
        <v>53</v>
      </c>
      <c r="AL12" s="5" t="s">
        <v>54</v>
      </c>
      <c r="AM12" s="6">
        <v>46181</v>
      </c>
      <c r="AN12" s="5" t="s">
        <v>55</v>
      </c>
    </row>
    <row r="13" spans="1:40" x14ac:dyDescent="0.25">
      <c r="A13" s="2" t="s">
        <v>87</v>
      </c>
      <c r="B13" s="2" t="s">
        <v>93</v>
      </c>
      <c r="C13" s="3">
        <v>46191</v>
      </c>
      <c r="D13" s="4">
        <v>560664762</v>
      </c>
      <c r="E13" s="5" t="s">
        <v>94</v>
      </c>
      <c r="F13" s="6">
        <v>46171</v>
      </c>
      <c r="G13" s="5" t="s">
        <v>95</v>
      </c>
      <c r="H13" s="5" t="s">
        <v>95</v>
      </c>
      <c r="I13" s="5" t="s">
        <v>44</v>
      </c>
      <c r="J13" s="5" t="s">
        <v>91</v>
      </c>
      <c r="K13" s="3">
        <v>46245</v>
      </c>
      <c r="L13" s="12">
        <f ca="1">IF($O13="","",$O13-TODAY())</f>
        <v>-42</v>
      </c>
      <c r="M13" s="12">
        <f ca="1">IF(AND(TRIM($A13)="Finalized",$K13&lt;&gt;""),"",IF($C13="","",$C13+365-TODAY()))</f>
        <v>253</v>
      </c>
      <c r="N13" s="12">
        <f ca="1">IF(AND(TRIM($A13)="Finalized",$K13&lt;&gt;""),"",IF($C13="","",$C13+365-TODAY()))</f>
        <v>253</v>
      </c>
      <c r="O13" s="6">
        <f>IF(AND(TRIM($A13)="Finalized",$K13&lt;&gt;""),"",DATE(2026,8,27))</f>
        <v>46261</v>
      </c>
      <c r="P13" s="5" t="s">
        <v>46</v>
      </c>
      <c r="Q13" s="5" t="s">
        <v>96</v>
      </c>
      <c r="R13" s="5" t="s">
        <v>50</v>
      </c>
      <c r="S13" s="5" t="s">
        <v>49</v>
      </c>
      <c r="T13" s="5" t="s">
        <v>50</v>
      </c>
      <c r="U13" s="5" t="s">
        <v>49</v>
      </c>
      <c r="V13" s="5"/>
      <c r="W13" s="5"/>
      <c r="X13" s="5"/>
      <c r="Y13" s="5" t="s">
        <v>51</v>
      </c>
      <c r="Z13" s="7">
        <v>1372.91</v>
      </c>
      <c r="AA13" s="7">
        <v>0</v>
      </c>
      <c r="AB13" s="7">
        <v>0</v>
      </c>
      <c r="AC13" s="6">
        <v>46191</v>
      </c>
      <c r="AD13" s="7">
        <v>1372.91</v>
      </c>
      <c r="AE13" s="4">
        <v>71</v>
      </c>
      <c r="AF13" s="5" t="s">
        <v>80</v>
      </c>
      <c r="AG13" s="5"/>
      <c r="AH13" s="5"/>
      <c r="AI13" s="5"/>
      <c r="AJ13" s="4"/>
      <c r="AK13" s="5" t="s">
        <v>97</v>
      </c>
      <c r="AL13" s="5" t="s">
        <v>86</v>
      </c>
      <c r="AM13" s="6">
        <v>46182</v>
      </c>
      <c r="AN13" s="5" t="s">
        <v>55</v>
      </c>
    </row>
    <row r="14" spans="1:40" x14ac:dyDescent="0.25">
      <c r="A14" s="2" t="s">
        <v>87</v>
      </c>
      <c r="B14" s="2" t="s">
        <v>123</v>
      </c>
      <c r="C14" s="3">
        <v>46190</v>
      </c>
      <c r="D14" s="4">
        <v>558264075</v>
      </c>
      <c r="E14" s="5" t="s">
        <v>124</v>
      </c>
      <c r="F14" s="6">
        <v>46146</v>
      </c>
      <c r="G14" s="5" t="s">
        <v>118</v>
      </c>
      <c r="H14" s="5" t="s">
        <v>118</v>
      </c>
      <c r="I14" s="5" t="s">
        <v>125</v>
      </c>
      <c r="J14" s="5" t="s">
        <v>126</v>
      </c>
      <c r="K14" s="3">
        <v>46252</v>
      </c>
      <c r="L14" s="12">
        <f ca="1">IF($O14="","",$O14-TODAY())</f>
        <v>208</v>
      </c>
      <c r="M14" s="12">
        <f ca="1">IF(AND(TRIM($A14)="Finalized",$K14&lt;&gt;""),"",IF($C14="","",$C14+365-TODAY()))</f>
        <v>252</v>
      </c>
      <c r="N14" s="12">
        <f ca="1">IF(AND(TRIM($A14)="Finalized",$K14&lt;&gt;""),"",IF($C14="","",$C14+120-TODAY()))</f>
        <v>7</v>
      </c>
      <c r="O14" s="6">
        <f>IF(AND(TRIM($A14)="Finalized",$K14&lt;&gt;""),"",DATE(2027,5,4))</f>
        <v>46511</v>
      </c>
      <c r="P14" s="5" t="s">
        <v>50</v>
      </c>
      <c r="Q14" s="5" t="s">
        <v>121</v>
      </c>
      <c r="R14" s="5" t="s">
        <v>50</v>
      </c>
      <c r="S14" s="5" t="s">
        <v>49</v>
      </c>
      <c r="T14" s="5" t="s">
        <v>103</v>
      </c>
      <c r="U14" s="5" t="s">
        <v>49</v>
      </c>
      <c r="V14" s="5"/>
      <c r="W14" s="5"/>
      <c r="X14" s="5"/>
      <c r="Y14" s="5" t="s">
        <v>127</v>
      </c>
      <c r="Z14" s="7">
        <v>1822.52</v>
      </c>
      <c r="AA14" s="7">
        <v>0</v>
      </c>
      <c r="AB14" s="7">
        <v>0</v>
      </c>
      <c r="AC14" s="6">
        <v>46190</v>
      </c>
      <c r="AD14" s="7">
        <v>1822.52</v>
      </c>
      <c r="AE14" s="4">
        <v>96</v>
      </c>
      <c r="AF14" s="5" t="s">
        <v>128</v>
      </c>
      <c r="AG14" s="5"/>
      <c r="AH14" s="5"/>
      <c r="AI14" s="5"/>
      <c r="AJ14" s="4"/>
      <c r="AK14" s="5" t="s">
        <v>67</v>
      </c>
      <c r="AL14" s="5" t="s">
        <v>68</v>
      </c>
      <c r="AM14" s="6">
        <v>46182</v>
      </c>
      <c r="AN14" s="5" t="s">
        <v>55</v>
      </c>
    </row>
    <row r="15" spans="1:40" x14ac:dyDescent="0.25">
      <c r="A15" s="2" t="s">
        <v>40</v>
      </c>
      <c r="B15" s="2" t="s">
        <v>129</v>
      </c>
      <c r="C15" s="3">
        <v>46196</v>
      </c>
      <c r="D15" s="4">
        <v>558264882</v>
      </c>
      <c r="E15" s="5" t="s">
        <v>130</v>
      </c>
      <c r="F15" s="6">
        <v>46147</v>
      </c>
      <c r="G15" s="5" t="s">
        <v>131</v>
      </c>
      <c r="H15" s="5" t="s">
        <v>118</v>
      </c>
      <c r="I15" s="5" t="s">
        <v>131</v>
      </c>
      <c r="J15" s="5" t="s">
        <v>120</v>
      </c>
      <c r="K15" s="3">
        <v>46227</v>
      </c>
      <c r="L15" s="12">
        <f ca="1">IF($O15="","",$O15-TODAY())</f>
        <v>209</v>
      </c>
      <c r="M15" s="12">
        <f ca="1">IF(AND(TRIM($A15)="Finalized",$K15&lt;&gt;""),"",IF($C15="","",$C15+365-TODAY()))</f>
        <v>258</v>
      </c>
      <c r="N15" s="12">
        <f ca="1">IF(AND(TRIM($A15)="Finalized",$K15&lt;&gt;""),"",IF($C15="","",$C15+120-TODAY()))</f>
        <v>13</v>
      </c>
      <c r="O15" s="6">
        <f>IF(AND(TRIM($A15)="Finalized",$K15&lt;&gt;""),"",DATE(2027,5,5))</f>
        <v>46512</v>
      </c>
      <c r="P15" s="5" t="s">
        <v>50</v>
      </c>
      <c r="Q15" s="5" t="s">
        <v>121</v>
      </c>
      <c r="R15" s="5" t="s">
        <v>50</v>
      </c>
      <c r="S15" s="5" t="s">
        <v>49</v>
      </c>
      <c r="T15" s="5" t="s">
        <v>103</v>
      </c>
      <c r="U15" s="5" t="s">
        <v>49</v>
      </c>
      <c r="V15" s="5"/>
      <c r="W15" s="5"/>
      <c r="X15" s="5"/>
      <c r="Y15" s="5" t="s">
        <v>51</v>
      </c>
      <c r="Z15" s="7">
        <v>1426.25</v>
      </c>
      <c r="AA15" s="7">
        <v>1212.77</v>
      </c>
      <c r="AB15" s="7">
        <v>170.09</v>
      </c>
      <c r="AC15" s="6">
        <v>46196</v>
      </c>
      <c r="AD15" s="7">
        <v>43.39</v>
      </c>
      <c r="AE15" s="4">
        <v>95</v>
      </c>
      <c r="AF15" s="5" t="s">
        <v>59</v>
      </c>
      <c r="AG15" s="5"/>
      <c r="AH15" s="5"/>
      <c r="AI15" s="5"/>
      <c r="AJ15" s="4">
        <v>564131166</v>
      </c>
      <c r="AK15" s="5" t="s">
        <v>67</v>
      </c>
      <c r="AL15" s="5" t="s">
        <v>68</v>
      </c>
      <c r="AM15" s="6">
        <v>46182</v>
      </c>
      <c r="AN15" s="5" t="s">
        <v>55</v>
      </c>
    </row>
    <row r="16" spans="1:40" x14ac:dyDescent="0.25">
      <c r="A16" s="2" t="s">
        <v>40</v>
      </c>
      <c r="B16" s="2" t="s">
        <v>129</v>
      </c>
      <c r="C16" s="3">
        <v>46196</v>
      </c>
      <c r="D16" s="4">
        <v>559107561</v>
      </c>
      <c r="E16" s="5" t="s">
        <v>137</v>
      </c>
      <c r="F16" s="6">
        <v>46155</v>
      </c>
      <c r="G16" s="5" t="s">
        <v>131</v>
      </c>
      <c r="H16" s="5" t="s">
        <v>118</v>
      </c>
      <c r="I16" s="5" t="s">
        <v>131</v>
      </c>
      <c r="J16" s="5" t="s">
        <v>58</v>
      </c>
      <c r="K16" s="3">
        <v>46227</v>
      </c>
      <c r="L16" s="12">
        <f ca="1">IF($O16="","",$O16-TODAY())</f>
        <v>217</v>
      </c>
      <c r="M16" s="12">
        <f ca="1">IF(AND(TRIM($A16)="Finalized",$K16&lt;&gt;""),"",IF($C16="","",$C16+365-TODAY()))</f>
        <v>258</v>
      </c>
      <c r="N16" s="12">
        <f ca="1">IF(AND(TRIM($A16)="Finalized",$K16&lt;&gt;""),"",IF($C16="","",$C16+120-TODAY()))</f>
        <v>13</v>
      </c>
      <c r="O16" s="6">
        <f>IF(AND(TRIM($A16)="Finalized",$K16&lt;&gt;""),"",DATE(2027,5,13))</f>
        <v>46520</v>
      </c>
      <c r="P16" s="5" t="s">
        <v>50</v>
      </c>
      <c r="Q16" s="5" t="s">
        <v>121</v>
      </c>
      <c r="R16" s="5" t="s">
        <v>50</v>
      </c>
      <c r="S16" s="5" t="s">
        <v>49</v>
      </c>
      <c r="T16" s="5" t="s">
        <v>103</v>
      </c>
      <c r="U16" s="5" t="s">
        <v>49</v>
      </c>
      <c r="V16" s="5"/>
      <c r="W16" s="5"/>
      <c r="X16" s="5"/>
      <c r="Y16" s="5" t="s">
        <v>51</v>
      </c>
      <c r="Z16" s="7">
        <v>1426.25</v>
      </c>
      <c r="AA16" s="7">
        <v>1228.08</v>
      </c>
      <c r="AB16" s="7">
        <v>154.78</v>
      </c>
      <c r="AC16" s="6">
        <v>46196</v>
      </c>
      <c r="AD16" s="7">
        <v>43.39</v>
      </c>
      <c r="AE16" s="4">
        <v>87</v>
      </c>
      <c r="AF16" s="5" t="s">
        <v>80</v>
      </c>
      <c r="AG16" s="5"/>
      <c r="AH16" s="5"/>
      <c r="AI16" s="5"/>
      <c r="AJ16" s="4">
        <v>564131742</v>
      </c>
      <c r="AK16" s="5" t="s">
        <v>97</v>
      </c>
      <c r="AL16" s="5" t="s">
        <v>86</v>
      </c>
      <c r="AM16" s="6">
        <v>46182</v>
      </c>
      <c r="AN16" s="5" t="s">
        <v>55</v>
      </c>
    </row>
    <row r="17" spans="1:40" x14ac:dyDescent="0.25">
      <c r="A17" s="2" t="s">
        <v>40</v>
      </c>
      <c r="B17" s="2" t="s">
        <v>129</v>
      </c>
      <c r="C17" s="3">
        <v>46196</v>
      </c>
      <c r="D17" s="4">
        <v>559368713</v>
      </c>
      <c r="E17" s="5" t="s">
        <v>138</v>
      </c>
      <c r="F17" s="6">
        <v>46157</v>
      </c>
      <c r="G17" s="5" t="s">
        <v>131</v>
      </c>
      <c r="H17" s="5" t="s">
        <v>118</v>
      </c>
      <c r="I17" s="5" t="s">
        <v>131</v>
      </c>
      <c r="J17" s="5" t="s">
        <v>58</v>
      </c>
      <c r="K17" s="3">
        <v>46227</v>
      </c>
      <c r="L17" s="12">
        <f ca="1">IF($O17="","",$O17-TODAY())</f>
        <v>219</v>
      </c>
      <c r="M17" s="12">
        <f ca="1">IF(AND(TRIM($A17)="Finalized",$K17&lt;&gt;""),"",IF($C17="","",$C17+365-TODAY()))</f>
        <v>258</v>
      </c>
      <c r="N17" s="12">
        <f ca="1">IF(AND(TRIM($A17)="Finalized",$K17&lt;&gt;""),"",IF($C17="","",$C17+120-TODAY()))</f>
        <v>13</v>
      </c>
      <c r="O17" s="6">
        <f>IF(AND(TRIM($A17)="Finalized",$K17&lt;&gt;""),"",DATE(2027,5,15))</f>
        <v>46522</v>
      </c>
      <c r="P17" s="5" t="s">
        <v>50</v>
      </c>
      <c r="Q17" s="5" t="s">
        <v>121</v>
      </c>
      <c r="R17" s="5" t="s">
        <v>50</v>
      </c>
      <c r="S17" s="5" t="s">
        <v>49</v>
      </c>
      <c r="T17" s="5" t="s">
        <v>103</v>
      </c>
      <c r="U17" s="5" t="s">
        <v>49</v>
      </c>
      <c r="V17" s="5"/>
      <c r="W17" s="5"/>
      <c r="X17" s="5"/>
      <c r="Y17" s="5" t="s">
        <v>51</v>
      </c>
      <c r="Z17" s="7">
        <v>1426.25</v>
      </c>
      <c r="AA17" s="7">
        <v>1228.08</v>
      </c>
      <c r="AB17" s="7">
        <v>154.78</v>
      </c>
      <c r="AC17" s="6">
        <v>46196</v>
      </c>
      <c r="AD17" s="7">
        <v>43.39</v>
      </c>
      <c r="AE17" s="4">
        <v>85</v>
      </c>
      <c r="AF17" s="5" t="s">
        <v>84</v>
      </c>
      <c r="AG17" s="5"/>
      <c r="AH17" s="5"/>
      <c r="AI17" s="5"/>
      <c r="AJ17" s="4">
        <v>564132159</v>
      </c>
      <c r="AK17" s="5" t="s">
        <v>97</v>
      </c>
      <c r="AL17" s="5" t="s">
        <v>86</v>
      </c>
      <c r="AM17" s="6">
        <v>46182</v>
      </c>
      <c r="AN17" s="5" t="s">
        <v>55</v>
      </c>
    </row>
    <row r="18" spans="1:40" x14ac:dyDescent="0.25">
      <c r="A18" s="2" t="s">
        <v>40</v>
      </c>
      <c r="B18" s="2" t="s">
        <v>129</v>
      </c>
      <c r="C18" s="3">
        <v>46196</v>
      </c>
      <c r="D18" s="4">
        <v>560682170</v>
      </c>
      <c r="E18" s="5" t="s">
        <v>139</v>
      </c>
      <c r="F18" s="6">
        <v>46170</v>
      </c>
      <c r="G18" s="5" t="s">
        <v>131</v>
      </c>
      <c r="H18" s="5" t="s">
        <v>118</v>
      </c>
      <c r="I18" s="5" t="s">
        <v>131</v>
      </c>
      <c r="J18" s="5" t="s">
        <v>64</v>
      </c>
      <c r="K18" s="3">
        <v>46227</v>
      </c>
      <c r="L18" s="12">
        <f ca="1">IF($O18="","",$O18-TODAY())</f>
        <v>232</v>
      </c>
      <c r="M18" s="12">
        <f ca="1">IF(AND(TRIM($A18)="Finalized",$K18&lt;&gt;""),"",IF($C18="","",$C18+365-TODAY()))</f>
        <v>258</v>
      </c>
      <c r="N18" s="12">
        <f ca="1">IF(AND(TRIM($A18)="Finalized",$K18&lt;&gt;""),"",IF($C18="","",$C18+120-TODAY()))</f>
        <v>13</v>
      </c>
      <c r="O18" s="6">
        <f>IF(AND(TRIM($A18)="Finalized",$K18&lt;&gt;""),"",DATE(2027,5,28))</f>
        <v>46535</v>
      </c>
      <c r="P18" s="5" t="s">
        <v>50</v>
      </c>
      <c r="Q18" s="5" t="s">
        <v>121</v>
      </c>
      <c r="R18" s="5" t="s">
        <v>50</v>
      </c>
      <c r="S18" s="5" t="s">
        <v>49</v>
      </c>
      <c r="T18" s="5" t="s">
        <v>103</v>
      </c>
      <c r="U18" s="5" t="s">
        <v>49</v>
      </c>
      <c r="V18" s="5"/>
      <c r="W18" s="5"/>
      <c r="X18" s="5"/>
      <c r="Y18" s="5" t="s">
        <v>51</v>
      </c>
      <c r="Z18" s="7">
        <v>976.64</v>
      </c>
      <c r="AA18" s="7">
        <v>844.25</v>
      </c>
      <c r="AB18" s="7">
        <v>103.98</v>
      </c>
      <c r="AC18" s="6">
        <v>46196</v>
      </c>
      <c r="AD18" s="7">
        <v>28.41</v>
      </c>
      <c r="AE18" s="4">
        <v>72</v>
      </c>
      <c r="AF18" s="5" t="s">
        <v>59</v>
      </c>
      <c r="AG18" s="5"/>
      <c r="AH18" s="5"/>
      <c r="AI18" s="5"/>
      <c r="AJ18" s="4">
        <v>564133893</v>
      </c>
      <c r="AK18" s="5" t="s">
        <v>140</v>
      </c>
      <c r="AL18" s="5" t="s">
        <v>54</v>
      </c>
      <c r="AM18" s="6">
        <v>46182</v>
      </c>
      <c r="AN18" s="5" t="s">
        <v>55</v>
      </c>
    </row>
    <row r="19" spans="1:40" x14ac:dyDescent="0.25">
      <c r="A19" s="2" t="s">
        <v>40</v>
      </c>
      <c r="B19" s="2" t="s">
        <v>141</v>
      </c>
      <c r="C19" s="3"/>
      <c r="D19" s="4">
        <v>568553454</v>
      </c>
      <c r="E19" s="5" t="s">
        <v>142</v>
      </c>
      <c r="F19" s="6">
        <v>46149</v>
      </c>
      <c r="G19" s="5" t="s">
        <v>143</v>
      </c>
      <c r="H19" s="5" t="s">
        <v>44</v>
      </c>
      <c r="I19" s="5" t="s">
        <v>44</v>
      </c>
      <c r="J19" s="5" t="s">
        <v>58</v>
      </c>
      <c r="K19" s="3">
        <v>46247</v>
      </c>
      <c r="L19" s="12">
        <f ca="1">IF($O19="","",$O19-TODAY())</f>
        <v>-64</v>
      </c>
      <c r="M19" s="12" t="str">
        <f ca="1">IF(AND(TRIM($A19)="Finalized",$K19&lt;&gt;""),"",IF($C19="","",$C19+365-TODAY()))</f>
        <v/>
      </c>
      <c r="N19" s="12" t="str">
        <f ca="1">IF(AND(TRIM($A19)="Finalized",$K19&lt;&gt;""),"",IF($C19="","",$C19+365-TODAY()))</f>
        <v/>
      </c>
      <c r="O19" s="6">
        <f>IF(AND(TRIM($A19)="Finalized",$K19&lt;&gt;""),"",DATE(2026,8,5))</f>
        <v>46239</v>
      </c>
      <c r="P19" s="5" t="s">
        <v>46</v>
      </c>
      <c r="Q19" s="5" t="s">
        <v>145</v>
      </c>
      <c r="R19" s="5" t="s">
        <v>50</v>
      </c>
      <c r="S19" s="5" t="s">
        <v>49</v>
      </c>
      <c r="T19" s="5" t="s">
        <v>50</v>
      </c>
      <c r="U19" s="5" t="s">
        <v>49</v>
      </c>
      <c r="V19" s="5"/>
      <c r="W19" s="5"/>
      <c r="X19" s="5"/>
      <c r="Y19" s="5" t="s">
        <v>51</v>
      </c>
      <c r="Z19" s="7">
        <v>1426.25</v>
      </c>
      <c r="AA19" s="7">
        <v>0</v>
      </c>
      <c r="AB19" s="7">
        <v>0</v>
      </c>
      <c r="AC19" s="6"/>
      <c r="AD19" s="7">
        <v>1426.25</v>
      </c>
      <c r="AE19" s="4">
        <v>93</v>
      </c>
      <c r="AF19" s="5" t="s">
        <v>59</v>
      </c>
      <c r="AG19" s="5"/>
      <c r="AH19" s="5"/>
      <c r="AI19" s="5"/>
      <c r="AJ19" s="4"/>
      <c r="AK19" s="5" t="s">
        <v>81</v>
      </c>
      <c r="AL19" s="5" t="s">
        <v>54</v>
      </c>
      <c r="AM19" s="6">
        <v>46182</v>
      </c>
      <c r="AN19" s="5" t="s">
        <v>55</v>
      </c>
    </row>
    <row r="20" spans="1:40" x14ac:dyDescent="0.25">
      <c r="A20" s="2" t="s">
        <v>40</v>
      </c>
      <c r="B20" s="2" t="s">
        <v>146</v>
      </c>
      <c r="C20" s="3">
        <v>46217</v>
      </c>
      <c r="D20" s="4">
        <v>559861642</v>
      </c>
      <c r="E20" s="5" t="s">
        <v>147</v>
      </c>
      <c r="F20" s="6">
        <v>46161</v>
      </c>
      <c r="G20" s="5" t="s">
        <v>148</v>
      </c>
      <c r="H20" s="5" t="s">
        <v>148</v>
      </c>
      <c r="I20" s="5" t="s">
        <v>44</v>
      </c>
      <c r="J20" s="5" t="s">
        <v>58</v>
      </c>
      <c r="K20" s="3">
        <v>46247</v>
      </c>
      <c r="L20" s="12">
        <f ca="1">IF($O20="","",$O20-TODAY())</f>
        <v>-82</v>
      </c>
      <c r="M20" s="12">
        <f ca="1">IF(AND(TRIM($A20)="Finalized",$K20&lt;&gt;""),"",IF($C20="","",$C20+365-TODAY()))</f>
        <v>279</v>
      </c>
      <c r="N20" s="12">
        <f ca="1">IF(AND(TRIM($A20)="Finalized",$K20&lt;&gt;""),"",IF($C20="","",$C20+365-TODAY()))</f>
        <v>279</v>
      </c>
      <c r="O20" s="6">
        <f>IF(AND(TRIM($A20)="Finalized",$K20&lt;&gt;""),"",DATE(2026,7,18))</f>
        <v>46221</v>
      </c>
      <c r="P20" s="5" t="s">
        <v>144</v>
      </c>
      <c r="Q20" s="5" t="s">
        <v>149</v>
      </c>
      <c r="R20" s="5" t="s">
        <v>50</v>
      </c>
      <c r="S20" s="5" t="s">
        <v>49</v>
      </c>
      <c r="T20" s="5" t="s">
        <v>50</v>
      </c>
      <c r="U20" s="5" t="s">
        <v>49</v>
      </c>
      <c r="V20" s="5"/>
      <c r="W20" s="5"/>
      <c r="X20" s="5"/>
      <c r="Y20" s="5" t="s">
        <v>51</v>
      </c>
      <c r="Z20" s="7">
        <v>1426.25</v>
      </c>
      <c r="AA20" s="7">
        <v>0</v>
      </c>
      <c r="AB20" s="7">
        <v>0</v>
      </c>
      <c r="AC20" s="6">
        <v>46217</v>
      </c>
      <c r="AD20" s="7">
        <v>1426.25</v>
      </c>
      <c r="AE20" s="4">
        <v>81</v>
      </c>
      <c r="AF20" s="5" t="s">
        <v>59</v>
      </c>
      <c r="AG20" s="5"/>
      <c r="AH20" s="5"/>
      <c r="AI20" s="5"/>
      <c r="AJ20" s="4"/>
      <c r="AK20" s="5" t="s">
        <v>67</v>
      </c>
      <c r="AL20" s="5" t="s">
        <v>68</v>
      </c>
      <c r="AM20" s="6">
        <v>46181</v>
      </c>
      <c r="AN20" s="5" t="s">
        <v>55</v>
      </c>
    </row>
    <row r="21" spans="1:40" x14ac:dyDescent="0.25">
      <c r="A21" s="2" t="s">
        <v>87</v>
      </c>
      <c r="B21" s="2" t="s">
        <v>153</v>
      </c>
      <c r="C21" s="3">
        <v>46191</v>
      </c>
      <c r="D21" s="4">
        <v>558331839</v>
      </c>
      <c r="E21" s="5" t="s">
        <v>154</v>
      </c>
      <c r="F21" s="6">
        <v>46148</v>
      </c>
      <c r="G21" s="5" t="s">
        <v>155</v>
      </c>
      <c r="H21" s="5" t="s">
        <v>155</v>
      </c>
      <c r="I21" s="5" t="s">
        <v>44</v>
      </c>
      <c r="J21" s="5" t="s">
        <v>58</v>
      </c>
      <c r="K21" s="3">
        <v>46252</v>
      </c>
      <c r="L21" s="4" t="str">
        <f ca="1">IF($O21="","",$O21-TODAY())</f>
        <v/>
      </c>
      <c r="M21" s="4"/>
      <c r="N21" s="4"/>
      <c r="O21" s="6"/>
      <c r="P21" s="5"/>
      <c r="Q21" s="5" t="s">
        <v>156</v>
      </c>
      <c r="R21" s="5"/>
      <c r="S21" s="5"/>
      <c r="T21" s="5"/>
      <c r="U21" s="5"/>
      <c r="V21" s="5"/>
      <c r="W21" s="5"/>
      <c r="X21" s="5"/>
      <c r="Y21" s="5" t="s">
        <v>51</v>
      </c>
      <c r="Z21" s="7">
        <v>1426.25</v>
      </c>
      <c r="AA21" s="7">
        <v>0</v>
      </c>
      <c r="AB21" s="7">
        <v>0</v>
      </c>
      <c r="AC21" s="6">
        <v>46191</v>
      </c>
      <c r="AD21" s="7">
        <v>1426.25</v>
      </c>
      <c r="AE21" s="4">
        <v>94</v>
      </c>
      <c r="AF21" s="5" t="s">
        <v>80</v>
      </c>
      <c r="AG21" s="5"/>
      <c r="AH21" s="5"/>
      <c r="AI21" s="5"/>
      <c r="AJ21" s="4"/>
      <c r="AK21" s="5" t="s">
        <v>157</v>
      </c>
      <c r="AL21" s="5" t="s">
        <v>86</v>
      </c>
      <c r="AM21" s="6">
        <v>46182</v>
      </c>
      <c r="AN21" s="5" t="s">
        <v>55</v>
      </c>
    </row>
    <row r="22" spans="1:40" x14ac:dyDescent="0.25">
      <c r="A22" s="2" t="s">
        <v>87</v>
      </c>
      <c r="B22" s="2" t="s">
        <v>153</v>
      </c>
      <c r="C22" s="3">
        <v>46191</v>
      </c>
      <c r="D22" s="4">
        <v>559338687</v>
      </c>
      <c r="E22" s="5" t="s">
        <v>161</v>
      </c>
      <c r="F22" s="6">
        <v>46157</v>
      </c>
      <c r="G22" s="5" t="s">
        <v>155</v>
      </c>
      <c r="H22" s="5" t="s">
        <v>155</v>
      </c>
      <c r="I22" s="5" t="s">
        <v>44</v>
      </c>
      <c r="J22" s="5" t="s">
        <v>120</v>
      </c>
      <c r="K22" s="3">
        <v>46252</v>
      </c>
      <c r="L22" s="4" t="str">
        <f ca="1">IF($O22="","",$O22-TODAY())</f>
        <v/>
      </c>
      <c r="M22" s="4"/>
      <c r="N22" s="4"/>
      <c r="O22" s="6"/>
      <c r="P22" s="5"/>
      <c r="Q22" s="5" t="s">
        <v>156</v>
      </c>
      <c r="R22" s="5"/>
      <c r="S22" s="5"/>
      <c r="T22" s="5"/>
      <c r="U22" s="5"/>
      <c r="V22" s="5"/>
      <c r="W22" s="5"/>
      <c r="X22" s="5"/>
      <c r="Y22" s="5" t="s">
        <v>51</v>
      </c>
      <c r="Z22" s="7">
        <v>1426.25</v>
      </c>
      <c r="AA22" s="7">
        <v>0</v>
      </c>
      <c r="AB22" s="7">
        <v>0</v>
      </c>
      <c r="AC22" s="6">
        <v>46191</v>
      </c>
      <c r="AD22" s="7">
        <v>1426.25</v>
      </c>
      <c r="AE22" s="4">
        <v>85</v>
      </c>
      <c r="AF22" s="5" t="s">
        <v>59</v>
      </c>
      <c r="AG22" s="5"/>
      <c r="AH22" s="5"/>
      <c r="AI22" s="5"/>
      <c r="AJ22" s="4"/>
      <c r="AK22" s="5" t="s">
        <v>162</v>
      </c>
      <c r="AL22" s="5" t="s">
        <v>54</v>
      </c>
      <c r="AM22" s="6">
        <v>46181</v>
      </c>
      <c r="AN22" s="5" t="s">
        <v>55</v>
      </c>
    </row>
    <row r="23" spans="1:40" x14ac:dyDescent="0.25">
      <c r="A23" s="2" t="s">
        <v>87</v>
      </c>
      <c r="B23" s="2" t="s">
        <v>153</v>
      </c>
      <c r="C23" s="3">
        <v>46191</v>
      </c>
      <c r="D23" s="4">
        <v>560178907</v>
      </c>
      <c r="E23" s="5" t="s">
        <v>163</v>
      </c>
      <c r="F23" s="6">
        <v>46164</v>
      </c>
      <c r="G23" s="5" t="s">
        <v>155</v>
      </c>
      <c r="H23" s="5" t="s">
        <v>155</v>
      </c>
      <c r="I23" s="5" t="s">
        <v>44</v>
      </c>
      <c r="J23" s="5" t="s">
        <v>58</v>
      </c>
      <c r="K23" s="3">
        <v>46252</v>
      </c>
      <c r="L23" s="4" t="str">
        <f ca="1">IF($O23="","",$O23-TODAY())</f>
        <v/>
      </c>
      <c r="M23" s="4"/>
      <c r="N23" s="4"/>
      <c r="O23" s="6"/>
      <c r="P23" s="5"/>
      <c r="Q23" s="5" t="s">
        <v>156</v>
      </c>
      <c r="R23" s="5"/>
      <c r="S23" s="5"/>
      <c r="T23" s="5"/>
      <c r="U23" s="5"/>
      <c r="V23" s="5"/>
      <c r="W23" s="5"/>
      <c r="X23" s="5"/>
      <c r="Y23" s="5" t="s">
        <v>51</v>
      </c>
      <c r="Z23" s="7">
        <v>1426.25</v>
      </c>
      <c r="AA23" s="7">
        <v>0</v>
      </c>
      <c r="AB23" s="7">
        <v>0</v>
      </c>
      <c r="AC23" s="6">
        <v>46191</v>
      </c>
      <c r="AD23" s="7">
        <v>1426.25</v>
      </c>
      <c r="AE23" s="4">
        <v>78</v>
      </c>
      <c r="AF23" s="5" t="s">
        <v>74</v>
      </c>
      <c r="AG23" s="5" t="s">
        <v>75</v>
      </c>
      <c r="AH23" s="5"/>
      <c r="AI23" s="5"/>
      <c r="AJ23" s="4"/>
      <c r="AK23" s="5" t="s">
        <v>85</v>
      </c>
      <c r="AL23" s="5" t="s">
        <v>54</v>
      </c>
      <c r="AM23" s="6">
        <v>46182</v>
      </c>
      <c r="AN23" s="5" t="s">
        <v>55</v>
      </c>
    </row>
    <row r="24" spans="1:40" x14ac:dyDescent="0.25">
      <c r="A24" s="2" t="s">
        <v>87</v>
      </c>
      <c r="B24" s="2" t="s">
        <v>153</v>
      </c>
      <c r="C24" s="3">
        <v>46191</v>
      </c>
      <c r="D24" s="4">
        <v>560590155</v>
      </c>
      <c r="E24" s="16" t="s">
        <v>164</v>
      </c>
      <c r="F24" s="6">
        <v>46170</v>
      </c>
      <c r="G24" s="5" t="s">
        <v>155</v>
      </c>
      <c r="H24" s="5" t="s">
        <v>155</v>
      </c>
      <c r="I24" s="5" t="s">
        <v>44</v>
      </c>
      <c r="J24" s="5" t="s">
        <v>120</v>
      </c>
      <c r="K24" s="3">
        <v>46252</v>
      </c>
      <c r="L24" s="4" t="str">
        <f ca="1">IF($O24="","",$O24-TODAY())</f>
        <v/>
      </c>
      <c r="M24" s="4"/>
      <c r="N24" s="4"/>
      <c r="O24" s="6"/>
      <c r="P24" s="5"/>
      <c r="Q24" s="5" t="s">
        <v>156</v>
      </c>
      <c r="R24" s="5"/>
      <c r="S24" s="5"/>
      <c r="T24" s="5"/>
      <c r="U24" s="5"/>
      <c r="V24" s="5"/>
      <c r="W24" s="5"/>
      <c r="X24" s="5"/>
      <c r="Y24" s="5" t="s">
        <v>51</v>
      </c>
      <c r="Z24" s="7">
        <v>1426.25</v>
      </c>
      <c r="AA24" s="7">
        <v>0</v>
      </c>
      <c r="AB24" s="7">
        <v>0</v>
      </c>
      <c r="AC24" s="6">
        <v>46191</v>
      </c>
      <c r="AD24" s="7">
        <v>1426.25</v>
      </c>
      <c r="AE24" s="4">
        <v>72</v>
      </c>
      <c r="AF24" s="5" t="s">
        <v>59</v>
      </c>
      <c r="AG24" s="5"/>
      <c r="AH24" s="5"/>
      <c r="AI24" s="5"/>
      <c r="AJ24" s="4"/>
      <c r="AK24" s="5" t="s">
        <v>162</v>
      </c>
      <c r="AL24" s="5" t="s">
        <v>54</v>
      </c>
      <c r="AM24" s="6">
        <v>46182</v>
      </c>
      <c r="AN24" s="5" t="s">
        <v>55</v>
      </c>
    </row>
    <row r="25" spans="1:40" x14ac:dyDescent="0.25">
      <c r="A25" s="2" t="s">
        <v>115</v>
      </c>
      <c r="B25" s="2" t="s">
        <v>523</v>
      </c>
      <c r="C25" s="3">
        <v>46252</v>
      </c>
      <c r="D25" s="4">
        <v>560608599</v>
      </c>
      <c r="E25" s="5" t="s">
        <v>105</v>
      </c>
      <c r="F25" s="6">
        <v>46169</v>
      </c>
      <c r="G25" s="5" t="s">
        <v>106</v>
      </c>
      <c r="H25" s="5" t="s">
        <v>106</v>
      </c>
      <c r="I25" s="5" t="s">
        <v>44</v>
      </c>
      <c r="J25" s="5" t="s">
        <v>107</v>
      </c>
      <c r="K25" s="3">
        <v>46276</v>
      </c>
      <c t="str" r="L25" s="12">
        <f ca="1">IF($O25="","",$O25-TODAY())</f>
        <v/>
      </c>
      <c t="str" r="M25" s="12">
        <f ca="1">IF(AND(TRIM($A25)="Finalized",$K25&lt;&gt;""),"",IF($C25="","",$C25+180-TODAY()))</f>
        <v/>
      </c>
      <c t="str" r="N25" s="12">
        <f ca="1">IF(AND(TRIM($A25)="Finalized",$K25&lt;&gt;""),"",IF($C25="","",$C25+180-TODAY()))</f>
        <v/>
      </c>
      <c t="str" r="O25" s="6">
        <f>IF(AND(TRIM($A25)="Finalized",$K25&lt;&gt;""),"",DATE(2026,9,24))</f>
        <v/>
      </c>
      <c r="P25" s="5" t="s">
        <v>103</v>
      </c>
      <c r="Q25" s="5" t="s">
        <v>108</v>
      </c>
      <c r="R25" s="5" t="s">
        <v>48</v>
      </c>
      <c r="S25" s="5" t="s">
        <v>49</v>
      </c>
      <c r="T25" s="5" t="s">
        <v>48</v>
      </c>
      <c r="U25" s="5" t="s">
        <v>49</v>
      </c>
      <c r="V25" s="5" t="s">
        <v>109</v>
      </c>
      <c r="W25" s="5"/>
      <c r="X25" s="5"/>
      <c r="Y25" s="5" t="s">
        <v>51</v>
      </c>
      <c r="Z25" s="7">
        <v>294.42</v>
      </c>
      <c r="AA25" s="7">
        <v>0</v>
      </c>
      <c r="AB25" s="7">
        <v>0</v>
      </c>
      <c r="AC25" s="6"/>
      <c r="AD25" s="7">
        <v>294.42</v>
      </c>
      <c r="AE25" s="4">
        <v>73</v>
      </c>
      <c r="AF25" s="5" t="s">
        <v>110</v>
      </c>
      <c r="AG25" s="5" t="s">
        <v>111</v>
      </c>
      <c r="AH25" s="5" t="s">
        <v>112</v>
      </c>
      <c r="AI25" s="5" t="s">
        <v>113</v>
      </c>
      <c r="AJ25" s="4"/>
      <c r="AK25" s="5" t="s">
        <v>114</v>
      </c>
      <c r="AL25" s="5" t="s">
        <v>86</v>
      </c>
      <c r="AM25" s="6">
        <v>46234</v>
      </c>
      <c r="AN25" s="5" t="s">
        <v>55</v>
      </c>
    </row>
    <row r="26" spans="1:40" x14ac:dyDescent="0.25">
      <c r="A26" s="2" t="s">
        <v>115</v>
      </c>
      <c r="B26" s="15" t="s">
        <v>527</v>
      </c>
      <c r="C26" s="3">
        <v>46266</v>
      </c>
      <c r="D26" s="4">
        <v>563732700</v>
      </c>
      <c r="E26" s="5" t="s">
        <v>117</v>
      </c>
      <c r="F26" s="6">
        <v>46143</v>
      </c>
      <c r="G26" s="5" t="s">
        <v>118</v>
      </c>
      <c r="H26" s="5" t="s">
        <v>118</v>
      </c>
      <c r="I26" s="5" t="s">
        <v>119</v>
      </c>
      <c r="J26" s="5" t="s">
        <v>120</v>
      </c>
      <c r="K26" s="3">
        <v>46276</v>
      </c>
      <c t="str" r="L26" s="12">
        <f ca="1">IF($O26="","",$O26-TODAY())</f>
        <v/>
      </c>
      <c t="str" r="M26" s="12">
        <f ca="1">IF(AND(TRIM($A26)="Finalized",$K26&lt;&gt;""),"",IF($C26="","",$C26+365-TODAY()))</f>
        <v/>
      </c>
      <c t="str" r="N26" s="12">
        <f ca="1">IF(AND(TRIM($A26)="Finalized",$K26&lt;&gt;""),"",IF($C26="","",$C26+120-TODAY()))</f>
        <v/>
      </c>
      <c t="str" r="O26" s="6">
        <f>IF(AND(TRIM($A26)="Finalized",$K26&lt;&gt;""),"",DATE(2027,5,1))</f>
        <v/>
      </c>
      <c r="P26" s="5" t="s">
        <v>50</v>
      </c>
      <c r="Q26" s="5" t="s">
        <v>121</v>
      </c>
      <c r="R26" s="5" t="s">
        <v>50</v>
      </c>
      <c r="S26" s="5" t="s">
        <v>49</v>
      </c>
      <c r="T26" s="5" t="s">
        <v>103</v>
      </c>
      <c r="U26" s="5" t="s">
        <v>49</v>
      </c>
      <c r="V26" s="5"/>
      <c r="W26" s="5"/>
      <c r="X26" s="5"/>
      <c r="Y26" s="5" t="s">
        <v>51</v>
      </c>
      <c r="Z26" s="7">
        <v>1426.25</v>
      </c>
      <c r="AA26" s="7">
        <v>0</v>
      </c>
      <c r="AB26" s="7">
        <v>0</v>
      </c>
      <c r="AC26" s="6"/>
      <c r="AD26" s="7">
        <v>1426.25</v>
      </c>
      <c r="AE26" s="4">
        <v>99</v>
      </c>
      <c r="AF26" s="5" t="s">
        <v>84</v>
      </c>
      <c r="AG26" s="5"/>
      <c r="AH26" s="5"/>
      <c r="AI26" s="5"/>
      <c r="AJ26" s="4"/>
      <c r="AK26" s="5" t="s">
        <v>122</v>
      </c>
      <c r="AL26" s="5" t="s">
        <v>86</v>
      </c>
      <c r="AM26" s="6">
        <v>46182</v>
      </c>
      <c r="AN26" s="5" t="s">
        <v>55</v>
      </c>
    </row>
    <row r="27" spans="1:40" x14ac:dyDescent="0.25">
      <c r="A27" s="2" t="s">
        <v>115</v>
      </c>
      <c r="B27" s="15" t="s">
        <v>526</v>
      </c>
      <c r="C27" s="3">
        <v>46196</v>
      </c>
      <c r="D27" s="4">
        <v>558645693</v>
      </c>
      <c r="E27" s="5" t="s">
        <v>132</v>
      </c>
      <c r="F27" s="6">
        <v>46149</v>
      </c>
      <c r="G27" s="5" t="s">
        <v>131</v>
      </c>
      <c r="H27" s="5" t="s">
        <v>118</v>
      </c>
      <c r="I27" s="5" t="s">
        <v>131</v>
      </c>
      <c r="J27" s="5" t="s">
        <v>120</v>
      </c>
      <c r="K27" s="3">
        <v>46252</v>
      </c>
      <c t="str" r="L27" s="12">
        <f ca="1">IF($O27="","",$O27-TODAY())</f>
        <v/>
      </c>
      <c t="str" r="M27" s="12">
        <f ca="1">IF(AND(TRIM($A27)="Finalized",$K27&lt;&gt;""),"",IF($C27="","",$C27+365-TODAY()))</f>
        <v/>
      </c>
      <c t="str" r="N27" s="12">
        <f ca="1">IF(AND(TRIM($A27)="Finalized",$K27&lt;&gt;""),"",IF($C27="","",$C27+120-TODAY()))</f>
        <v/>
      </c>
      <c t="str" r="O27" s="6">
        <f>IF(AND(TRIM($A27)="Finalized",$K27&lt;&gt;""),"",DATE(2027,5,7))</f>
        <v/>
      </c>
      <c r="P27" s="5" t="s">
        <v>50</v>
      </c>
      <c r="Q27" s="5" t="s">
        <v>121</v>
      </c>
      <c r="R27" s="5" t="s">
        <v>50</v>
      </c>
      <c r="S27" s="5" t="s">
        <v>49</v>
      </c>
      <c r="T27" s="5" t="s">
        <v>103</v>
      </c>
      <c r="U27" s="5" t="s">
        <v>49</v>
      </c>
      <c r="V27" s="5"/>
      <c r="W27" s="5"/>
      <c r="X27" s="5"/>
      <c r="Y27" s="5" t="s">
        <v>51</v>
      </c>
      <c r="Z27" s="7">
        <v>1426.25</v>
      </c>
      <c r="AA27" s="7">
        <v>1212.77</v>
      </c>
      <c r="AB27" s="7">
        <v>170.09</v>
      </c>
      <c r="AC27" s="6">
        <v>46196</v>
      </c>
      <c r="AD27" s="7">
        <v>43.39</v>
      </c>
      <c r="AE27" s="4">
        <v>93</v>
      </c>
      <c r="AF27" s="5" t="s">
        <v>59</v>
      </c>
      <c r="AG27" s="5"/>
      <c r="AH27" s="5"/>
      <c r="AI27" s="5"/>
      <c r="AJ27" s="4">
        <v>564131691</v>
      </c>
      <c r="AK27" s="5" t="s">
        <v>53</v>
      </c>
      <c r="AL27" s="5" t="s">
        <v>54</v>
      </c>
      <c r="AM27" s="6">
        <v>46181</v>
      </c>
      <c r="AN27" s="5" t="s">
        <v>55</v>
      </c>
    </row>
    <row r="28" spans="1:40" x14ac:dyDescent="0.25">
      <c r="A28" s="2" t="s">
        <v>116</v>
      </c>
      <c r="B28" s="15" t="s">
        <v>525</v>
      </c>
      <c r="C28" s="3">
        <v>46190</v>
      </c>
      <c r="D28" s="4">
        <v>558588714</v>
      </c>
      <c r="E28" s="5" t="s">
        <v>133</v>
      </c>
      <c r="F28" s="6">
        <v>46150</v>
      </c>
      <c r="G28" s="5" t="s">
        <v>118</v>
      </c>
      <c r="H28" s="5" t="s">
        <v>118</v>
      </c>
      <c r="I28" s="5" t="s">
        <v>134</v>
      </c>
      <c r="J28" s="5" t="s">
        <v>91</v>
      </c>
      <c r="K28" s="3">
        <v>46252</v>
      </c>
      <c r="L28" s="12">
        <f ca="1">IF($O28="","",$O28-TODAY())</f>
        <v>212</v>
      </c>
      <c r="M28" s="12">
        <f ca="1">IF(AND(TRIM($A28)="Finalized",$K28&lt;&gt;""),"",IF($C28="","",$C28+365-TODAY()))</f>
        <v>252</v>
      </c>
      <c r="N28" s="12">
        <f ca="1">IF(AND(TRIM($A28)="Finalized",$K28&lt;&gt;""),"",IF($C28="","",$C28+120-TODAY()))</f>
        <v>7</v>
      </c>
      <c r="O28" s="6">
        <f>IF(AND(TRIM($A28)="Finalized",$K28&lt;&gt;""),"",DATE(2027,5,8))</f>
        <v>46515</v>
      </c>
      <c r="P28" s="5" t="s">
        <v>50</v>
      </c>
      <c r="Q28" s="5" t="s">
        <v>121</v>
      </c>
      <c r="R28" s="5" t="s">
        <v>50</v>
      </c>
      <c r="S28" s="5" t="s">
        <v>49</v>
      </c>
      <c r="T28" s="5" t="s">
        <v>103</v>
      </c>
      <c r="U28" s="5" t="s">
        <v>49</v>
      </c>
      <c r="V28" s="5"/>
      <c r="W28" s="5"/>
      <c r="X28" s="5"/>
      <c r="Y28" s="5" t="s">
        <v>51</v>
      </c>
      <c r="Z28" s="7">
        <v>1372.91</v>
      </c>
      <c r="AA28" s="7">
        <v>0</v>
      </c>
      <c r="AB28" s="7">
        <v>0</v>
      </c>
      <c r="AC28" s="6">
        <v>46190</v>
      </c>
      <c r="AD28" s="7">
        <v>1372.91</v>
      </c>
      <c r="AE28" s="4">
        <v>92</v>
      </c>
      <c r="AF28" s="5" t="s">
        <v>92</v>
      </c>
      <c r="AG28" s="5"/>
      <c r="AH28" s="5"/>
      <c r="AI28" s="5"/>
      <c r="AJ28" s="4"/>
      <c r="AK28" s="5" t="s">
        <v>97</v>
      </c>
      <c r="AL28" s="5" t="s">
        <v>86</v>
      </c>
      <c r="AM28" s="6">
        <v>46182</v>
      </c>
      <c r="AN28" s="5" t="s">
        <v>55</v>
      </c>
    </row>
    <row r="29" spans="1:40" x14ac:dyDescent="0.25">
      <c r="A29" s="2" t="s">
        <v>115</v>
      </c>
      <c r="B29" s="2" t="s">
        <v>135</v>
      </c>
      <c r="C29" s="3">
        <v>46196</v>
      </c>
      <c r="D29" s="4">
        <v>558777279</v>
      </c>
      <c r="E29" s="5" t="s">
        <v>136</v>
      </c>
      <c r="F29" s="6">
        <v>46150</v>
      </c>
      <c r="G29" s="5" t="s">
        <v>131</v>
      </c>
      <c r="H29" s="5" t="s">
        <v>118</v>
      </c>
      <c r="I29" s="5" t="s">
        <v>131</v>
      </c>
      <c r="J29" s="5" t="s">
        <v>91</v>
      </c>
      <c r="K29" s="3">
        <v>46252</v>
      </c>
      <c t="str" r="L29" s="12">
        <f ca="1">IF($O29="","",$O29-TODAY())</f>
        <v/>
      </c>
      <c t="str" r="M29" s="12">
        <f ca="1">IF(AND(TRIM($A29)="Finalized",$K29&lt;&gt;""),"",IF($C29="","",$C29+365-TODAY()))</f>
        <v/>
      </c>
      <c t="str" r="N29" s="12">
        <f ca="1">IF(AND(TRIM($A29)="Finalized",$K29&lt;&gt;""),"",IF($C29="","",$C29+120-TODAY()))</f>
        <v/>
      </c>
      <c t="str" r="O29" s="6">
        <f>IF(AND(TRIM($A29)="Finalized",$K29&lt;&gt;""),"",DATE(2027,5,8))</f>
        <v/>
      </c>
      <c r="P29" s="5" t="s">
        <v>50</v>
      </c>
      <c r="Q29" s="5" t="s">
        <v>121</v>
      </c>
      <c r="R29" s="5" t="s">
        <v>50</v>
      </c>
      <c r="S29" s="5" t="s">
        <v>49</v>
      </c>
      <c r="T29" s="5" t="s">
        <v>103</v>
      </c>
      <c r="U29" s="5" t="s">
        <v>49</v>
      </c>
      <c r="V29" s="5"/>
      <c r="W29" s="5"/>
      <c r="X29" s="5"/>
      <c r="Y29" s="5" t="s">
        <v>51</v>
      </c>
      <c r="Z29" s="7">
        <v>1372.91</v>
      </c>
      <c r="AA29" s="7">
        <v>1173.9000000000001</v>
      </c>
      <c r="AB29" s="7">
        <v>158.56</v>
      </c>
      <c r="AC29" s="6">
        <v>46196</v>
      </c>
      <c r="AD29" s="7">
        <v>40.450000000000003</v>
      </c>
      <c r="AE29" s="4">
        <v>92</v>
      </c>
      <c r="AF29" s="5" t="s">
        <v>59</v>
      </c>
      <c r="AG29" s="5"/>
      <c r="AH29" s="5"/>
      <c r="AI29" s="5"/>
      <c r="AJ29" s="4">
        <v>564131697</v>
      </c>
      <c r="AK29" s="5" t="s">
        <v>67</v>
      </c>
      <c r="AL29" s="5" t="s">
        <v>54</v>
      </c>
      <c r="AM29" s="6">
        <v>46182</v>
      </c>
      <c r="AN29" s="5" t="s">
        <v>55</v>
      </c>
    </row>
    <row r="30" spans="1:40" x14ac:dyDescent="0.25">
      <c r="A30" s="2" t="s">
        <v>115</v>
      </c>
      <c r="B30" s="2" t="s">
        <v>150</v>
      </c>
      <c r="C30" s="3">
        <v>46216</v>
      </c>
      <c r="D30" s="4">
        <v>559340053</v>
      </c>
      <c r="E30" s="5" t="s">
        <v>151</v>
      </c>
      <c r="F30" s="6">
        <v>46154</v>
      </c>
      <c r="G30" s="5" t="s">
        <v>131</v>
      </c>
      <c r="H30" s="5" t="s">
        <v>131</v>
      </c>
      <c r="I30" s="5" t="s">
        <v>44</v>
      </c>
      <c r="J30" s="5" t="s">
        <v>58</v>
      </c>
      <c r="K30" s="3">
        <v>46245</v>
      </c>
      <c t="str" r="L30" s="12">
        <f ca="1">IF($O30="","",$O30-TODAY())</f>
        <v/>
      </c>
      <c t="str" r="M30" s="12">
        <f ca="1">IF(AND(TRIM($A30)="Finalized",$K30&lt;&gt;""),"",IF($F30="","",$F30+90-TODAY()))</f>
        <v/>
      </c>
      <c t="str" r="N30" s="12">
        <f ca="1">IF(AND(TRIM($A30)="Finalized",$K30&lt;&gt;""),"",IF($C30="","",$C30+365-TODAY()))</f>
        <v/>
      </c>
      <c t="str" r="O30" s="6">
        <f>IF(AND(TRIM($A30)="Finalized",$K30&lt;&gt;""),"",DATE(2026,8,10))</f>
        <v/>
      </c>
      <c r="P30" s="5" t="s">
        <v>46</v>
      </c>
      <c r="Q30" s="5" t="s">
        <v>152</v>
      </c>
      <c r="R30" s="5" t="s">
        <v>46</v>
      </c>
      <c r="S30" s="5" t="s">
        <v>191</v>
      </c>
      <c r="T30" s="5" t="s">
        <v>50</v>
      </c>
      <c r="U30" s="5" t="s">
        <v>49</v>
      </c>
      <c r="V30" s="5"/>
      <c r="W30" s="5"/>
      <c r="X30" s="5"/>
      <c r="Y30" s="5" t="s">
        <v>51</v>
      </c>
      <c r="Z30" s="7">
        <v>1426.25</v>
      </c>
      <c r="AA30" s="7">
        <v>0</v>
      </c>
      <c r="AB30" s="7">
        <v>0</v>
      </c>
      <c r="AC30" s="6">
        <v>46216</v>
      </c>
      <c r="AD30" s="7">
        <v>1144.3</v>
      </c>
      <c r="AE30" s="4">
        <v>88</v>
      </c>
      <c r="AF30" s="5" t="s">
        <v>59</v>
      </c>
      <c r="AG30" s="5"/>
      <c r="AH30" s="5"/>
      <c r="AI30" s="5"/>
      <c r="AJ30" s="4"/>
      <c r="AK30" s="5" t="s">
        <v>67</v>
      </c>
      <c r="AL30" s="5" t="s">
        <v>68</v>
      </c>
      <c r="AM30" s="6">
        <v>46180</v>
      </c>
      <c r="AN30" s="5" t="s">
        <v>55</v>
      </c>
    </row>
    <row r="31" spans="1:40" x14ac:dyDescent="0.25">
      <c r="A31" s="2" t="s">
        <v>115</v>
      </c>
      <c r="B31" s="15" t="s">
        <v>524</v>
      </c>
      <c r="C31" s="3">
        <v>46253</v>
      </c>
      <c r="D31" s="4">
        <v>567670697</v>
      </c>
      <c r="E31" s="5" t="s">
        <v>165</v>
      </c>
      <c r="F31" s="6">
        <v>46170</v>
      </c>
      <c r="G31" s="5" t="s">
        <v>166</v>
      </c>
      <c r="H31" s="5" t="s">
        <v>166</v>
      </c>
      <c r="I31" s="5" t="s">
        <v>44</v>
      </c>
      <c r="J31" s="5" t="s">
        <v>120</v>
      </c>
      <c r="K31" s="3">
        <v>46262</v>
      </c>
      <c t="str" r="L31" s="4">
        <f ca="1">IF($O31="","",$O31-TODAY())</f>
        <v/>
      </c>
      <c r="M31" s="4"/>
      <c r="N31" s="4"/>
      <c r="O31" s="6"/>
      <c r="P31" s="5"/>
      <c r="Q31" s="5" t="s">
        <v>156</v>
      </c>
      <c r="R31" s="5"/>
      <c r="S31" s="5"/>
      <c r="T31" s="5"/>
      <c r="U31" s="5"/>
      <c r="V31" s="5"/>
      <c r="W31" s="5"/>
      <c r="X31" s="5"/>
      <c r="Y31" s="5" t="s">
        <v>51</v>
      </c>
      <c r="Z31" s="7">
        <v>1426.25</v>
      </c>
      <c r="AA31" s="7">
        <v>0</v>
      </c>
      <c r="AB31" s="7">
        <v>0</v>
      </c>
      <c r="AC31" s="6"/>
      <c r="AD31" s="7">
        <v>1426.25</v>
      </c>
      <c r="AE31" s="4">
        <v>72</v>
      </c>
      <c r="AF31" s="5" t="s">
        <v>59</v>
      </c>
      <c r="AG31" s="5"/>
      <c r="AH31" s="5"/>
      <c r="AI31" s="5"/>
      <c r="AJ31" s="4"/>
      <c r="AK31" s="5" t="s">
        <v>53</v>
      </c>
      <c r="AL31" s="5" t="s">
        <v>54</v>
      </c>
      <c r="AM31" s="6">
        <v>46180</v>
      </c>
      <c r="AN31" s="5" t="s">
        <v>55</v>
      </c>
    </row>
  </sheetData>
  <autoFilter ref="A1:AN31" xr:uid="{00000000-0009-0000-0000-000000000000}"/>
  <conditionalFormatting sqref="L2:O1000">
    <cfRule type="expression" dxfId="96" priority="1" stopIfTrue="1">
      <formula>AND(TRIM($A2)="Finalized",$K2&lt;&gt;"")</formula>
    </cfRule>
  </conditionalFormatting>
  <conditionalFormatting sqref="L2:L31 O2:U31">
    <cfRule type="expression" dxfId="94" priority="2">
      <formula>AND($L2&lt;&gt;"", $L2&gt;=0, $L2&lt;=5)</formula>
    </cfRule>
    <cfRule type="expression" dxfId="93" priority="3">
      <formula>AND($L2&lt;&gt;"", $L2&gt;5, $L2&lt;=30)</formula>
    </cfRule>
    <cfRule type="expression" dxfId="92" priority="4">
      <formula>AND($L2&lt;&gt;"", $L2&gt;30)</formula>
    </cfRule>
    <cfRule type="expression" dxfId="91" priority="5">
      <formula>AND($L2&lt;&gt;"", $L2&lt;0)</formula>
    </cfRule>
    <cfRule type="expression" dxfId="90" priority="6">
      <formula>$L2=""</formula>
    </cfRule>
  </conditionalFormatting>
  <conditionalFormatting sqref="M2:M31">
    <cfRule type="expression" dxfId="89" priority="7">
      <formula>AND($M2&lt;&gt;"", $M2&gt;=0, $M2&lt;=5)</formula>
    </cfRule>
    <cfRule type="expression" dxfId="88" priority="8">
      <formula>AND($M2&lt;&gt;"", $M2&gt;5, $M2&lt;=30)</formula>
    </cfRule>
    <cfRule type="expression" dxfId="87" priority="9">
      <formula>AND($M2&lt;&gt;"", $M2&gt;30)</formula>
    </cfRule>
    <cfRule type="expression" dxfId="86" priority="10">
      <formula>AND($M2&lt;&gt;"", $M2&lt;0)</formula>
    </cfRule>
    <cfRule type="expression" dxfId="85" priority="11">
      <formula>$M2=""</formula>
    </cfRule>
  </conditionalFormatting>
  <conditionalFormatting sqref="N2:N31">
    <cfRule type="expression" dxfId="84" priority="12">
      <formula>AND($N2&lt;&gt;"", $N2&gt;=0, $N2&lt;=5)</formula>
    </cfRule>
    <cfRule type="expression" dxfId="83" priority="13">
      <formula>AND($N2&lt;&gt;"", $N2&gt;5, $N2&lt;=30)</formula>
    </cfRule>
    <cfRule type="expression" dxfId="82" priority="14">
      <formula>AND($N2&lt;&gt;"", $N2&gt;30)</formula>
    </cfRule>
    <cfRule type="expression" dxfId="81" priority="15">
      <formula>AND($N2&lt;&gt;"", $N2&lt;0)</formula>
    </cfRule>
    <cfRule type="expression" dxfId="80" priority="16">
      <formula>$N2=""</formula>
    </cfRule>
  </conditionalFormatting>
  <conditionalFormatting sqref="A2:AN1000">
    <cfRule type="expression" dxfId="95" priority="17">
      <formula>TRIM($A2)="PAID"</formula>
    </cfRule>
    <cfRule type="expression" dxfId="96" priority="18">
      <formula>TRIM($A2)="Finalized"</formula>
    </cfRule>
    <cfRule type="expression" dxfId="97" priority="19">
      <formula>TRIM($A2)="Received"</formula>
    </cfRule>
    <cfRule type="expression" dxfId="98" priority="20">
      <formula>TRIM($A2)="Pending"</formula>
    </cfRule>
    <cfRule type="expression" dxfId="99" priority="21">
      <formula>TRIM($A2)="Under Review"</formula>
    </cfRule>
    <cfRule type="expression" dxfId="100" priority="22">
      <formula>AND(TRIM($A2)="Denied",$K2="")</formula>
    </cfRule>
    <cfRule type="expression" dxfId="103" priority="25">
      <formula>AND(TRIM($A2)="Denied",$K2&lt;&gt;"")</formula>
    </cfRule>
    <cfRule type="expression" dxfId="101" priority="23">
      <formula>TRIM($A2)="Rejected"</formula>
    </cfRule>
    <cfRule type="expression" dxfId="102" priority="24">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35"/>
  <sheetViews>
    <sheetView zoomScale="90" workbookViewId="0">
      <pane xSplit="2" ySplit="1" topLeftCell="C2" activePane="bottomRight" state="frozen"/>
      <selection pane="topRight"/>
      <selection pane="bottomLeft"/>
      <selection pane="bottomRight" activeCell="C8" sqref="C8"/>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9.5703125" customWidth="1"/>
    <col min="11" max="11" width="14" customWidth="1"/>
    <col min="12" max="12" width="12.42578125" customWidth="1"/>
    <col min="13" max="13" width="18.140625" customWidth="1"/>
    <col min="14" max="14" width="16.28515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530</v>
      </c>
      <c r="B2" s="2" t="s">
        <v>533</v>
      </c>
      <c r="C2" s="3">
        <v>46190</v>
      </c>
      <c r="D2" s="4">
        <v>561880706</v>
      </c>
      <c r="E2" s="5" t="s">
        <v>236</v>
      </c>
      <c r="F2" s="6">
        <v>46160</v>
      </c>
      <c r="G2" s="5" t="s">
        <v>237</v>
      </c>
      <c r="H2" s="5" t="s">
        <v>237</v>
      </c>
      <c r="I2" s="5" t="s">
        <v>44</v>
      </c>
      <c r="J2" s="5" t="s">
        <v>189</v>
      </c>
      <c r="K2" s="3"/>
      <c r="L2" s="12">
        <f ca="1">IF($O2="","",$O2-TODAY())</f>
        <v>37</v>
      </c>
      <c r="M2" s="12">
        <f ca="1">IF(AND(TRIM($A2)="Finalized",$K2&lt;&gt;""),"",IF($F2="","",$F2+180-TODAY()))</f>
        <v>37</v>
      </c>
      <c r="N2" s="12">
        <f ca="1">IF(AND(TRIM($A2)="Finalized",$K2&lt;&gt;""),"",IF($C2="","",$C2+180-TODAY()))</f>
        <v>67</v>
      </c>
      <c r="O2" s="6">
        <f>IF(AND(TRIM($A2)="Finalized",$K2&lt;&gt;""),"",DATE(2026,11,14))</f>
        <v>46340</v>
      </c>
      <c r="P2" s="5" t="s">
        <v>48</v>
      </c>
      <c r="Q2" s="5" t="s">
        <v>238</v>
      </c>
      <c r="R2" s="5" t="s">
        <v>48</v>
      </c>
      <c r="S2" s="5" t="s">
        <v>191</v>
      </c>
      <c r="T2" s="5" t="s">
        <v>48</v>
      </c>
      <c r="U2" s="5" t="s">
        <v>49</v>
      </c>
      <c r="V2" s="5" t="s">
        <v>183</v>
      </c>
      <c r="W2" s="5"/>
      <c r="X2" s="5"/>
      <c r="Y2" s="5" t="s">
        <v>192</v>
      </c>
      <c r="Z2" s="7">
        <v>72707.600000000006</v>
      </c>
      <c r="AA2" s="7">
        <v>0</v>
      </c>
      <c r="AB2" s="7">
        <v>0</v>
      </c>
      <c r="AC2" s="6">
        <v>46190</v>
      </c>
      <c r="AD2" s="7">
        <v>72707.600000000006</v>
      </c>
      <c r="AE2" s="4">
        <v>82</v>
      </c>
      <c r="AF2" s="5" t="s">
        <v>174</v>
      </c>
      <c r="AG2" s="5" t="s">
        <v>193</v>
      </c>
      <c r="AH2" s="5"/>
      <c r="AI2" s="5"/>
      <c r="AJ2" s="4"/>
      <c r="AK2" s="5" t="s">
        <v>194</v>
      </c>
      <c r="AL2" s="5" t="s">
        <v>86</v>
      </c>
      <c r="AM2" s="6">
        <v>46183</v>
      </c>
      <c r="AN2" s="5" t="s">
        <v>179</v>
      </c>
    </row>
    <row r="3" spans="1:40" x14ac:dyDescent="0.25">
      <c r="A3" s="2" t="s">
        <v>116</v>
      </c>
      <c r="B3" s="2" t="s">
        <v>252</v>
      </c>
      <c r="C3" s="3">
        <v>46249</v>
      </c>
      <c r="D3" s="4">
        <v>559009959</v>
      </c>
      <c r="E3" s="5" t="s">
        <v>253</v>
      </c>
      <c r="F3" s="6">
        <v>46147</v>
      </c>
      <c r="G3" s="5" t="s">
        <v>246</v>
      </c>
      <c r="H3" s="5" t="s">
        <v>246</v>
      </c>
      <c r="I3" s="5" t="s">
        <v>44</v>
      </c>
      <c r="J3" s="5" t="s">
        <v>198</v>
      </c>
      <c r="K3" s="3"/>
      <c r="L3" s="12">
        <f ca="1">IF($O3="","",$O3-TODAY())</f>
        <v>209</v>
      </c>
      <c r="M3" s="12">
        <f ca="1">IF(AND(TRIM($A3)="Finalized",$K3&lt;&gt;""),"",IF($C3="","",$C3+365-TODAY()))</f>
        <v>311</v>
      </c>
      <c r="N3" s="12">
        <f ca="1">IF(AND(TRIM($A3)="Finalized",$K3&lt;&gt;""),"",IF($C3="","",$C3+120-TODAY()))</f>
        <v>66</v>
      </c>
      <c r="O3" s="6">
        <f>IF(AND(TRIM($A3)="Finalized",$K3&lt;&gt;""),"",DATE(2027,5,5))</f>
        <v>46512</v>
      </c>
      <c r="P3" s="5" t="s">
        <v>50</v>
      </c>
      <c r="Q3" s="5" t="s">
        <v>121</v>
      </c>
      <c r="R3" s="5" t="s">
        <v>50</v>
      </c>
      <c r="S3" s="5" t="s">
        <v>49</v>
      </c>
      <c r="T3" s="5" t="s">
        <v>103</v>
      </c>
      <c r="U3" s="5" t="s">
        <v>49</v>
      </c>
      <c r="V3" s="5" t="s">
        <v>172</v>
      </c>
      <c r="W3" s="5"/>
      <c r="X3" s="5"/>
      <c r="Y3" s="5" t="s">
        <v>199</v>
      </c>
      <c r="Z3" s="7">
        <v>2958.2</v>
      </c>
      <c r="AA3" s="7">
        <v>0</v>
      </c>
      <c r="AB3" s="7">
        <v>88.28</v>
      </c>
      <c r="AC3" s="6">
        <v>46197</v>
      </c>
      <c r="AD3" s="7">
        <v>2869.92</v>
      </c>
      <c r="AE3" s="4">
        <v>95</v>
      </c>
      <c r="AF3" s="5" t="s">
        <v>174</v>
      </c>
      <c r="AG3" s="5" t="s">
        <v>254</v>
      </c>
      <c r="AH3" s="5"/>
      <c r="AI3" s="5"/>
      <c r="AJ3" s="4"/>
      <c r="AK3" s="5" t="s">
        <v>255</v>
      </c>
      <c r="AL3" s="5" t="s">
        <v>256</v>
      </c>
      <c r="AM3" s="6">
        <v>46155</v>
      </c>
      <c r="AN3" s="5" t="s">
        <v>179</v>
      </c>
    </row>
    <row r="4" spans="1:40" x14ac:dyDescent="0.25">
      <c r="A4" s="2" t="s">
        <v>116</v>
      </c>
      <c r="B4" s="2" t="s">
        <v>257</v>
      </c>
      <c r="C4" s="3">
        <v>46202</v>
      </c>
      <c r="D4" s="4">
        <v>559008757</v>
      </c>
      <c r="E4" s="5" t="s">
        <v>258</v>
      </c>
      <c r="F4" s="6">
        <v>46150</v>
      </c>
      <c r="G4" s="5" t="s">
        <v>259</v>
      </c>
      <c r="H4" s="5" t="s">
        <v>246</v>
      </c>
      <c r="I4" s="5" t="s">
        <v>259</v>
      </c>
      <c r="J4" s="5" t="s">
        <v>260</v>
      </c>
      <c r="K4" s="3"/>
      <c r="L4" s="12">
        <f ca="1">IF($O4="","",$O4-TODAY())</f>
        <v>212</v>
      </c>
      <c r="M4" s="12">
        <f ca="1">IF(AND(TRIM($A4)="Finalized",$K4&lt;&gt;""),"",IF($C4="","",$C4+365-TODAY()))</f>
        <v>264</v>
      </c>
      <c r="N4" s="12">
        <f ca="1">IF(AND(TRIM($A4)="Finalized",$K4&lt;&gt;""),"",IF($C4="","",$C4+120-TODAY()))</f>
        <v>19</v>
      </c>
      <c r="O4" s="6">
        <f>IF(AND(TRIM($A4)="Finalized",$K4&lt;&gt;""),"",DATE(2027,5,8))</f>
        <v>46515</v>
      </c>
      <c r="P4" s="5" t="s">
        <v>50</v>
      </c>
      <c r="Q4" s="5" t="s">
        <v>121</v>
      </c>
      <c r="R4" s="5" t="s">
        <v>50</v>
      </c>
      <c r="S4" s="5" t="s">
        <v>49</v>
      </c>
      <c r="T4" s="5" t="s">
        <v>103</v>
      </c>
      <c r="U4" s="5" t="s">
        <v>49</v>
      </c>
      <c r="V4" s="5" t="s">
        <v>248</v>
      </c>
      <c r="W4" s="5"/>
      <c r="X4" s="5"/>
      <c r="Y4" s="5" t="s">
        <v>51</v>
      </c>
      <c r="Z4" s="7">
        <v>6392.96</v>
      </c>
      <c r="AA4" s="7">
        <v>5624.17</v>
      </c>
      <c r="AB4" s="7">
        <v>612.53</v>
      </c>
      <c r="AC4" s="6">
        <v>46202</v>
      </c>
      <c r="AD4" s="7">
        <v>156.26</v>
      </c>
      <c r="AE4" s="4">
        <v>92</v>
      </c>
      <c r="AF4" s="5" t="s">
        <v>261</v>
      </c>
      <c r="AG4" s="5" t="s">
        <v>262</v>
      </c>
      <c r="AH4" s="5"/>
      <c r="AI4" s="5"/>
      <c r="AJ4" s="4">
        <v>564922724</v>
      </c>
      <c r="AK4" s="5" t="s">
        <v>263</v>
      </c>
      <c r="AL4" s="5" t="s">
        <v>264</v>
      </c>
      <c r="AM4" s="6">
        <v>46155</v>
      </c>
      <c r="AN4" s="5" t="s">
        <v>179</v>
      </c>
    </row>
    <row r="5" spans="1:40" x14ac:dyDescent="0.25">
      <c r="A5" s="2" t="s">
        <v>116</v>
      </c>
      <c r="B5" s="2" t="s">
        <v>292</v>
      </c>
      <c r="C5" s="3">
        <v>46209</v>
      </c>
      <c r="D5" s="4">
        <v>561853521</v>
      </c>
      <c r="E5" s="5" t="s">
        <v>293</v>
      </c>
      <c r="F5" s="6">
        <v>46168</v>
      </c>
      <c r="G5" s="5" t="s">
        <v>246</v>
      </c>
      <c r="H5" s="5" t="s">
        <v>246</v>
      </c>
      <c r="I5" s="5" t="s">
        <v>294</v>
      </c>
      <c r="J5" s="5" t="s">
        <v>295</v>
      </c>
      <c r="K5" s="3"/>
      <c r="L5" s="12">
        <f ca="1">IF($O5="","",$O5-TODAY())</f>
        <v>230</v>
      </c>
      <c r="M5" s="12">
        <f ca="1">IF(AND(TRIM($A5)="Finalized",$K5&lt;&gt;""),"",IF($C5="","",$C5+365-TODAY()))</f>
        <v>271</v>
      </c>
      <c r="N5" s="12">
        <f ca="1">IF(AND(TRIM($A5)="Finalized",$K5&lt;&gt;""),"",IF($C5="","",$C5+120-TODAY()))</f>
        <v>26</v>
      </c>
      <c r="O5" s="6">
        <f>IF(AND(TRIM($A5)="Finalized",$K5&lt;&gt;""),"",DATE(2027,5,26))</f>
        <v>46533</v>
      </c>
      <c r="P5" s="5" t="s">
        <v>50</v>
      </c>
      <c r="Q5" s="5" t="s">
        <v>121</v>
      </c>
      <c r="R5" s="5" t="s">
        <v>50</v>
      </c>
      <c r="S5" s="5" t="s">
        <v>49</v>
      </c>
      <c r="T5" s="5" t="s">
        <v>103</v>
      </c>
      <c r="U5" s="5" t="s">
        <v>49</v>
      </c>
      <c r="V5" s="5" t="s">
        <v>172</v>
      </c>
      <c r="W5" s="5"/>
      <c r="X5" s="5"/>
      <c r="Y5" s="5" t="s">
        <v>199</v>
      </c>
      <c r="Z5" s="7">
        <v>18176.900000000001</v>
      </c>
      <c r="AA5" s="7">
        <v>0</v>
      </c>
      <c r="AB5" s="7">
        <v>542.44000000000005</v>
      </c>
      <c r="AC5" s="6">
        <v>46209</v>
      </c>
      <c r="AD5" s="7">
        <v>17634.46</v>
      </c>
      <c r="AE5" s="4">
        <v>74</v>
      </c>
      <c r="AF5" s="5" t="s">
        <v>174</v>
      </c>
      <c r="AG5" s="5" t="s">
        <v>296</v>
      </c>
      <c r="AH5" s="5"/>
      <c r="AI5" s="5"/>
      <c r="AJ5" s="4"/>
      <c r="AK5" s="5" t="s">
        <v>255</v>
      </c>
      <c r="AL5" s="5" t="s">
        <v>256</v>
      </c>
      <c r="AM5" s="6">
        <v>46183</v>
      </c>
      <c r="AN5" s="5" t="s">
        <v>179</v>
      </c>
    </row>
    <row r="6" spans="1:40" x14ac:dyDescent="0.25">
      <c r="A6" s="2" t="s">
        <v>116</v>
      </c>
      <c r="B6" s="2" t="s">
        <v>292</v>
      </c>
      <c r="C6" s="3">
        <v>46249</v>
      </c>
      <c r="D6" s="4">
        <v>561856360</v>
      </c>
      <c r="E6" s="5" t="s">
        <v>297</v>
      </c>
      <c r="F6" s="6">
        <v>46168</v>
      </c>
      <c r="G6" s="5" t="s">
        <v>246</v>
      </c>
      <c r="H6" s="5" t="s">
        <v>246</v>
      </c>
      <c r="I6" s="5" t="s">
        <v>272</v>
      </c>
      <c r="J6" s="5" t="s">
        <v>198</v>
      </c>
      <c r="K6" s="3"/>
      <c r="L6" s="12">
        <f ca="1">IF($O6="","",$O6-TODAY())</f>
        <v>230</v>
      </c>
      <c r="M6" s="12">
        <f ca="1">IF(AND(TRIM($A6)="Finalized",$K6&lt;&gt;""),"",IF($C6="","",$C6+365-TODAY()))</f>
        <v>311</v>
      </c>
      <c r="N6" s="12">
        <f ca="1">IF(AND(TRIM($A6)="Finalized",$K6&lt;&gt;""),"",IF($C6="","",$C6+120-TODAY()))</f>
        <v>66</v>
      </c>
      <c r="O6" s="6">
        <f>IF(AND(TRIM($A6)="Finalized",$K6&lt;&gt;""),"",DATE(2027,5,26))</f>
        <v>46533</v>
      </c>
      <c r="P6" s="5" t="s">
        <v>50</v>
      </c>
      <c r="Q6" s="5" t="s">
        <v>121</v>
      </c>
      <c r="R6" s="5" t="s">
        <v>50</v>
      </c>
      <c r="S6" s="5" t="s">
        <v>49</v>
      </c>
      <c r="T6" s="5" t="s">
        <v>103</v>
      </c>
      <c r="U6" s="5" t="s">
        <v>49</v>
      </c>
      <c r="V6" s="5" t="s">
        <v>172</v>
      </c>
      <c r="W6" s="5"/>
      <c r="X6" s="5"/>
      <c r="Y6" s="5" t="s">
        <v>199</v>
      </c>
      <c r="Z6" s="7">
        <v>2958.2</v>
      </c>
      <c r="AA6" s="7">
        <v>0</v>
      </c>
      <c r="AB6" s="7">
        <v>0</v>
      </c>
      <c r="AC6" s="6"/>
      <c r="AD6" s="7">
        <v>2958.2</v>
      </c>
      <c r="AE6" s="4">
        <v>74</v>
      </c>
      <c r="AF6" s="5" t="s">
        <v>174</v>
      </c>
      <c r="AG6" s="5" t="s">
        <v>288</v>
      </c>
      <c r="AH6" s="5"/>
      <c r="AI6" s="5"/>
      <c r="AJ6" s="4"/>
      <c r="AK6" s="5" t="s">
        <v>255</v>
      </c>
      <c r="AL6" s="5" t="s">
        <v>256</v>
      </c>
      <c r="AM6" s="6">
        <v>46183</v>
      </c>
      <c r="AN6" s="5" t="s">
        <v>179</v>
      </c>
    </row>
    <row r="7" spans="1:40" x14ac:dyDescent="0.25">
      <c r="A7" s="2" t="s">
        <v>530</v>
      </c>
      <c r="B7" s="2" t="s">
        <v>534</v>
      </c>
      <c r="C7" s="3"/>
      <c r="D7" s="4">
        <v>559374682</v>
      </c>
      <c r="E7" s="5" t="s">
        <v>313</v>
      </c>
      <c r="F7" s="6">
        <v>46143</v>
      </c>
      <c r="G7" s="5" t="s">
        <v>95</v>
      </c>
      <c r="H7" s="5" t="s">
        <v>95</v>
      </c>
      <c r="I7" s="5" t="s">
        <v>44</v>
      </c>
      <c r="J7" s="5" t="s">
        <v>223</v>
      </c>
      <c r="K7" s="3"/>
      <c r="L7" s="12">
        <f ca="1">IF($O7="","",$O7-TODAY())</f>
        <v>-70</v>
      </c>
      <c r="M7" s="12" t="str">
        <f ca="1">IF(AND(TRIM($A7)="Finalized",$K7&lt;&gt;""),"",IF($C7="","",$C7+365-TODAY()))</f>
        <v/>
      </c>
      <c r="N7" s="12" t="str">
        <f ca="1">IF(AND(TRIM($A7)="Finalized",$K7&lt;&gt;""),"",IF($C7="","",$C7+365-TODAY()))</f>
        <v/>
      </c>
      <c r="O7" s="6">
        <f>IF(AND(TRIM($A7)="Finalized",$K7&lt;&gt;""),"",DATE(2026,7,30))</f>
        <v>46233</v>
      </c>
      <c r="P7" s="5" t="s">
        <v>46</v>
      </c>
      <c r="Q7" s="5" t="s">
        <v>96</v>
      </c>
      <c r="R7" s="5" t="s">
        <v>50</v>
      </c>
      <c r="S7" s="5" t="s">
        <v>49</v>
      </c>
      <c r="T7" s="5" t="s">
        <v>50</v>
      </c>
      <c r="U7" s="5" t="s">
        <v>49</v>
      </c>
      <c r="V7" s="5" t="s">
        <v>183</v>
      </c>
      <c r="W7" s="5"/>
      <c r="X7" s="5"/>
      <c r="Y7" s="5" t="s">
        <v>173</v>
      </c>
      <c r="Z7" s="7">
        <v>36353.800000000003</v>
      </c>
      <c r="AA7" s="7">
        <v>0</v>
      </c>
      <c r="AB7" s="7">
        <v>0</v>
      </c>
      <c r="AC7" s="6"/>
      <c r="AD7" s="7">
        <v>36353.800000000003</v>
      </c>
      <c r="AE7" s="4">
        <v>99</v>
      </c>
      <c r="AF7" s="5" t="s">
        <v>174</v>
      </c>
      <c r="AG7" s="5" t="s">
        <v>225</v>
      </c>
      <c r="AH7" s="5"/>
      <c r="AI7" s="5"/>
      <c r="AJ7" s="4"/>
      <c r="AK7" s="5" t="s">
        <v>178</v>
      </c>
      <c r="AL7" s="5" t="s">
        <v>68</v>
      </c>
      <c r="AM7" s="6">
        <v>46217</v>
      </c>
      <c r="AN7" s="5" t="s">
        <v>179</v>
      </c>
    </row>
    <row r="8" spans="1:40" x14ac:dyDescent="0.25">
      <c r="A8" s="2" t="s">
        <v>530</v>
      </c>
      <c r="B8" s="2" t="s">
        <v>550</v>
      </c>
      <c r="C8" s="3"/>
      <c r="D8" s="4">
        <v>559604554</v>
      </c>
      <c r="E8" s="5" t="s">
        <v>169</v>
      </c>
      <c r="F8" s="6">
        <v>46157</v>
      </c>
      <c r="G8" s="5" t="s">
        <v>95</v>
      </c>
      <c r="H8" s="5" t="s">
        <v>95</v>
      </c>
      <c r="I8" s="5" t="s">
        <v>170</v>
      </c>
      <c r="J8" s="5" t="s">
        <v>171</v>
      </c>
      <c r="K8" s="3">
        <v>46244</v>
      </c>
      <c r="L8" s="12">
        <f ca="1">IF($O8="","",$O8-TODAY())</f>
        <v>-56</v>
      </c>
      <c r="M8" s="12" t="str">
        <f ca="1">IF(AND(TRIM($A8)="Finalized",$K8&lt;&gt;""),"",IF($C8="","",$C8+365-TODAY()))</f>
        <v/>
      </c>
      <c r="N8" s="12" t="str">
        <f ca="1">IF(AND(TRIM($A8)="Finalized",$K8&lt;&gt;""),"",IF($C8="","",$C8+365-TODAY()))</f>
        <v/>
      </c>
      <c r="O8" s="6">
        <f>IF(AND(TRIM($A8)="Finalized",$K8&lt;&gt;""),"",DATE(2026,8,13))</f>
        <v>46247</v>
      </c>
      <c r="P8" s="5" t="s">
        <v>46</v>
      </c>
      <c r="Q8" s="5" t="s">
        <v>96</v>
      </c>
      <c r="R8" s="5" t="s">
        <v>50</v>
      </c>
      <c r="S8" s="5" t="s">
        <v>49</v>
      </c>
      <c r="T8" s="5" t="s">
        <v>50</v>
      </c>
      <c r="U8" s="5" t="s">
        <v>49</v>
      </c>
      <c r="V8" s="5" t="s">
        <v>172</v>
      </c>
      <c r="W8" s="5"/>
      <c r="X8" s="5"/>
      <c r="Y8" s="5" t="s">
        <v>173</v>
      </c>
      <c r="Z8" s="7">
        <v>36353.800000000003</v>
      </c>
      <c r="AA8" s="7">
        <v>0</v>
      </c>
      <c r="AB8" s="7">
        <v>0</v>
      </c>
      <c r="AC8" s="6"/>
      <c r="AD8" s="7">
        <v>36353.800000000003</v>
      </c>
      <c r="AE8" s="4">
        <v>85</v>
      </c>
      <c r="AF8" s="5" t="s">
        <v>174</v>
      </c>
      <c r="AG8" s="5" t="s">
        <v>175</v>
      </c>
      <c r="AH8" s="5" t="s">
        <v>176</v>
      </c>
      <c r="AI8" s="5" t="s">
        <v>177</v>
      </c>
      <c r="AJ8" s="4"/>
      <c r="AK8" s="5" t="s">
        <v>178</v>
      </c>
      <c r="AL8" s="5" t="s">
        <v>68</v>
      </c>
      <c r="AM8" s="6">
        <v>46217</v>
      </c>
      <c r="AN8" s="5" t="s">
        <v>179</v>
      </c>
    </row>
    <row r="9" spans="1:40" x14ac:dyDescent="0.25">
      <c r="A9" s="2" t="s">
        <v>87</v>
      </c>
      <c r="B9" s="2" t="s">
        <v>180</v>
      </c>
      <c r="C9" s="3">
        <v>46196</v>
      </c>
      <c r="D9" s="4">
        <v>559742691</v>
      </c>
      <c r="E9" s="5" t="s">
        <v>181</v>
      </c>
      <c r="F9" s="6">
        <v>46160</v>
      </c>
      <c r="G9" s="5" t="s">
        <v>95</v>
      </c>
      <c r="H9" s="5" t="s">
        <v>95</v>
      </c>
      <c r="I9" s="5" t="s">
        <v>44</v>
      </c>
      <c r="J9" s="5" t="s">
        <v>182</v>
      </c>
      <c r="K9" s="3">
        <v>46245</v>
      </c>
      <c r="L9" s="12">
        <f ca="1">IF($O9="","",$O9-TODAY())</f>
        <v>-53</v>
      </c>
      <c r="M9" s="12">
        <f ca="1">IF(AND(TRIM($A9)="Finalized",$K9&lt;&gt;""),"",IF($C9="","",$C9+365-TODAY()))</f>
        <v>258</v>
      </c>
      <c r="N9" s="12">
        <f ca="1">IF(AND(TRIM($A9)="Finalized",$K9&lt;&gt;""),"",IF($C9="","",$C9+365-TODAY()))</f>
        <v>258</v>
      </c>
      <c r="O9" s="6">
        <f>IF(AND(TRIM($A9)="Finalized",$K9&lt;&gt;""),"",DATE(2026,8,16))</f>
        <v>46250</v>
      </c>
      <c r="P9" s="5" t="s">
        <v>46</v>
      </c>
      <c r="Q9" s="5" t="s">
        <v>96</v>
      </c>
      <c r="R9" s="5" t="s">
        <v>50</v>
      </c>
      <c r="S9" s="5" t="s">
        <v>49</v>
      </c>
      <c r="T9" s="5" t="s">
        <v>50</v>
      </c>
      <c r="U9" s="5" t="s">
        <v>49</v>
      </c>
      <c r="V9" s="5" t="s">
        <v>183</v>
      </c>
      <c r="W9" s="5"/>
      <c r="X9" s="5"/>
      <c r="Y9" s="5" t="s">
        <v>173</v>
      </c>
      <c r="Z9" s="7">
        <v>5916.4</v>
      </c>
      <c r="AA9" s="7">
        <v>0</v>
      </c>
      <c r="AB9" s="7">
        <v>0</v>
      </c>
      <c r="AC9" s="6">
        <v>46196</v>
      </c>
      <c r="AD9" s="7">
        <v>5916.4</v>
      </c>
      <c r="AE9" s="4">
        <v>82</v>
      </c>
      <c r="AF9" s="5" t="s">
        <v>174</v>
      </c>
      <c r="AG9" s="5"/>
      <c r="AH9" s="5"/>
      <c r="AI9" s="5"/>
      <c r="AJ9" s="4"/>
      <c r="AK9" s="5" t="s">
        <v>184</v>
      </c>
      <c r="AL9" s="5" t="s">
        <v>185</v>
      </c>
      <c r="AM9" s="6">
        <v>46162</v>
      </c>
      <c r="AN9" s="5" t="s">
        <v>179</v>
      </c>
    </row>
    <row r="10" spans="1:40" x14ac:dyDescent="0.25">
      <c r="A10" s="2" t="s">
        <v>87</v>
      </c>
      <c r="B10" s="2" t="s">
        <v>186</v>
      </c>
      <c r="C10" s="3">
        <v>46185</v>
      </c>
      <c r="D10" s="4">
        <v>561880042</v>
      </c>
      <c r="E10" s="5" t="s">
        <v>187</v>
      </c>
      <c r="F10" s="6">
        <v>46160</v>
      </c>
      <c r="G10" s="5" t="s">
        <v>188</v>
      </c>
      <c r="H10" s="5" t="s">
        <v>188</v>
      </c>
      <c r="I10" s="5" t="s">
        <v>44</v>
      </c>
      <c r="J10" s="5" t="s">
        <v>189</v>
      </c>
      <c r="K10" s="3">
        <v>46245</v>
      </c>
      <c r="L10" s="12">
        <f ca="1">IF($O10="","",$O10-TODAY())</f>
        <v>-53</v>
      </c>
      <c r="M10" s="12">
        <f ca="1">IF(AND(TRIM($A10)="Finalized",$K10&lt;&gt;""),"",IF($F10="","",$F10+90-TODAY()))</f>
        <v>-53</v>
      </c>
      <c r="N10" s="12">
        <f ca="1">IF(AND(TRIM($A10)="Finalized",$K10&lt;&gt;""),"",IF($C10="","",$C10+540-TODAY()))</f>
        <v>422</v>
      </c>
      <c r="O10" s="6">
        <f>IF(AND(TRIM($A10)="Finalized",$K10&lt;&gt;""),"",DATE(2026,8,16))</f>
        <v>46250</v>
      </c>
      <c r="P10" s="5" t="s">
        <v>46</v>
      </c>
      <c r="Q10" s="5" t="s">
        <v>190</v>
      </c>
      <c r="R10" s="5" t="s">
        <v>46</v>
      </c>
      <c r="S10" s="5" t="s">
        <v>191</v>
      </c>
      <c r="T10" s="5" t="s">
        <v>539</v>
      </c>
      <c r="U10" s="5" t="s">
        <v>49</v>
      </c>
      <c r="V10" s="5" t="s">
        <v>183</v>
      </c>
      <c r="W10" s="5"/>
      <c r="X10" s="5"/>
      <c r="Y10" s="5" t="s">
        <v>192</v>
      </c>
      <c r="Z10" s="7">
        <v>72707.600000000006</v>
      </c>
      <c r="AA10" s="7">
        <v>0</v>
      </c>
      <c r="AB10" s="7">
        <v>0</v>
      </c>
      <c r="AC10" s="6">
        <v>46185</v>
      </c>
      <c r="AD10" s="7">
        <v>72707.600000000006</v>
      </c>
      <c r="AE10" s="4">
        <v>82</v>
      </c>
      <c r="AF10" s="5" t="s">
        <v>174</v>
      </c>
      <c r="AG10" s="5" t="s">
        <v>193</v>
      </c>
      <c r="AH10" s="5"/>
      <c r="AI10" s="5"/>
      <c r="AJ10" s="4"/>
      <c r="AK10" s="5" t="s">
        <v>194</v>
      </c>
      <c r="AL10" s="5" t="s">
        <v>86</v>
      </c>
      <c r="AM10" s="6">
        <v>46183</v>
      </c>
      <c r="AN10" s="5" t="s">
        <v>179</v>
      </c>
    </row>
    <row r="11" spans="1:40" x14ac:dyDescent="0.25">
      <c r="A11" s="2" t="s">
        <v>219</v>
      </c>
      <c r="B11" s="2" t="s">
        <v>220</v>
      </c>
      <c r="C11" s="3">
        <v>46184</v>
      </c>
      <c r="D11" s="4">
        <v>559750877</v>
      </c>
      <c r="E11" s="5" t="s">
        <v>221</v>
      </c>
      <c r="F11" s="6">
        <v>46161</v>
      </c>
      <c r="G11" s="5" t="s">
        <v>222</v>
      </c>
      <c r="H11" s="5" t="s">
        <v>222</v>
      </c>
      <c r="I11" s="5" t="s">
        <v>44</v>
      </c>
      <c r="J11" s="5" t="s">
        <v>223</v>
      </c>
      <c r="K11" s="3">
        <v>46252</v>
      </c>
      <c r="L11" s="12">
        <f ca="1">IF($O11="","",$O11-TODAY())</f>
        <v>-22</v>
      </c>
      <c r="M11" s="12">
        <f ca="1">IF(AND(TRIM($A11)="Finalized",$K11&lt;&gt;""),"",IF($C11="","",$C11+365-TODAY()))</f>
        <v>246</v>
      </c>
      <c r="N11" s="12">
        <f ca="1">IF(AND(TRIM($A11)="Finalized",$K11&lt;&gt;""),"",IF($C11="","",$C11+90-TODAY()))</f>
        <v>-29</v>
      </c>
      <c r="O11" s="6">
        <f>IF(AND(TRIM($A11)="Finalized",$K11&lt;&gt;""),"",DATE(2026,9,16))</f>
        <v>46281</v>
      </c>
      <c r="P11" s="5" t="s">
        <v>103</v>
      </c>
      <c r="Q11" s="5" t="s">
        <v>224</v>
      </c>
      <c r="R11" s="5" t="s">
        <v>50</v>
      </c>
      <c r="S11" s="5" t="s">
        <v>49</v>
      </c>
      <c r="T11" s="5" t="s">
        <v>46</v>
      </c>
      <c r="U11" s="5" t="s">
        <v>49</v>
      </c>
      <c r="V11" s="5" t="s">
        <v>183</v>
      </c>
      <c r="W11" s="5"/>
      <c r="X11" s="5"/>
      <c r="Y11" s="5" t="s">
        <v>173</v>
      </c>
      <c r="Z11" s="7">
        <v>36353.800000000003</v>
      </c>
      <c r="AA11" s="7">
        <v>0</v>
      </c>
      <c r="AB11" s="7">
        <v>0</v>
      </c>
      <c r="AC11" s="6">
        <v>46184</v>
      </c>
      <c r="AD11" s="7">
        <v>36353.800000000003</v>
      </c>
      <c r="AE11" s="4">
        <v>81</v>
      </c>
      <c r="AF11" s="5" t="s">
        <v>174</v>
      </c>
      <c r="AG11" s="5" t="s">
        <v>225</v>
      </c>
      <c r="AH11" s="5"/>
      <c r="AI11" s="5"/>
      <c r="AJ11" s="4"/>
      <c r="AK11" s="5" t="s">
        <v>202</v>
      </c>
      <c r="AL11" s="5" t="s">
        <v>226</v>
      </c>
      <c r="AM11" s="6">
        <v>46162</v>
      </c>
      <c r="AN11" s="5" t="s">
        <v>179</v>
      </c>
    </row>
    <row r="12" spans="1:40" x14ac:dyDescent="0.25">
      <c r="A12" s="2" t="s">
        <v>87</v>
      </c>
      <c r="B12" s="2" t="s">
        <v>227</v>
      </c>
      <c r="C12" s="3">
        <v>46190</v>
      </c>
      <c r="D12" s="4">
        <v>561859042</v>
      </c>
      <c r="E12" s="5" t="s">
        <v>228</v>
      </c>
      <c r="F12" s="6">
        <v>46168</v>
      </c>
      <c r="G12" s="5" t="s">
        <v>63</v>
      </c>
      <c r="H12" s="5" t="s">
        <v>63</v>
      </c>
      <c r="I12" s="5" t="s">
        <v>44</v>
      </c>
      <c r="J12" s="5" t="s">
        <v>223</v>
      </c>
      <c r="K12" s="3">
        <v>46253</v>
      </c>
      <c r="L12" s="12">
        <f ca="1">IF($O12="","",$O12-TODAY())</f>
        <v>-15</v>
      </c>
      <c r="M12" s="12">
        <f ca="1">IF(AND(TRIM($A12)="Finalized",$K12&lt;&gt;""),"",IF($F12="","",$F12+365-TODAY()))</f>
        <v>230</v>
      </c>
      <c r="N12" s="12">
        <f ca="1">IF(AND(TRIM($A12)="Finalized",$K12&lt;&gt;""),"",IF($F12="","",$F12+365-TODAY()))</f>
        <v>230</v>
      </c>
      <c r="O12" s="6">
        <f>IF(AND(TRIM($A12)="Finalized",$K12&lt;&gt;""),"",DATE(2026,9,23))</f>
        <v>46288</v>
      </c>
      <c r="P12" s="5" t="s">
        <v>103</v>
      </c>
      <c r="Q12" s="5" t="s">
        <v>229</v>
      </c>
      <c r="R12" s="5" t="s">
        <v>50</v>
      </c>
      <c r="S12" s="5" t="s">
        <v>191</v>
      </c>
      <c r="T12" s="5" t="s">
        <v>50</v>
      </c>
      <c r="U12" s="5" t="s">
        <v>191</v>
      </c>
      <c r="V12" s="5" t="s">
        <v>183</v>
      </c>
      <c r="W12" s="5"/>
      <c r="X12" s="5"/>
      <c r="Y12" s="5" t="s">
        <v>173</v>
      </c>
      <c r="Z12" s="7">
        <v>36353.800000000003</v>
      </c>
      <c r="AA12" s="7">
        <v>0</v>
      </c>
      <c r="AB12" s="7">
        <v>0</v>
      </c>
      <c r="AC12" s="6">
        <v>46190</v>
      </c>
      <c r="AD12" s="7">
        <v>36353.800000000003</v>
      </c>
      <c r="AE12" s="4">
        <v>74</v>
      </c>
      <c r="AF12" s="5" t="s">
        <v>174</v>
      </c>
      <c r="AG12" s="5" t="s">
        <v>225</v>
      </c>
      <c r="AH12" s="5" t="s">
        <v>211</v>
      </c>
      <c r="AI12" s="5" t="s">
        <v>230</v>
      </c>
      <c r="AJ12" s="4"/>
      <c r="AK12" s="5" t="s">
        <v>231</v>
      </c>
      <c r="AL12" s="5" t="s">
        <v>68</v>
      </c>
      <c r="AM12" s="6">
        <v>46183</v>
      </c>
      <c r="AN12" s="5" t="s">
        <v>179</v>
      </c>
    </row>
    <row r="13" spans="1:40" x14ac:dyDescent="0.25">
      <c r="A13" s="2" t="s">
        <v>87</v>
      </c>
      <c r="B13" s="2" t="s">
        <v>232</v>
      </c>
      <c r="C13" s="3">
        <v>46169</v>
      </c>
      <c r="D13" s="4">
        <v>559740566</v>
      </c>
      <c r="E13" s="5" t="s">
        <v>233</v>
      </c>
      <c r="F13" s="6">
        <v>46146</v>
      </c>
      <c r="G13" s="5" t="s">
        <v>234</v>
      </c>
      <c r="H13" s="5" t="s">
        <v>234</v>
      </c>
      <c r="I13" s="5" t="s">
        <v>44</v>
      </c>
      <c r="J13" s="5" t="s">
        <v>223</v>
      </c>
      <c r="K13" s="3">
        <v>46254</v>
      </c>
      <c r="L13" s="12">
        <f ca="1">IF($O13="","",$O13-TODAY())</f>
        <v>23</v>
      </c>
      <c r="M13" s="12">
        <f ca="1">IF(AND(TRIM($A13)="Finalized",$K13&lt;&gt;""),"",IF($F13="","",$F13+365-TODAY()))</f>
        <v>208</v>
      </c>
      <c r="N13" s="12">
        <f ca="1">IF(AND(TRIM($A13)="Finalized",$K13&lt;&gt;""),"",IF($F13="","",$F13+365-TODAY()))</f>
        <v>208</v>
      </c>
      <c r="O13" s="6">
        <f>IF(AND(TRIM($A13)="Finalized",$K13&lt;&gt;""),"",DATE(2026,10,31))</f>
        <v>46326</v>
      </c>
      <c r="P13" s="5" t="s">
        <v>48</v>
      </c>
      <c r="Q13" s="5" t="s">
        <v>235</v>
      </c>
      <c r="R13" s="5" t="s">
        <v>50</v>
      </c>
      <c r="S13" s="5" t="s">
        <v>191</v>
      </c>
      <c r="T13" s="5" t="s">
        <v>50</v>
      </c>
      <c r="U13" s="5" t="s">
        <v>191</v>
      </c>
      <c r="V13" s="5" t="s">
        <v>183</v>
      </c>
      <c r="W13" s="5"/>
      <c r="X13" s="5"/>
      <c r="Y13" s="5" t="s">
        <v>173</v>
      </c>
      <c r="Z13" s="7">
        <v>36353.800000000003</v>
      </c>
      <c r="AA13" s="7">
        <v>0</v>
      </c>
      <c r="AB13" s="7">
        <v>0</v>
      </c>
      <c r="AC13" s="6">
        <v>46169</v>
      </c>
      <c r="AD13" s="7">
        <v>36353.800000000003</v>
      </c>
      <c r="AE13" s="4">
        <v>96</v>
      </c>
      <c r="AF13" s="5" t="s">
        <v>174</v>
      </c>
      <c r="AG13" s="5" t="s">
        <v>225</v>
      </c>
      <c r="AH13" s="5"/>
      <c r="AI13" s="5"/>
      <c r="AJ13" s="4"/>
      <c r="AK13" s="5" t="s">
        <v>184</v>
      </c>
      <c r="AL13" s="5" t="s">
        <v>185</v>
      </c>
      <c r="AM13" s="6">
        <v>46162</v>
      </c>
      <c r="AN13" s="5" t="s">
        <v>179</v>
      </c>
    </row>
    <row r="14" spans="1:40" x14ac:dyDescent="0.25">
      <c r="A14" s="2" t="s">
        <v>87</v>
      </c>
      <c r="B14" s="2" t="s">
        <v>239</v>
      </c>
      <c r="C14" s="3">
        <v>46195</v>
      </c>
      <c r="D14" s="4">
        <v>561866854</v>
      </c>
      <c r="E14" s="5" t="s">
        <v>240</v>
      </c>
      <c r="F14" s="6">
        <v>46170</v>
      </c>
      <c r="G14" s="5" t="s">
        <v>234</v>
      </c>
      <c r="H14" s="5" t="s">
        <v>234</v>
      </c>
      <c r="I14" s="5" t="s">
        <v>44</v>
      </c>
      <c r="J14" s="5" t="s">
        <v>241</v>
      </c>
      <c r="K14" s="3">
        <v>46254</v>
      </c>
      <c r="L14" s="12">
        <f ca="1">IF($O14="","",$O14-TODAY())</f>
        <v>47</v>
      </c>
      <c r="M14" s="12">
        <f ca="1">IF(AND(TRIM($A14)="Finalized",$K14&lt;&gt;""),"",IF($F14="","",$F14+365-TODAY()))</f>
        <v>232</v>
      </c>
      <c r="N14" s="12">
        <f ca="1">IF(AND(TRIM($A14)="Finalized",$K14&lt;&gt;""),"",IF($F14="","",$F14+365-TODAY()))</f>
        <v>232</v>
      </c>
      <c r="O14" s="6">
        <f>IF(AND(TRIM($A14)="Finalized",$K14&lt;&gt;""),"",DATE(2026,11,24))</f>
        <v>46350</v>
      </c>
      <c r="P14" s="5" t="s">
        <v>48</v>
      </c>
      <c r="Q14" s="5" t="s">
        <v>235</v>
      </c>
      <c r="R14" s="5" t="s">
        <v>50</v>
      </c>
      <c r="S14" s="5" t="s">
        <v>191</v>
      </c>
      <c r="T14" s="5" t="s">
        <v>50</v>
      </c>
      <c r="U14" s="5" t="s">
        <v>191</v>
      </c>
      <c r="V14" s="5" t="s">
        <v>242</v>
      </c>
      <c r="W14" s="5"/>
      <c r="X14" s="5"/>
      <c r="Y14" s="5" t="s">
        <v>51</v>
      </c>
      <c r="Z14" s="7">
        <v>6392.96</v>
      </c>
      <c r="AA14" s="7">
        <v>0</v>
      </c>
      <c r="AB14" s="7">
        <v>0</v>
      </c>
      <c r="AC14" s="6">
        <v>46195</v>
      </c>
      <c r="AD14" s="7">
        <v>6392.96</v>
      </c>
      <c r="AE14" s="4">
        <v>72</v>
      </c>
      <c r="AF14" s="5" t="s">
        <v>230</v>
      </c>
      <c r="AG14" s="5" t="s">
        <v>211</v>
      </c>
      <c r="AH14" s="5" t="s">
        <v>206</v>
      </c>
      <c r="AI14" s="5"/>
      <c r="AJ14" s="4"/>
      <c r="AK14" s="5" t="s">
        <v>85</v>
      </c>
      <c r="AL14" s="5" t="s">
        <v>243</v>
      </c>
      <c r="AM14" s="6">
        <v>46183</v>
      </c>
      <c r="AN14" s="5" t="s">
        <v>179</v>
      </c>
    </row>
    <row r="15" spans="1:40" x14ac:dyDescent="0.25">
      <c r="A15" s="2" t="s">
        <v>87</v>
      </c>
      <c r="B15" s="2" t="s">
        <v>244</v>
      </c>
      <c r="C15" s="3">
        <v>46156</v>
      </c>
      <c r="D15" s="4">
        <v>559006292</v>
      </c>
      <c r="E15" s="5" t="s">
        <v>245</v>
      </c>
      <c r="F15" s="6">
        <v>46147</v>
      </c>
      <c r="G15" s="5" t="s">
        <v>246</v>
      </c>
      <c r="H15" s="5" t="s">
        <v>246</v>
      </c>
      <c r="I15" s="5" t="s">
        <v>131</v>
      </c>
      <c r="J15" s="5" t="s">
        <v>247</v>
      </c>
      <c r="K15" s="3">
        <v>46254</v>
      </c>
      <c r="L15" s="12">
        <f ca="1">IF($O15="","",$O15-TODAY())</f>
        <v>209</v>
      </c>
      <c r="M15" s="12">
        <f ca="1">IF(AND(TRIM($A15)="Finalized",$K15&lt;&gt;""),"",IF($C15="","",$C15+365-TODAY()))</f>
        <v>218</v>
      </c>
      <c r="N15" s="12">
        <f ca="1">IF(AND(TRIM($A15)="Finalized",$K15&lt;&gt;""),"",IF($C15="","",$C15+120-TODAY()))</f>
        <v>-27</v>
      </c>
      <c r="O15" s="6">
        <f>IF(AND(TRIM($A15)="Finalized",$K15&lt;&gt;""),"",DATE(2027,5,5))</f>
        <v>46512</v>
      </c>
      <c r="P15" s="5" t="s">
        <v>50</v>
      </c>
      <c r="Q15" s="5" t="s">
        <v>121</v>
      </c>
      <c r="R15" s="5" t="s">
        <v>50</v>
      </c>
      <c r="S15" s="5" t="s">
        <v>49</v>
      </c>
      <c r="T15" s="5" t="s">
        <v>103</v>
      </c>
      <c r="U15" s="5" t="s">
        <v>49</v>
      </c>
      <c r="V15" s="5" t="s">
        <v>248</v>
      </c>
      <c r="W15" s="5"/>
      <c r="X15" s="5"/>
      <c r="Y15" s="5" t="s">
        <v>51</v>
      </c>
      <c r="Z15" s="7">
        <v>5320.49</v>
      </c>
      <c r="AA15" s="7">
        <v>0</v>
      </c>
      <c r="AB15" s="7">
        <v>0</v>
      </c>
      <c r="AC15" s="6">
        <v>46156</v>
      </c>
      <c r="AD15" s="7">
        <v>5320.49</v>
      </c>
      <c r="AE15" s="4">
        <v>95</v>
      </c>
      <c r="AF15" s="5" t="s">
        <v>249</v>
      </c>
      <c r="AG15" s="5"/>
      <c r="AH15" s="5"/>
      <c r="AI15" s="5"/>
      <c r="AJ15" s="4"/>
      <c r="AK15" s="5" t="s">
        <v>250</v>
      </c>
      <c r="AL15" s="5" t="s">
        <v>251</v>
      </c>
      <c r="AM15" s="6">
        <v>46155</v>
      </c>
      <c r="AN15" s="5" t="s">
        <v>179</v>
      </c>
    </row>
    <row r="16" spans="1:40" x14ac:dyDescent="0.25">
      <c r="A16" s="2" t="s">
        <v>87</v>
      </c>
      <c r="B16" s="2" t="s">
        <v>265</v>
      </c>
      <c r="C16" s="3">
        <v>46185</v>
      </c>
      <c r="D16" s="4">
        <v>561877866</v>
      </c>
      <c r="E16" s="5" t="s">
        <v>266</v>
      </c>
      <c r="F16" s="6">
        <v>46150</v>
      </c>
      <c r="G16" s="5" t="s">
        <v>246</v>
      </c>
      <c r="H16" s="5" t="s">
        <v>246</v>
      </c>
      <c r="I16" s="5" t="s">
        <v>131</v>
      </c>
      <c r="J16" s="5" t="s">
        <v>189</v>
      </c>
      <c r="K16" s="3">
        <v>46254</v>
      </c>
      <c r="L16" s="12">
        <f ca="1">IF($O16="","",$O16-TODAY())</f>
        <v>212</v>
      </c>
      <c r="M16" s="12">
        <f ca="1">IF(AND(TRIM($A16)="Finalized",$K16&lt;&gt;""),"",IF($C16="","",$C16+365-TODAY()))</f>
        <v>247</v>
      </c>
      <c r="N16" s="12">
        <f ca="1">IF(AND(TRIM($A16)="Finalized",$K16&lt;&gt;""),"",IF($C16="","",$C16+120-TODAY()))</f>
        <v>2</v>
      </c>
      <c r="O16" s="6">
        <f>IF(AND(TRIM($A16)="Finalized",$K16&lt;&gt;""),"",DATE(2027,5,8))</f>
        <v>46515</v>
      </c>
      <c r="P16" s="5" t="s">
        <v>50</v>
      </c>
      <c r="Q16" s="5" t="s">
        <v>121</v>
      </c>
      <c r="R16" s="5" t="s">
        <v>50</v>
      </c>
      <c r="S16" s="5" t="s">
        <v>49</v>
      </c>
      <c r="T16" s="5" t="s">
        <v>103</v>
      </c>
      <c r="U16" s="5" t="s">
        <v>49</v>
      </c>
      <c r="V16" s="5" t="s">
        <v>183</v>
      </c>
      <c r="W16" s="5"/>
      <c r="X16" s="5"/>
      <c r="Y16" s="5" t="s">
        <v>192</v>
      </c>
      <c r="Z16" s="7">
        <v>72707.600000000006</v>
      </c>
      <c r="AA16" s="7">
        <v>0</v>
      </c>
      <c r="AB16" s="7">
        <v>0</v>
      </c>
      <c r="AC16" s="6">
        <v>46185</v>
      </c>
      <c r="AD16" s="7">
        <v>72707.600000000006</v>
      </c>
      <c r="AE16" s="4">
        <v>92</v>
      </c>
      <c r="AF16" s="5" t="s">
        <v>174</v>
      </c>
      <c r="AG16" s="5" t="s">
        <v>225</v>
      </c>
      <c r="AH16" s="5" t="s">
        <v>267</v>
      </c>
      <c r="AI16" s="5"/>
      <c r="AJ16" s="4"/>
      <c r="AK16" s="5" t="s">
        <v>268</v>
      </c>
      <c r="AL16" s="5" t="s">
        <v>269</v>
      </c>
      <c r="AM16" s="6">
        <v>46183</v>
      </c>
      <c r="AN16" s="5" t="s">
        <v>179</v>
      </c>
    </row>
    <row r="17" spans="1:40" x14ac:dyDescent="0.25">
      <c r="A17" s="2" t="s">
        <v>40</v>
      </c>
      <c r="B17" s="2" t="s">
        <v>270</v>
      </c>
      <c r="C17" s="3">
        <v>46211</v>
      </c>
      <c r="D17" s="4">
        <v>559783560</v>
      </c>
      <c r="E17" s="5" t="s">
        <v>271</v>
      </c>
      <c r="F17" s="6">
        <v>46156</v>
      </c>
      <c r="G17" s="5" t="s">
        <v>272</v>
      </c>
      <c r="H17" s="5" t="s">
        <v>246</v>
      </c>
      <c r="I17" s="5" t="s">
        <v>272</v>
      </c>
      <c r="J17" s="5" t="s">
        <v>182</v>
      </c>
      <c r="K17" s="3">
        <v>46254</v>
      </c>
      <c r="L17" s="12">
        <f ca="1">IF($O17="","",$O17-TODAY())</f>
        <v>218</v>
      </c>
      <c r="M17" s="12">
        <f ca="1">IF(AND(TRIM($A17)="Finalized",$K17&lt;&gt;""),"",IF($C17="","",$C17+365-TODAY()))</f>
        <v>273</v>
      </c>
      <c r="N17" s="12">
        <f ca="1">IF(AND(TRIM($A17)="Finalized",$K17&lt;&gt;""),"",IF($C17="","",$C17+120-TODAY()))</f>
        <v>28</v>
      </c>
      <c r="O17" s="6">
        <f>IF(AND(TRIM($A17)="Finalized",$K17&lt;&gt;""),"",DATE(2027,5,14))</f>
        <v>46521</v>
      </c>
      <c r="P17" s="5" t="s">
        <v>50</v>
      </c>
      <c r="Q17" s="5" t="s">
        <v>121</v>
      </c>
      <c r="R17" s="5" t="s">
        <v>50</v>
      </c>
      <c r="S17" s="5" t="s">
        <v>49</v>
      </c>
      <c r="T17" s="5" t="s">
        <v>103</v>
      </c>
      <c r="U17" s="5" t="s">
        <v>49</v>
      </c>
      <c r="V17" s="5" t="s">
        <v>183</v>
      </c>
      <c r="W17" s="5"/>
      <c r="X17" s="5"/>
      <c r="Y17" s="5" t="s">
        <v>173</v>
      </c>
      <c r="Z17" s="7">
        <v>5916.4</v>
      </c>
      <c r="AA17" s="7">
        <v>0</v>
      </c>
      <c r="AB17" s="7">
        <v>176.56</v>
      </c>
      <c r="AC17" s="6">
        <v>46211</v>
      </c>
      <c r="AD17" s="7">
        <v>5739.84</v>
      </c>
      <c r="AE17" s="4">
        <v>86</v>
      </c>
      <c r="AF17" s="5" t="s">
        <v>174</v>
      </c>
      <c r="AG17" s="5" t="s">
        <v>211</v>
      </c>
      <c r="AH17" s="5"/>
      <c r="AI17" s="5"/>
      <c r="AJ17" s="4">
        <v>562576876</v>
      </c>
      <c r="AK17" s="5" t="s">
        <v>263</v>
      </c>
      <c r="AL17" s="5" t="s">
        <v>264</v>
      </c>
      <c r="AM17" s="6">
        <v>46162</v>
      </c>
      <c r="AN17" s="5" t="s">
        <v>179</v>
      </c>
    </row>
    <row r="18" spans="1:40" x14ac:dyDescent="0.25">
      <c r="A18" s="2" t="s">
        <v>87</v>
      </c>
      <c r="B18" s="2" t="s">
        <v>298</v>
      </c>
      <c r="C18" s="3">
        <v>46204</v>
      </c>
      <c r="D18" s="4">
        <v>563514079</v>
      </c>
      <c r="E18" s="5" t="s">
        <v>299</v>
      </c>
      <c r="F18" s="6">
        <v>46170</v>
      </c>
      <c r="G18" s="5" t="s">
        <v>246</v>
      </c>
      <c r="H18" s="5" t="s">
        <v>246</v>
      </c>
      <c r="I18" s="5" t="s">
        <v>300</v>
      </c>
      <c r="J18" s="5" t="s">
        <v>301</v>
      </c>
      <c r="K18" s="3">
        <v>46255</v>
      </c>
      <c r="L18" s="12">
        <f ca="1">IF($O18="","",$O18-TODAY())</f>
        <v>232</v>
      </c>
      <c r="M18" s="12">
        <f ca="1">IF(AND(TRIM($A18)="Finalized",$K18&lt;&gt;""),"",IF($C18="","",$C18+365-TODAY()))</f>
        <v>266</v>
      </c>
      <c r="N18" s="12">
        <f ca="1">IF(AND(TRIM($A18)="Finalized",$K18&lt;&gt;""),"",IF($C18="","",$C18+120-TODAY()))</f>
        <v>21</v>
      </c>
      <c r="O18" s="6">
        <f>IF(AND(TRIM($A18)="Finalized",$K18&lt;&gt;""),"",DATE(2027,5,28))</f>
        <v>46535</v>
      </c>
      <c r="P18" s="5" t="s">
        <v>50</v>
      </c>
      <c r="Q18" s="5" t="s">
        <v>121</v>
      </c>
      <c r="R18" s="5" t="s">
        <v>50</v>
      </c>
      <c r="S18" s="5" t="s">
        <v>49</v>
      </c>
      <c r="T18" s="5" t="s">
        <v>103</v>
      </c>
      <c r="U18" s="5" t="s">
        <v>49</v>
      </c>
      <c r="V18" s="5" t="s">
        <v>248</v>
      </c>
      <c r="W18" s="5" t="s">
        <v>302</v>
      </c>
      <c r="X18" s="5"/>
      <c r="Y18" s="5" t="s">
        <v>51</v>
      </c>
      <c r="Z18" s="7">
        <v>7030.24</v>
      </c>
      <c r="AA18" s="7">
        <v>0</v>
      </c>
      <c r="AB18" s="7">
        <v>0</v>
      </c>
      <c r="AC18" s="6">
        <v>46204</v>
      </c>
      <c r="AD18" s="7">
        <v>7030.24</v>
      </c>
      <c r="AE18" s="4">
        <v>72</v>
      </c>
      <c r="AF18" s="5" t="s">
        <v>303</v>
      </c>
      <c r="AG18" s="5" t="s">
        <v>304</v>
      </c>
      <c r="AH18" s="5" t="s">
        <v>305</v>
      </c>
      <c r="AI18" s="5"/>
      <c r="AJ18" s="4"/>
      <c r="AK18" s="5" t="s">
        <v>290</v>
      </c>
      <c r="AL18" s="5" t="s">
        <v>291</v>
      </c>
      <c r="AM18" s="6">
        <v>46199</v>
      </c>
      <c r="AN18" s="5" t="s">
        <v>179</v>
      </c>
    </row>
    <row r="19" spans="1:40" x14ac:dyDescent="0.25">
      <c r="A19" s="2" t="s">
        <v>87</v>
      </c>
      <c r="B19" s="2" t="s">
        <v>308</v>
      </c>
      <c r="C19" s="3">
        <v>46162</v>
      </c>
      <c r="D19" s="4">
        <v>559115746</v>
      </c>
      <c r="E19" s="5" t="s">
        <v>309</v>
      </c>
      <c r="F19" s="6">
        <v>46153</v>
      </c>
      <c r="G19" s="5" t="s">
        <v>310</v>
      </c>
      <c r="H19" s="5" t="s">
        <v>310</v>
      </c>
      <c r="I19" s="5" t="s">
        <v>44</v>
      </c>
      <c r="J19" s="5" t="s">
        <v>171</v>
      </c>
      <c r="K19" s="3">
        <v>46255</v>
      </c>
      <c r="L19" s="12">
        <f ca="1">IF($O19="","",$O19-TODAY())</f>
        <v>-90</v>
      </c>
      <c r="M19" s="12">
        <f ca="1">IF(AND(TRIM($A19)="Finalized",$K19&lt;&gt;""),"",IF($C19="","",$C19+365-TODAY()))</f>
        <v>224</v>
      </c>
      <c r="N19" s="12">
        <f ca="1">IF(AND(TRIM($A19)="Finalized",$K19&lt;&gt;""),"",IF($C19="","",$C19+90-TODAY()))</f>
        <v>-51</v>
      </c>
      <c r="O19" s="6">
        <f>IF(AND(TRIM($A19)="Finalized",$K19&lt;&gt;""),"",DATE(2026,7,10))</f>
        <v>46213</v>
      </c>
      <c r="P19" s="5" t="s">
        <v>144</v>
      </c>
      <c r="Q19" s="5" t="s">
        <v>311</v>
      </c>
      <c r="R19" s="5" t="s">
        <v>50</v>
      </c>
      <c r="S19" s="5" t="s">
        <v>49</v>
      </c>
      <c r="T19" s="5" t="s">
        <v>46</v>
      </c>
      <c r="U19" s="5" t="s">
        <v>49</v>
      </c>
      <c r="V19" s="5" t="s">
        <v>172</v>
      </c>
      <c r="W19" s="5"/>
      <c r="X19" s="5"/>
      <c r="Y19" s="5" t="s">
        <v>173</v>
      </c>
      <c r="Z19" s="7">
        <v>36353.800000000003</v>
      </c>
      <c r="AA19" s="7">
        <v>0</v>
      </c>
      <c r="AB19" s="7">
        <v>0</v>
      </c>
      <c r="AC19" s="6">
        <v>46162</v>
      </c>
      <c r="AD19" s="7">
        <v>36353.800000000003</v>
      </c>
      <c r="AE19" s="4">
        <v>89</v>
      </c>
      <c r="AF19" s="5" t="s">
        <v>174</v>
      </c>
      <c r="AG19" s="5"/>
      <c r="AH19" s="5"/>
      <c r="AI19" s="5"/>
      <c r="AJ19" s="4"/>
      <c r="AK19" s="5" t="s">
        <v>312</v>
      </c>
      <c r="AL19" s="5" t="s">
        <v>226</v>
      </c>
      <c r="AM19" s="6">
        <v>46155</v>
      </c>
      <c r="AN19" s="5" t="s">
        <v>179</v>
      </c>
    </row>
    <row r="20" spans="1:40" x14ac:dyDescent="0.25">
      <c r="A20" s="2" t="s">
        <v>87</v>
      </c>
      <c r="B20" s="2" t="s">
        <v>316</v>
      </c>
      <c r="C20" s="3">
        <v>46184</v>
      </c>
      <c r="D20" s="4">
        <v>559005954</v>
      </c>
      <c r="E20" s="5" t="s">
        <v>317</v>
      </c>
      <c r="F20" s="6">
        <v>46146</v>
      </c>
      <c r="G20" s="5" t="s">
        <v>131</v>
      </c>
      <c r="H20" s="5" t="s">
        <v>131</v>
      </c>
      <c r="I20" s="5" t="s">
        <v>44</v>
      </c>
      <c r="J20" s="5" t="s">
        <v>318</v>
      </c>
      <c r="K20" s="3">
        <v>46253</v>
      </c>
      <c r="L20" s="12">
        <f ca="1">IF($O20="","",$O20-TODAY())</f>
        <v>-67</v>
      </c>
      <c r="M20" s="12">
        <f ca="1">IF(AND(TRIM($A20)="Finalized",$K20&lt;&gt;""),"",IF($F20="","",$F20+90-TODAY()))</f>
        <v>-67</v>
      </c>
      <c r="N20" s="12">
        <f ca="1">IF(AND(TRIM($A20)="Finalized",$K20&lt;&gt;""),"",IF($C20="","",$C20+365-TODAY()))</f>
        <v>246</v>
      </c>
      <c r="O20" s="6">
        <f>IF(AND(TRIM($A20)="Finalized",$K20&lt;&gt;""),"",DATE(2026,8,2))</f>
        <v>46236</v>
      </c>
      <c r="P20" s="5" t="s">
        <v>46</v>
      </c>
      <c r="Q20" s="5" t="s">
        <v>152</v>
      </c>
      <c r="R20" s="5" t="s">
        <v>46</v>
      </c>
      <c r="S20" s="5" t="s">
        <v>191</v>
      </c>
      <c r="T20" s="5" t="s">
        <v>50</v>
      </c>
      <c r="U20" s="5" t="s">
        <v>49</v>
      </c>
      <c r="V20" s="5" t="s">
        <v>248</v>
      </c>
      <c r="W20" s="5" t="s">
        <v>319</v>
      </c>
      <c r="X20" s="5"/>
      <c r="Y20" s="5" t="s">
        <v>51</v>
      </c>
      <c r="Z20" s="7">
        <v>4520.1099999999997</v>
      </c>
      <c r="AA20" s="7">
        <v>0</v>
      </c>
      <c r="AB20" s="7">
        <v>0</v>
      </c>
      <c r="AC20" s="6">
        <v>46184</v>
      </c>
      <c r="AD20" s="7">
        <v>4520.1099999999997</v>
      </c>
      <c r="AE20" s="4">
        <v>96</v>
      </c>
      <c r="AF20" s="5" t="s">
        <v>320</v>
      </c>
      <c r="AG20" s="5"/>
      <c r="AH20" s="5"/>
      <c r="AI20" s="5"/>
      <c r="AJ20" s="4"/>
      <c r="AK20" s="5" t="s">
        <v>231</v>
      </c>
      <c r="AL20" s="5" t="s">
        <v>68</v>
      </c>
      <c r="AM20" s="6">
        <v>46157</v>
      </c>
      <c r="AN20" s="5" t="s">
        <v>179</v>
      </c>
    </row>
    <row r="21" spans="1:40" x14ac:dyDescent="0.25">
      <c r="A21" s="2" t="s">
        <v>87</v>
      </c>
      <c r="B21" s="2" t="s">
        <v>321</v>
      </c>
      <c r="C21" s="3">
        <v>46224</v>
      </c>
      <c r="D21" s="4">
        <v>559736857</v>
      </c>
      <c r="E21" s="5" t="s">
        <v>322</v>
      </c>
      <c r="F21" s="6">
        <v>46150</v>
      </c>
      <c r="G21" s="5" t="s">
        <v>323</v>
      </c>
      <c r="H21" s="5" t="s">
        <v>323</v>
      </c>
      <c r="I21" s="5" t="s">
        <v>324</v>
      </c>
      <c r="J21" s="5" t="s">
        <v>205</v>
      </c>
      <c r="K21" s="3">
        <v>46253</v>
      </c>
      <c r="L21" s="12">
        <f ca="1">IF($O21="","",$O21-TODAY())</f>
        <v>-63</v>
      </c>
      <c r="M21" s="12">
        <f ca="1">IF(AND(TRIM($A21)="Finalized",$K21&lt;&gt;""),"",IF($F21="","",$F21+90-TODAY()))</f>
        <v>-63</v>
      </c>
      <c r="N21" s="12">
        <f ca="1">IF(AND(TRIM($A21)="Finalized",$K21&lt;&gt;""),"",IF($C21="","",$C21+180-TODAY()))</f>
        <v>101</v>
      </c>
      <c r="O21" s="6">
        <f>IF(AND(TRIM($A21)="Finalized",$K21&lt;&gt;""),"",DATE(2026,8,6))</f>
        <v>46240</v>
      </c>
      <c r="P21" s="5" t="s">
        <v>46</v>
      </c>
      <c r="Q21" s="5" t="s">
        <v>325</v>
      </c>
      <c r="R21" s="5" t="s">
        <v>46</v>
      </c>
      <c r="S21" s="5" t="s">
        <v>191</v>
      </c>
      <c r="T21" s="5" t="s">
        <v>48</v>
      </c>
      <c r="U21" s="5" t="s">
        <v>49</v>
      </c>
      <c r="V21" s="5" t="s">
        <v>172</v>
      </c>
      <c r="W21" s="5"/>
      <c r="X21" s="5"/>
      <c r="Y21" s="5" t="s">
        <v>173</v>
      </c>
      <c r="Z21" s="7">
        <v>5916.4</v>
      </c>
      <c r="AA21" s="7">
        <v>0</v>
      </c>
      <c r="AB21" s="7">
        <v>0</v>
      </c>
      <c r="AC21" s="6">
        <v>46224</v>
      </c>
      <c r="AD21" s="7">
        <v>5916.4</v>
      </c>
      <c r="AE21" s="4">
        <v>92</v>
      </c>
      <c r="AF21" s="5" t="s">
        <v>174</v>
      </c>
      <c r="AG21" s="5" t="s">
        <v>288</v>
      </c>
      <c r="AH21" s="5"/>
      <c r="AI21" s="5"/>
      <c r="AJ21" s="4"/>
      <c r="AK21" s="5" t="s">
        <v>312</v>
      </c>
      <c r="AL21" s="5" t="s">
        <v>326</v>
      </c>
      <c r="AM21" s="6">
        <v>46162</v>
      </c>
      <c r="AN21" s="5" t="s">
        <v>179</v>
      </c>
    </row>
    <row r="22" spans="1:40" x14ac:dyDescent="0.25">
      <c r="A22" s="2" t="s">
        <v>530</v>
      </c>
      <c r="B22" s="2" t="s">
        <v>535</v>
      </c>
      <c r="C22" s="3">
        <v>46203</v>
      </c>
      <c r="D22" s="4">
        <v>562420138</v>
      </c>
      <c r="E22" s="5" t="s">
        <v>336</v>
      </c>
      <c r="F22" s="6">
        <v>46153</v>
      </c>
      <c r="G22" s="5" t="s">
        <v>131</v>
      </c>
      <c r="H22" s="5" t="s">
        <v>131</v>
      </c>
      <c r="I22" s="5" t="s">
        <v>44</v>
      </c>
      <c r="J22" s="5" t="s">
        <v>329</v>
      </c>
      <c r="K22" s="3">
        <v>46255</v>
      </c>
      <c r="L22" s="12">
        <f ca="1">IF($O22="","",$O22-TODAY())</f>
        <v>-60</v>
      </c>
      <c r="M22" s="12">
        <f ca="1">IF(AND(TRIM($A22)="Finalized",$K22&lt;&gt;""),"",IF($F22="","",$F22+90-TODAY()))</f>
        <v>-60</v>
      </c>
      <c r="N22" s="12">
        <f ca="1">IF(AND(TRIM($A22)="Finalized",$K22&lt;&gt;""),"",IF($C22="","",$C22+365-TODAY()))</f>
        <v>265</v>
      </c>
      <c r="O22" s="6">
        <f>IF(AND(TRIM($A22)="Finalized",$K22&lt;&gt;""),"",DATE(2026,8,9))</f>
        <v>46243</v>
      </c>
      <c r="P22" s="5" t="s">
        <v>46</v>
      </c>
      <c r="Q22" s="5" t="s">
        <v>152</v>
      </c>
      <c r="R22" s="5" t="s">
        <v>46</v>
      </c>
      <c r="S22" s="5" t="s">
        <v>191</v>
      </c>
      <c r="T22" s="5" t="s">
        <v>50</v>
      </c>
      <c r="U22" s="5" t="s">
        <v>49</v>
      </c>
      <c r="V22" s="5" t="s">
        <v>183</v>
      </c>
      <c r="W22" s="5"/>
      <c r="X22" s="5"/>
      <c r="Y22" s="5" t="s">
        <v>192</v>
      </c>
      <c r="Z22" s="7">
        <v>11832.8</v>
      </c>
      <c r="AA22" s="7">
        <v>0</v>
      </c>
      <c r="AB22" s="7">
        <v>0</v>
      </c>
      <c r="AC22" s="6">
        <v>46203</v>
      </c>
      <c r="AD22" s="7">
        <v>11832.8</v>
      </c>
      <c r="AE22" s="4">
        <v>89</v>
      </c>
      <c r="AF22" s="5" t="s">
        <v>174</v>
      </c>
      <c r="AG22" s="5" t="s">
        <v>225</v>
      </c>
      <c r="AH22" s="5" t="s">
        <v>282</v>
      </c>
      <c r="AI22" s="5"/>
      <c r="AJ22" s="4"/>
      <c r="AK22" s="5" t="s">
        <v>81</v>
      </c>
      <c r="AL22" s="5" t="s">
        <v>54</v>
      </c>
      <c r="AM22" s="6">
        <v>46189</v>
      </c>
      <c r="AN22" s="5" t="s">
        <v>179</v>
      </c>
    </row>
    <row r="23" spans="1:40" x14ac:dyDescent="0.25">
      <c r="A23" s="2" t="s">
        <v>87</v>
      </c>
      <c r="B23" s="2" t="s">
        <v>337</v>
      </c>
      <c r="C23" s="3">
        <v>46168</v>
      </c>
      <c r="D23" s="4">
        <v>559748258</v>
      </c>
      <c r="E23" s="5" t="s">
        <v>338</v>
      </c>
      <c r="F23" s="6">
        <v>46146</v>
      </c>
      <c r="G23" s="5" t="s">
        <v>155</v>
      </c>
      <c r="H23" s="5" t="s">
        <v>155</v>
      </c>
      <c r="I23" s="5" t="s">
        <v>44</v>
      </c>
      <c r="J23" s="5" t="s">
        <v>260</v>
      </c>
      <c r="K23" s="3">
        <v>46244</v>
      </c>
      <c r="L23" s="12" t="str">
        <f ca="1">IF($O23="","",$O23-TODAY())</f>
        <v/>
      </c>
      <c r="M23" s="12"/>
      <c r="N23" s="12"/>
      <c r="O23" s="6"/>
      <c r="P23" s="5"/>
      <c r="Q23" s="5" t="s">
        <v>156</v>
      </c>
      <c r="R23" s="5"/>
      <c r="S23" s="5"/>
      <c r="T23" s="5"/>
      <c r="U23" s="5"/>
      <c r="V23" s="5" t="s">
        <v>248</v>
      </c>
      <c r="W23" s="5"/>
      <c r="X23" s="5"/>
      <c r="Y23" s="5" t="s">
        <v>51</v>
      </c>
      <c r="Z23" s="7">
        <v>6392.96</v>
      </c>
      <c r="AA23" s="7">
        <v>0</v>
      </c>
      <c r="AB23" s="7">
        <v>0</v>
      </c>
      <c r="AC23" s="6"/>
      <c r="AD23" s="7">
        <v>6392.96</v>
      </c>
      <c r="AE23" s="4">
        <v>96</v>
      </c>
      <c r="AF23" s="5" t="s">
        <v>211</v>
      </c>
      <c r="AG23" s="5"/>
      <c r="AH23" s="5"/>
      <c r="AI23" s="5"/>
      <c r="AJ23" s="4"/>
      <c r="AK23" s="5" t="s">
        <v>76</v>
      </c>
      <c r="AL23" s="5" t="s">
        <v>185</v>
      </c>
      <c r="AM23" s="6">
        <v>46162</v>
      </c>
      <c r="AN23" s="5" t="s">
        <v>179</v>
      </c>
    </row>
    <row r="24" spans="1:40" x14ac:dyDescent="0.25">
      <c r="A24" s="2" t="s">
        <v>87</v>
      </c>
      <c r="B24" s="2" t="s">
        <v>337</v>
      </c>
      <c r="C24" s="3">
        <v>46171</v>
      </c>
      <c r="D24" s="4">
        <v>559795824</v>
      </c>
      <c r="E24" s="5" t="s">
        <v>339</v>
      </c>
      <c r="F24" s="6">
        <v>46149</v>
      </c>
      <c r="G24" s="5" t="s">
        <v>155</v>
      </c>
      <c r="H24" s="5" t="s">
        <v>155</v>
      </c>
      <c r="I24" s="5" t="s">
        <v>44</v>
      </c>
      <c r="J24" s="5" t="s">
        <v>205</v>
      </c>
      <c r="K24" s="3">
        <v>46244</v>
      </c>
      <c r="L24" s="12" t="str">
        <f ca="1">IF($O24="","",$O24-TODAY())</f>
        <v/>
      </c>
      <c r="M24" s="12"/>
      <c r="N24" s="12"/>
      <c r="O24" s="6"/>
      <c r="P24" s="5"/>
      <c r="Q24" s="5" t="s">
        <v>156</v>
      </c>
      <c r="R24" s="5"/>
      <c r="S24" s="5"/>
      <c r="T24" s="5"/>
      <c r="U24" s="5"/>
      <c r="V24" s="5" t="s">
        <v>172</v>
      </c>
      <c r="W24" s="5"/>
      <c r="X24" s="5"/>
      <c r="Y24" s="5" t="s">
        <v>173</v>
      </c>
      <c r="Z24" s="7">
        <v>5916.4</v>
      </c>
      <c r="AA24" s="7">
        <v>0</v>
      </c>
      <c r="AB24" s="7">
        <v>0</v>
      </c>
      <c r="AC24" s="6">
        <v>46171</v>
      </c>
      <c r="AD24" s="7">
        <v>5916.4</v>
      </c>
      <c r="AE24" s="4">
        <v>93</v>
      </c>
      <c r="AF24" s="5" t="s">
        <v>174</v>
      </c>
      <c r="AG24" s="5" t="s">
        <v>206</v>
      </c>
      <c r="AH24" s="5"/>
      <c r="AI24" s="5"/>
      <c r="AJ24" s="4"/>
      <c r="AK24" s="5" t="s">
        <v>340</v>
      </c>
      <c r="AL24" s="5" t="s">
        <v>86</v>
      </c>
      <c r="AM24" s="6">
        <v>46162</v>
      </c>
      <c r="AN24" s="5" t="s">
        <v>179</v>
      </c>
    </row>
    <row r="25" spans="1:40" x14ac:dyDescent="0.25">
      <c r="A25" s="2" t="s">
        <v>115</v>
      </c>
      <c r="B25" s="2" t="s">
        <v>195</v>
      </c>
      <c r="C25" s="3">
        <v>46183</v>
      </c>
      <c r="D25" s="4">
        <v>561237046</v>
      </c>
      <c r="E25" s="5" t="s">
        <v>196</v>
      </c>
      <c r="F25" s="6">
        <v>46163</v>
      </c>
      <c r="G25" s="5" t="s">
        <v>71</v>
      </c>
      <c r="H25" s="5" t="s">
        <v>71</v>
      </c>
      <c r="I25" s="5" t="s">
        <v>197</v>
      </c>
      <c r="J25" s="5" t="s">
        <v>198</v>
      </c>
      <c r="K25" s="3">
        <v>46245</v>
      </c>
      <c t="str" r="L25" s="12">
        <f ca="1">IF($O25="","",$O25-TODAY())</f>
        <v/>
      </c>
      <c t="str" r="M25" s="12">
        <f ca="1">IF(AND(TRIM($A25)="Finalized",$K25&lt;&gt;""),"",IF($C25="","",$C25+180-TODAY()))</f>
        <v/>
      </c>
      <c t="str" r="N25" s="12">
        <f ca="1">IF(AND(TRIM($A25)="Finalized",$K25&lt;&gt;""),"",IF($C25="","",$C25+365-TODAY()))</f>
        <v/>
      </c>
      <c t="str" r="O25" s="6">
        <f>IF(AND(TRIM($A25)="Finalized",$K25&lt;&gt;""),"",DATE(2026,8,19))</f>
        <v/>
      </c>
      <c r="P25" s="5" t="s">
        <v>46</v>
      </c>
      <c r="Q25" s="5" t="s">
        <v>73</v>
      </c>
      <c r="R25" s="5" t="s">
        <v>48</v>
      </c>
      <c r="S25" s="5" t="s">
        <v>49</v>
      </c>
      <c r="T25" s="5" t="s">
        <v>50</v>
      </c>
      <c r="U25" s="5" t="s">
        <v>49</v>
      </c>
      <c r="V25" s="5" t="s">
        <v>172</v>
      </c>
      <c r="W25" s="5"/>
      <c r="X25" s="5"/>
      <c r="Y25" s="5" t="s">
        <v>199</v>
      </c>
      <c r="Z25" s="7">
        <v>2958.2</v>
      </c>
      <c r="AA25" s="7">
        <v>0</v>
      </c>
      <c r="AB25" s="7">
        <v>0</v>
      </c>
      <c r="AC25" s="6">
        <v>46183</v>
      </c>
      <c r="AD25" s="7">
        <v>2958.2</v>
      </c>
      <c r="AE25" s="4">
        <v>79</v>
      </c>
      <c r="AF25" s="5" t="s">
        <v>200</v>
      </c>
      <c r="AG25" s="5" t="s">
        <v>201</v>
      </c>
      <c r="AH25" s="5"/>
      <c r="AI25" s="5"/>
      <c r="AJ25" s="4"/>
      <c r="AK25" s="5" t="s">
        <v>202</v>
      </c>
      <c r="AL25" s="5" t="s">
        <v>54</v>
      </c>
      <c r="AM25" s="6">
        <v>46177</v>
      </c>
      <c r="AN25" s="5" t="s">
        <v>179</v>
      </c>
    </row>
    <row r="26" spans="1:40" x14ac:dyDescent="0.25">
      <c r="A26" s="2" t="s">
        <v>115</v>
      </c>
      <c r="B26" s="2" t="s">
        <v>203</v>
      </c>
      <c r="C26" s="3">
        <v>46194</v>
      </c>
      <c r="D26" s="4">
        <v>561851402</v>
      </c>
      <c r="E26" s="5" t="s">
        <v>204</v>
      </c>
      <c r="F26" s="6">
        <v>46164</v>
      </c>
      <c r="G26" s="5" t="s">
        <v>95</v>
      </c>
      <c r="H26" s="5" t="s">
        <v>95</v>
      </c>
      <c r="I26" s="5" t="s">
        <v>44</v>
      </c>
      <c r="J26" s="5" t="s">
        <v>205</v>
      </c>
      <c r="K26" s="3">
        <v>46245</v>
      </c>
      <c t="str" r="L26" s="12">
        <f ca="1">IF($O26="","",$O26-TODAY())</f>
        <v/>
      </c>
      <c t="str" r="M26" s="12">
        <f ca="1">IF(AND(TRIM($A26)="Finalized",$K26&lt;&gt;""),"",IF($C26="","",$C26+365-TODAY()))</f>
        <v/>
      </c>
      <c t="str" r="N26" s="12">
        <f ca="1">IF(AND(TRIM($A26)="Finalized",$K26&lt;&gt;""),"",IF($C26="","",$C26+365-TODAY()))</f>
        <v/>
      </c>
      <c t="str" r="O26" s="6">
        <f>IF(AND(TRIM($A26)="Finalized",$K26&lt;&gt;""),"",DATE(2026,8,20))</f>
        <v/>
      </c>
      <c r="P26" s="5" t="s">
        <v>46</v>
      </c>
      <c r="Q26" s="5" t="s">
        <v>96</v>
      </c>
      <c r="R26" s="5" t="s">
        <v>50</v>
      </c>
      <c r="S26" s="5" t="s">
        <v>49</v>
      </c>
      <c r="T26" s="5" t="s">
        <v>50</v>
      </c>
      <c r="U26" s="5" t="s">
        <v>49</v>
      </c>
      <c r="V26" s="5" t="s">
        <v>172</v>
      </c>
      <c r="W26" s="5"/>
      <c r="X26" s="5"/>
      <c r="Y26" s="5" t="s">
        <v>173</v>
      </c>
      <c r="Z26" s="7">
        <v>36353.800000000003</v>
      </c>
      <c r="AA26" s="7">
        <v>0</v>
      </c>
      <c r="AB26" s="7">
        <v>0</v>
      </c>
      <c r="AC26" s="6">
        <v>46194</v>
      </c>
      <c r="AD26" s="7">
        <v>36353.800000000003</v>
      </c>
      <c r="AE26" s="4">
        <v>78</v>
      </c>
      <c r="AF26" s="5" t="s">
        <v>174</v>
      </c>
      <c r="AG26" s="5" t="s">
        <v>206</v>
      </c>
      <c r="AH26" s="5"/>
      <c r="AI26" s="5"/>
      <c r="AJ26" s="4"/>
      <c r="AK26" s="5" t="s">
        <v>207</v>
      </c>
      <c r="AL26" s="5" t="s">
        <v>86</v>
      </c>
      <c r="AM26" s="6">
        <v>46183</v>
      </c>
      <c r="AN26" s="5" t="s">
        <v>179</v>
      </c>
    </row>
    <row r="27" spans="1:40" x14ac:dyDescent="0.25">
      <c r="A27" s="2" t="s">
        <v>115</v>
      </c>
      <c r="B27" s="2" t="s">
        <v>208</v>
      </c>
      <c r="C27" s="3">
        <v>46191</v>
      </c>
      <c r="D27" s="4">
        <v>561860576</v>
      </c>
      <c r="E27" s="5" t="s">
        <v>209</v>
      </c>
      <c r="F27" s="6">
        <v>46168</v>
      </c>
      <c r="G27" s="5" t="s">
        <v>43</v>
      </c>
      <c r="H27" s="5" t="s">
        <v>43</v>
      </c>
      <c r="I27" s="5" t="s">
        <v>44</v>
      </c>
      <c r="J27" s="5" t="s">
        <v>210</v>
      </c>
      <c r="K27" s="3">
        <v>46248</v>
      </c>
      <c t="str" r="L27" s="12">
        <f ca="1">IF($O27="","",$O27-TODAY())</f>
        <v/>
      </c>
      <c t="str" r="M27" s="12">
        <f ca="1">IF(AND(TRIM($A27)="Finalized",$K27&lt;&gt;""),"",IF($C27="","",$C27+180-TODAY()))</f>
        <v/>
      </c>
      <c t="str" r="N27" s="12">
        <f ca="1">IF(AND(TRIM($A27)="Finalized",$K27&lt;&gt;""),"",IF($C27="","",$C27+365-TODAY()))</f>
        <v/>
      </c>
      <c t="str" r="O27" s="6">
        <f>IF(AND(TRIM($A27)="Finalized",$K27&lt;&gt;""),"",DATE(2026,8,24))</f>
        <v/>
      </c>
      <c r="P27" s="5" t="s">
        <v>46</v>
      </c>
      <c r="Q27" s="5" t="s">
        <v>47</v>
      </c>
      <c r="R27" s="5" t="s">
        <v>48</v>
      </c>
      <c r="S27" s="5" t="s">
        <v>49</v>
      </c>
      <c r="T27" s="5" t="s">
        <v>50</v>
      </c>
      <c r="U27" s="5" t="s">
        <v>49</v>
      </c>
      <c r="V27" s="5" t="s">
        <v>183</v>
      </c>
      <c r="W27" s="5"/>
      <c r="X27" s="5"/>
      <c r="Y27" s="5" t="s">
        <v>199</v>
      </c>
      <c r="Z27" s="7">
        <v>2958.2</v>
      </c>
      <c r="AA27" s="7">
        <v>0</v>
      </c>
      <c r="AB27" s="7">
        <v>0</v>
      </c>
      <c r="AC27" s="6">
        <v>46191</v>
      </c>
      <c r="AD27" s="7">
        <v>2958.2</v>
      </c>
      <c r="AE27" s="4">
        <v>74</v>
      </c>
      <c r="AF27" s="5" t="s">
        <v>174</v>
      </c>
      <c r="AG27" s="5" t="s">
        <v>211</v>
      </c>
      <c r="AH27" s="5" t="s">
        <v>212</v>
      </c>
      <c r="AI27" s="5"/>
      <c r="AJ27" s="4"/>
      <c r="AK27" s="5" t="s">
        <v>100</v>
      </c>
      <c r="AL27" s="5" t="s">
        <v>213</v>
      </c>
      <c r="AM27" s="6">
        <v>46183</v>
      </c>
      <c r="AN27" s="5" t="s">
        <v>179</v>
      </c>
    </row>
    <row r="28" spans="1:40" x14ac:dyDescent="0.25">
      <c r="A28" s="2" t="s">
        <v>115</v>
      </c>
      <c r="B28" s="2" t="s">
        <v>214</v>
      </c>
      <c r="C28" s="3">
        <v>46223</v>
      </c>
      <c r="D28" s="4">
        <v>559770046</v>
      </c>
      <c r="E28" s="5" t="s">
        <v>215</v>
      </c>
      <c r="F28" s="6">
        <v>46146</v>
      </c>
      <c r="G28" s="5" t="s">
        <v>216</v>
      </c>
      <c r="H28" s="5" t="s">
        <v>216</v>
      </c>
      <c r="I28" s="5" t="s">
        <v>44</v>
      </c>
      <c r="J28" s="5" t="s">
        <v>198</v>
      </c>
      <c r="K28" s="3">
        <v>46248</v>
      </c>
      <c t="str" r="L28" s="12">
        <f ca="1">IF($O28="","",$O28-TODAY())</f>
        <v/>
      </c>
      <c r="M28" s="12"/>
      <c t="str" r="N28" s="12">
        <f ca="1">IF(AND(TRIM($A28)="Finalized",$K28&lt;&gt;""),"",IF($C28="","",$C28+65-TODAY()))</f>
        <v/>
      </c>
      <c t="str" r="O28" s="6">
        <f>IF(AND(TRIM($A28)="Finalized",$K28&lt;&gt;""),"",DATE(2026,9,1))</f>
        <v/>
      </c>
      <c r="P28" s="5" t="s">
        <v>103</v>
      </c>
      <c r="Q28" s="5" t="s">
        <v>217</v>
      </c>
      <c r="R28" s="5"/>
      <c r="S28" s="5"/>
      <c r="T28" s="5" t="s">
        <v>218</v>
      </c>
      <c r="U28" s="5" t="s">
        <v>49</v>
      </c>
      <c r="V28" s="5" t="s">
        <v>172</v>
      </c>
      <c r="W28" s="5"/>
      <c r="X28" s="5"/>
      <c r="Y28" s="5" t="s">
        <v>199</v>
      </c>
      <c r="Z28" s="7">
        <v>2958.2</v>
      </c>
      <c r="AA28" s="7">
        <v>0</v>
      </c>
      <c r="AB28" s="7">
        <v>0</v>
      </c>
      <c r="AC28" s="6">
        <v>46223</v>
      </c>
      <c r="AD28" s="7">
        <v>2958.2</v>
      </c>
      <c r="AE28" s="4">
        <v>96</v>
      </c>
      <c r="AF28" s="5" t="s">
        <v>174</v>
      </c>
      <c r="AG28" s="5"/>
      <c r="AH28" s="5"/>
      <c r="AI28" s="5"/>
      <c r="AJ28" s="4"/>
      <c r="AK28" s="5" t="s">
        <v>100</v>
      </c>
      <c r="AL28" s="5" t="s">
        <v>54</v>
      </c>
      <c r="AM28" s="6">
        <v>46162</v>
      </c>
      <c r="AN28" s="5" t="s">
        <v>179</v>
      </c>
    </row>
    <row r="29" spans="1:40" x14ac:dyDescent="0.25">
      <c r="A29" s="2" t="s">
        <v>115</v>
      </c>
      <c r="B29" s="2" t="s">
        <v>273</v>
      </c>
      <c r="C29" s="3">
        <v>46247</v>
      </c>
      <c r="D29" s="4">
        <v>564572924</v>
      </c>
      <c r="E29" s="5" t="s">
        <v>274</v>
      </c>
      <c r="F29" s="6">
        <v>46156</v>
      </c>
      <c r="G29" s="5" t="s">
        <v>246</v>
      </c>
      <c r="H29" s="5" t="s">
        <v>246</v>
      </c>
      <c r="I29" s="5" t="s">
        <v>275</v>
      </c>
      <c r="J29" s="5" t="s">
        <v>276</v>
      </c>
      <c r="K29" s="3">
        <v>46254</v>
      </c>
      <c t="str" r="L29" s="12">
        <f ca="1">IF($O29="","",$O29-TODAY())</f>
        <v/>
      </c>
      <c t="str" r="M29" s="12">
        <f ca="1">IF(AND(TRIM($A29)="Finalized",$K29&lt;&gt;""),"",IF($C29="","",$C29+365-TODAY()))</f>
        <v/>
      </c>
      <c t="str" r="N29" s="12">
        <f ca="1">IF(AND(TRIM($A29)="Finalized",$K29&lt;&gt;""),"",IF($C29="","",$C29+120-TODAY()))</f>
        <v/>
      </c>
      <c t="str" r="O29" s="6">
        <f>IF(AND(TRIM($A29)="Finalized",$K29&lt;&gt;""),"",DATE(2027,5,14))</f>
        <v/>
      </c>
      <c r="P29" s="5" t="s">
        <v>50</v>
      </c>
      <c r="Q29" s="5" t="s">
        <v>121</v>
      </c>
      <c r="R29" s="5" t="s">
        <v>50</v>
      </c>
      <c r="S29" s="5" t="s">
        <v>49</v>
      </c>
      <c r="T29" s="5" t="s">
        <v>103</v>
      </c>
      <c r="U29" s="5" t="s">
        <v>49</v>
      </c>
      <c r="V29" s="5" t="s">
        <v>248</v>
      </c>
      <c r="W29" s="5" t="s">
        <v>277</v>
      </c>
      <c r="X29" s="5"/>
      <c r="Y29" s="5" t="s">
        <v>51</v>
      </c>
      <c r="Z29" s="7">
        <v>9040.2199999999993</v>
      </c>
      <c r="AA29" s="7">
        <v>0</v>
      </c>
      <c r="AB29" s="7">
        <v>0</v>
      </c>
      <c r="AC29" s="6"/>
      <c r="AD29" s="7">
        <v>9040.2199999999993</v>
      </c>
      <c r="AE29" s="4">
        <v>86</v>
      </c>
      <c r="AF29" s="5" t="s">
        <v>278</v>
      </c>
      <c r="AG29" s="5" t="s">
        <v>279</v>
      </c>
      <c r="AH29" s="5"/>
      <c r="AI29" s="5"/>
      <c r="AJ29" s="4"/>
      <c r="AK29" s="5" t="s">
        <v>255</v>
      </c>
      <c r="AL29" s="5" t="s">
        <v>256</v>
      </c>
      <c r="AM29" s="6">
        <v>46210</v>
      </c>
      <c r="AN29" s="5" t="s">
        <v>179</v>
      </c>
    </row>
    <row r="30" spans="1:40" x14ac:dyDescent="0.25">
      <c r="A30" s="2" t="s">
        <v>115</v>
      </c>
      <c r="B30" s="2" t="s">
        <v>280</v>
      </c>
      <c r="C30" s="3">
        <v>46219</v>
      </c>
      <c r="D30" s="4">
        <v>559739970</v>
      </c>
      <c r="E30" s="5" t="s">
        <v>281</v>
      </c>
      <c r="F30" s="6">
        <v>46160</v>
      </c>
      <c r="G30" s="5" t="s">
        <v>246</v>
      </c>
      <c r="H30" s="5" t="s">
        <v>246</v>
      </c>
      <c r="I30" s="5" t="s">
        <v>44</v>
      </c>
      <c r="J30" s="5" t="s">
        <v>260</v>
      </c>
      <c r="K30" s="3">
        <v>46255</v>
      </c>
      <c t="str" r="L30" s="12">
        <f ca="1">IF($O30="","",$O30-TODAY())</f>
        <v/>
      </c>
      <c t="str" r="M30" s="12">
        <f ca="1">IF(AND(TRIM($A30)="Finalized",$K30&lt;&gt;""),"",IF($C30="","",$C30+365-TODAY()))</f>
        <v/>
      </c>
      <c t="str" r="N30" s="12">
        <f ca="1">IF(AND(TRIM($A30)="Finalized",$K30&lt;&gt;""),"",IF($C30="","",$C30+120-TODAY()))</f>
        <v/>
      </c>
      <c t="str" r="O30" s="6">
        <f>IF(AND(TRIM($A30)="Finalized",$K30&lt;&gt;""),"",DATE(2027,5,18))</f>
        <v/>
      </c>
      <c r="P30" s="5" t="s">
        <v>50</v>
      </c>
      <c r="Q30" s="5" t="s">
        <v>121</v>
      </c>
      <c r="R30" s="5" t="s">
        <v>50</v>
      </c>
      <c r="S30" s="5" t="s">
        <v>49</v>
      </c>
      <c r="T30" s="5" t="s">
        <v>103</v>
      </c>
      <c r="U30" s="5" t="s">
        <v>49</v>
      </c>
      <c r="V30" s="5" t="s">
        <v>248</v>
      </c>
      <c r="W30" s="5"/>
      <c r="X30" s="5"/>
      <c r="Y30" s="5" t="s">
        <v>51</v>
      </c>
      <c r="Z30" s="7">
        <v>6392.96</v>
      </c>
      <c r="AA30" s="7">
        <v>0</v>
      </c>
      <c r="AB30" s="7">
        <v>0</v>
      </c>
      <c r="AC30" s="6">
        <v>46219</v>
      </c>
      <c r="AD30" s="7">
        <v>6392.96</v>
      </c>
      <c r="AE30" s="4">
        <v>82</v>
      </c>
      <c r="AF30" s="5" t="s">
        <v>282</v>
      </c>
      <c r="AG30" s="5"/>
      <c r="AH30" s="5"/>
      <c r="AI30" s="5"/>
      <c r="AJ30" s="4"/>
      <c r="AK30" s="5" t="s">
        <v>283</v>
      </c>
      <c r="AL30" s="5" t="s">
        <v>284</v>
      </c>
      <c r="AM30" s="6">
        <v>46162</v>
      </c>
      <c r="AN30" s="5" t="s">
        <v>179</v>
      </c>
    </row>
    <row r="31" spans="1:40" x14ac:dyDescent="0.25">
      <c r="A31" s="2" t="s">
        <v>115</v>
      </c>
      <c r="B31" s="2" t="s">
        <v>285</v>
      </c>
      <c r="C31" s="3">
        <v>46246</v>
      </c>
      <c r="D31" s="4">
        <v>559735530</v>
      </c>
      <c r="E31" s="5" t="s">
        <v>286</v>
      </c>
      <c r="F31" s="6">
        <v>46161</v>
      </c>
      <c r="G31" s="5" t="s">
        <v>246</v>
      </c>
      <c r="H31" s="5" t="s">
        <v>246</v>
      </c>
      <c r="I31" s="5" t="s">
        <v>125</v>
      </c>
      <c r="J31" s="5" t="s">
        <v>260</v>
      </c>
      <c r="K31" s="3">
        <v>46255</v>
      </c>
      <c t="str" r="L31" s="12">
        <f ca="1">IF($O31="","",$O31-TODAY())</f>
        <v/>
      </c>
      <c t="str" r="M31" s="12">
        <f ca="1">IF(AND(TRIM($A31)="Finalized",$K31&lt;&gt;""),"",IF($C31="","",$C31+365-TODAY()))</f>
        <v/>
      </c>
      <c t="str" r="N31" s="12">
        <f ca="1">IF(AND(TRIM($A31)="Finalized",$K31&lt;&gt;""),"",IF($C31="","",$C31+120-TODAY()))</f>
        <v/>
      </c>
      <c t="str" r="O31" s="6">
        <f>IF(AND(TRIM($A31)="Finalized",$K31&lt;&gt;""),"",DATE(2027,5,19))</f>
        <v/>
      </c>
      <c r="P31" s="5" t="s">
        <v>50</v>
      </c>
      <c r="Q31" s="5" t="s">
        <v>121</v>
      </c>
      <c r="R31" s="5" t="s">
        <v>50</v>
      </c>
      <c r="S31" s="5" t="s">
        <v>49</v>
      </c>
      <c r="T31" s="5" t="s">
        <v>103</v>
      </c>
      <c r="U31" s="5" t="s">
        <v>49</v>
      </c>
      <c r="V31" s="5" t="s">
        <v>248</v>
      </c>
      <c r="W31" s="5"/>
      <c r="X31" s="5"/>
      <c r="Y31" s="5" t="s">
        <v>51</v>
      </c>
      <c r="Z31" s="7">
        <v>6392.96</v>
      </c>
      <c r="AA31" s="7">
        <v>0</v>
      </c>
      <c r="AB31" s="7">
        <v>0</v>
      </c>
      <c r="AC31" s="6"/>
      <c r="AD31" s="7">
        <v>6392.96</v>
      </c>
      <c r="AE31" s="4">
        <v>81</v>
      </c>
      <c r="AF31" s="5" t="s">
        <v>287</v>
      </c>
      <c r="AG31" s="5" t="s">
        <v>288</v>
      </c>
      <c r="AH31" s="5" t="s">
        <v>289</v>
      </c>
      <c r="AI31" s="5"/>
      <c r="AJ31" s="4"/>
      <c r="AK31" s="5" t="s">
        <v>290</v>
      </c>
      <c r="AL31" s="5" t="s">
        <v>291</v>
      </c>
      <c r="AM31" s="6">
        <v>46183</v>
      </c>
      <c r="AN31" s="5" t="s">
        <v>179</v>
      </c>
    </row>
    <row r="32" spans="1:40" x14ac:dyDescent="0.25">
      <c r="A32" s="2" t="s">
        <v>115</v>
      </c>
      <c r="B32" s="15" t="s">
        <v>528</v>
      </c>
      <c r="C32" s="3">
        <v>46268</v>
      </c>
      <c r="D32" s="4">
        <v>561864733</v>
      </c>
      <c r="E32" s="5" t="s">
        <v>286</v>
      </c>
      <c r="F32" s="6">
        <v>46171</v>
      </c>
      <c r="G32" s="5" t="s">
        <v>246</v>
      </c>
      <c r="H32" s="5" t="s">
        <v>246</v>
      </c>
      <c r="I32" s="5" t="s">
        <v>125</v>
      </c>
      <c r="J32" s="5" t="s">
        <v>171</v>
      </c>
      <c r="K32" s="3">
        <v>46276</v>
      </c>
      <c t="str" r="L32" s="12">
        <f ca="1">IF($O32="","",$O32-TODAY())</f>
        <v/>
      </c>
      <c t="str" r="M32" s="12">
        <f ca="1">IF(AND(TRIM($A32)="Finalized",$K32&lt;&gt;""),"",IF($C32="","",$C32+365-TODAY()))</f>
        <v/>
      </c>
      <c t="str" r="N32" s="12">
        <f ca="1">IF(AND(TRIM($A32)="Finalized",$K32&lt;&gt;""),"",IF($C32="","",$C32+120-TODAY()))</f>
        <v/>
      </c>
      <c t="str" r="O32" s="6">
        <f>IF(AND(TRIM($A32)="Finalized",$K32&lt;&gt;""),"",DATE(2027,5,29))</f>
        <v/>
      </c>
      <c r="P32" s="5" t="s">
        <v>50</v>
      </c>
      <c r="Q32" s="5" t="s">
        <v>121</v>
      </c>
      <c r="R32" s="5" t="s">
        <v>50</v>
      </c>
      <c r="S32" s="5" t="s">
        <v>49</v>
      </c>
      <c r="T32" s="5" t="s">
        <v>103</v>
      </c>
      <c r="U32" s="5" t="s">
        <v>49</v>
      </c>
      <c r="V32" s="5" t="s">
        <v>172</v>
      </c>
      <c r="W32" s="5"/>
      <c r="X32" s="5"/>
      <c r="Y32" s="5" t="s">
        <v>173</v>
      </c>
      <c r="Z32" s="7">
        <v>36353.800000000003</v>
      </c>
      <c r="AA32" s="7">
        <v>0</v>
      </c>
      <c r="AB32" s="7">
        <v>0</v>
      </c>
      <c r="AC32" s="6"/>
      <c r="AD32" s="7">
        <v>36353.800000000003</v>
      </c>
      <c r="AE32" s="4">
        <v>71</v>
      </c>
      <c r="AF32" s="5" t="s">
        <v>174</v>
      </c>
      <c r="AG32" s="5" t="s">
        <v>288</v>
      </c>
      <c r="AH32" s="5" t="s">
        <v>306</v>
      </c>
      <c r="AI32" s="5" t="s">
        <v>307</v>
      </c>
      <c r="AJ32" s="4"/>
      <c r="AK32" s="5" t="s">
        <v>290</v>
      </c>
      <c r="AL32" s="5" t="s">
        <v>291</v>
      </c>
      <c r="AM32" s="6">
        <v>46183</v>
      </c>
      <c r="AN32" s="5" t="s">
        <v>179</v>
      </c>
    </row>
    <row r="33" spans="1:40" x14ac:dyDescent="0.25">
      <c r="A33" s="2" t="s">
        <v>115</v>
      </c>
      <c r="B33" s="2" t="s">
        <v>314</v>
      </c>
      <c r="C33" s="3">
        <v>46170</v>
      </c>
      <c r="D33" s="4">
        <v>559761030</v>
      </c>
      <c r="E33" s="5" t="s">
        <v>315</v>
      </c>
      <c r="F33" s="6">
        <v>46143</v>
      </c>
      <c r="G33" s="5" t="s">
        <v>71</v>
      </c>
      <c r="H33" s="5" t="s">
        <v>71</v>
      </c>
      <c r="I33" s="5" t="s">
        <v>44</v>
      </c>
      <c r="J33" s="5" t="s">
        <v>223</v>
      </c>
      <c r="K33" s="3">
        <v>46253</v>
      </c>
      <c t="str" r="L33" s="12">
        <f ca="1">IF($O33="","",$O33-TODAY())</f>
        <v/>
      </c>
      <c t="str" r="M33" s="12">
        <f ca="1">IF(AND(TRIM($A33)="Finalized",$K33&lt;&gt;""),"",IF($C33="","",$C33+180-TODAY()))</f>
        <v/>
      </c>
      <c t="str" r="N33" s="12">
        <f ca="1">IF(AND(TRIM($A33)="Finalized",$K33&lt;&gt;""),"",IF($C33="","",$C33+365-TODAY()))</f>
        <v/>
      </c>
      <c t="str" r="O33" s="6">
        <f>IF(AND(TRIM($A33)="Finalized",$K33&lt;&gt;""),"",DATE(2026,7,30))</f>
        <v/>
      </c>
      <c r="P33" s="5" t="s">
        <v>46</v>
      </c>
      <c r="Q33" s="5" t="s">
        <v>73</v>
      </c>
      <c r="R33" s="5" t="s">
        <v>48</v>
      </c>
      <c r="S33" s="5" t="s">
        <v>49</v>
      </c>
      <c r="T33" s="5" t="s">
        <v>50</v>
      </c>
      <c r="U33" s="5" t="s">
        <v>49</v>
      </c>
      <c r="V33" s="5" t="s">
        <v>183</v>
      </c>
      <c r="W33" s="5"/>
      <c r="X33" s="5"/>
      <c r="Y33" s="5" t="s">
        <v>173</v>
      </c>
      <c r="Z33" s="7">
        <v>36353.800000000003</v>
      </c>
      <c r="AA33" s="7">
        <v>0</v>
      </c>
      <c r="AB33" s="7">
        <v>0</v>
      </c>
      <c r="AC33" s="6">
        <v>46170</v>
      </c>
      <c r="AD33" s="7">
        <v>36353.800000000003</v>
      </c>
      <c r="AE33" s="4">
        <v>99</v>
      </c>
      <c r="AF33" s="5" t="s">
        <v>174</v>
      </c>
      <c r="AG33" s="5"/>
      <c r="AH33" s="5"/>
      <c r="AI33" s="5"/>
      <c r="AJ33" s="4"/>
      <c r="AK33" s="5" t="s">
        <v>100</v>
      </c>
      <c r="AL33" s="5" t="s">
        <v>54</v>
      </c>
      <c r="AM33" s="6">
        <v>46162</v>
      </c>
      <c r="AN33" s="5" t="s">
        <v>179</v>
      </c>
    </row>
    <row r="34" spans="1:40" x14ac:dyDescent="0.25">
      <c r="A34" s="2" t="s">
        <v>115</v>
      </c>
      <c r="B34" s="2" t="s">
        <v>327</v>
      </c>
      <c r="C34" s="3">
        <v>46195</v>
      </c>
      <c r="D34" s="4">
        <v>559737254</v>
      </c>
      <c r="E34" s="5" t="s">
        <v>328</v>
      </c>
      <c r="F34" s="6">
        <v>46150</v>
      </c>
      <c r="G34" s="5" t="s">
        <v>71</v>
      </c>
      <c r="H34" s="5" t="s">
        <v>71</v>
      </c>
      <c r="I34" s="5" t="s">
        <v>234</v>
      </c>
      <c r="J34" s="5" t="s">
        <v>329</v>
      </c>
      <c r="K34" s="3">
        <v>46253</v>
      </c>
      <c t="str" r="L34" s="12">
        <f ca="1">IF($O34="","",$O34-TODAY())</f>
        <v/>
      </c>
      <c t="str" r="M34" s="12">
        <f ca="1">IF(AND(TRIM($A34)="Finalized",$K34&lt;&gt;""),"",IF($C34="","",$C34+180-TODAY()))</f>
        <v/>
      </c>
      <c t="str" r="N34" s="12">
        <f ca="1">IF(AND(TRIM($A34)="Finalized",$K34&lt;&gt;""),"",IF($C34="","",$C34+365-TODAY()))</f>
        <v/>
      </c>
      <c t="str" r="O34" s="6">
        <f>IF(AND(TRIM($A34)="Finalized",$K34&lt;&gt;""),"",DATE(2026,8,6))</f>
        <v/>
      </c>
      <c r="P34" s="5" t="s">
        <v>46</v>
      </c>
      <c r="Q34" s="5" t="s">
        <v>73</v>
      </c>
      <c r="R34" s="5" t="s">
        <v>48</v>
      </c>
      <c r="S34" s="5" t="s">
        <v>49</v>
      </c>
      <c r="T34" s="5" t="s">
        <v>50</v>
      </c>
      <c r="U34" s="5" t="s">
        <v>49</v>
      </c>
      <c r="V34" s="5" t="s">
        <v>183</v>
      </c>
      <c r="W34" s="5"/>
      <c r="X34" s="5"/>
      <c r="Y34" s="5" t="s">
        <v>192</v>
      </c>
      <c r="Z34" s="7">
        <v>11832.8</v>
      </c>
      <c r="AA34" s="7">
        <v>0</v>
      </c>
      <c r="AB34" s="7">
        <v>0</v>
      </c>
      <c r="AC34" s="6">
        <v>46195</v>
      </c>
      <c r="AD34" s="7">
        <v>11832.8</v>
      </c>
      <c r="AE34" s="4">
        <v>92</v>
      </c>
      <c r="AF34" s="5" t="s">
        <v>174</v>
      </c>
      <c r="AG34" s="5" t="s">
        <v>330</v>
      </c>
      <c r="AH34" s="5" t="s">
        <v>305</v>
      </c>
      <c r="AI34" s="5" t="s">
        <v>331</v>
      </c>
      <c r="AJ34" s="4"/>
      <c r="AK34" s="5" t="s">
        <v>332</v>
      </c>
      <c r="AL34" s="5" t="s">
        <v>68</v>
      </c>
      <c r="AM34" s="6">
        <v>46183</v>
      </c>
      <c r="AN34" s="5" t="s">
        <v>179</v>
      </c>
    </row>
    <row r="35" spans="1:40" x14ac:dyDescent="0.25">
      <c r="A35" s="2" t="s">
        <v>115</v>
      </c>
      <c r="B35" s="2" t="s">
        <v>333</v>
      </c>
      <c r="C35" s="3">
        <v>46198</v>
      </c>
      <c r="D35" s="4">
        <v>559775347</v>
      </c>
      <c r="E35" s="5" t="s">
        <v>334</v>
      </c>
      <c r="F35" s="6">
        <v>46153</v>
      </c>
      <c r="G35" s="5" t="s">
        <v>95</v>
      </c>
      <c r="H35" s="5" t="s">
        <v>95</v>
      </c>
      <c r="I35" s="5" t="s">
        <v>44</v>
      </c>
      <c r="J35" s="5" t="s">
        <v>182</v>
      </c>
      <c r="K35" s="3">
        <v>46253</v>
      </c>
      <c t="str" r="L35" s="12">
        <f ca="1">IF($O35="","",$O35-TODAY())</f>
        <v/>
      </c>
      <c t="str" r="M35" s="12">
        <f ca="1">IF(AND(TRIM($A35)="Finalized",$K35&lt;&gt;""),"",IF($C35="","",$C35+365-TODAY()))</f>
        <v/>
      </c>
      <c t="str" r="N35" s="12">
        <f ca="1">IF(AND(TRIM($A35)="Finalized",$K35&lt;&gt;""),"",IF($C35="","",$C35+365-TODAY()))</f>
        <v/>
      </c>
      <c t="str" r="O35" s="6">
        <f>IF(AND(TRIM($A35)="Finalized",$K35&lt;&gt;""),"",DATE(2026,8,9))</f>
        <v/>
      </c>
      <c r="P35" s="5" t="s">
        <v>46</v>
      </c>
      <c r="Q35" s="5" t="s">
        <v>96</v>
      </c>
      <c r="R35" s="5" t="s">
        <v>50</v>
      </c>
      <c r="S35" s="5" t="s">
        <v>49</v>
      </c>
      <c r="T35" s="5" t="s">
        <v>50</v>
      </c>
      <c r="U35" s="5" t="s">
        <v>49</v>
      </c>
      <c r="V35" s="5" t="s">
        <v>183</v>
      </c>
      <c r="W35" s="5"/>
      <c r="X35" s="5"/>
      <c r="Y35" s="5" t="s">
        <v>173</v>
      </c>
      <c r="Z35" s="7">
        <v>5916.4</v>
      </c>
      <c r="AA35" s="7">
        <v>0</v>
      </c>
      <c r="AB35" s="7">
        <v>0</v>
      </c>
      <c r="AC35" s="6">
        <v>46198</v>
      </c>
      <c r="AD35" s="7">
        <v>5916.4</v>
      </c>
      <c r="AE35" s="4">
        <v>89</v>
      </c>
      <c r="AF35" s="5" t="s">
        <v>174</v>
      </c>
      <c r="AG35" s="5" t="s">
        <v>193</v>
      </c>
      <c r="AH35" s="5"/>
      <c r="AI35" s="5"/>
      <c r="AJ35" s="4"/>
      <c r="AK35" s="5" t="s">
        <v>335</v>
      </c>
      <c r="AL35" s="5" t="s">
        <v>54</v>
      </c>
      <c r="AM35" s="6">
        <v>46162</v>
      </c>
      <c r="AN35" s="5" t="s">
        <v>179</v>
      </c>
    </row>
  </sheetData>
  <autoFilter ref="A1:AN35" xr:uid="{00000000-0009-0000-0000-000001000000}"/>
  <conditionalFormatting sqref="L2:O1000">
    <cfRule type="expression" dxfId="96" priority="1" stopIfTrue="1">
      <formula>AND(TRIM($A2)="Finalized",$K2&lt;&gt;"")</formula>
    </cfRule>
  </conditionalFormatting>
  <conditionalFormatting sqref="L2:L35">
    <cfRule type="expression" dxfId="79" priority="2">
      <formula>AND($L2&lt;&gt;"", $L2&gt;=0, $L2&lt;=5)</formula>
    </cfRule>
    <cfRule type="expression" dxfId="78" priority="3">
      <formula>AND($L2&lt;&gt;"", $L2&gt;5, $L2&lt;=30)</formula>
    </cfRule>
    <cfRule type="expression" dxfId="77" priority="4">
      <formula>AND($L2&lt;&gt;"", $L2&gt;30)</formula>
    </cfRule>
    <cfRule type="expression" dxfId="76" priority="5">
      <formula>AND($L2&lt;&gt;"", $L2&lt;0)</formula>
    </cfRule>
    <cfRule type="expression" dxfId="75" priority="6">
      <formula>$L2=""</formula>
    </cfRule>
  </conditionalFormatting>
  <conditionalFormatting sqref="M2:M35">
    <cfRule type="expression" dxfId="74" priority="7">
      <formula>AND($M2&lt;&gt;"", $M2&gt;=0, $M2&lt;=5)</formula>
    </cfRule>
    <cfRule type="expression" dxfId="73" priority="8">
      <formula>AND($M2&lt;&gt;"", $M2&gt;5, $M2&lt;=30)</formula>
    </cfRule>
    <cfRule type="expression" dxfId="72" priority="9">
      <formula>AND($M2&lt;&gt;"", $M2&gt;30)</formula>
    </cfRule>
    <cfRule type="expression" dxfId="71" priority="10">
      <formula>AND($M2&lt;&gt;"", $M2&lt;0)</formula>
    </cfRule>
    <cfRule type="expression" dxfId="70" priority="11">
      <formula>$M2=""</formula>
    </cfRule>
  </conditionalFormatting>
  <conditionalFormatting sqref="N2:N35">
    <cfRule type="expression" dxfId="69" priority="12">
      <formula>AND($N2&lt;&gt;"", $N2&gt;=0, $N2&lt;=5)</formula>
    </cfRule>
    <cfRule type="expression" dxfId="68" priority="13">
      <formula>AND($N2&lt;&gt;"", $N2&gt;5, $N2&lt;=30)</formula>
    </cfRule>
    <cfRule type="expression" dxfId="67" priority="14">
      <formula>AND($N2&lt;&gt;"", $N2&gt;30)</formula>
    </cfRule>
    <cfRule type="expression" dxfId="66" priority="15">
      <formula>AND($N2&lt;&gt;"", $N2&lt;0)</formula>
    </cfRule>
    <cfRule type="expression" dxfId="65" priority="16">
      <formula>$N2=""</formula>
    </cfRule>
  </conditionalFormatting>
  <conditionalFormatting sqref="O2:U35">
    <cfRule type="expression" dxfId="64" priority="17">
      <formula>AND($L2&lt;&gt;"", $L2&gt;=0, $L2&lt;=5)</formula>
    </cfRule>
    <cfRule type="expression" dxfId="63" priority="18">
      <formula>AND($L2&lt;&gt;"", $L2&gt;5, $L2&lt;=30)</formula>
    </cfRule>
    <cfRule type="expression" dxfId="62" priority="19">
      <formula>AND($L2&lt;&gt;"", $L2&gt;30)</formula>
    </cfRule>
    <cfRule type="expression" dxfId="61" priority="20">
      <formula>AND($L2&lt;&gt;"", $L2&lt;0)</formula>
    </cfRule>
    <cfRule type="expression" dxfId="60" priority="21">
      <formula>$L2=""</formula>
    </cfRule>
  </conditionalFormatting>
  <conditionalFormatting sqref="A2:AN1000">
    <cfRule type="expression" dxfId="95" priority="22">
      <formula>TRIM($A2)="PAID"</formula>
    </cfRule>
    <cfRule type="expression" dxfId="96" priority="23">
      <formula>TRIM($A2)="Finalized"</formula>
    </cfRule>
    <cfRule type="expression" dxfId="97" priority="24">
      <formula>TRIM($A2)="Received"</formula>
    </cfRule>
    <cfRule type="expression" dxfId="98" priority="25">
      <formula>TRIM($A2)="Pending"</formula>
    </cfRule>
    <cfRule type="expression" dxfId="99" priority="26">
      <formula>TRIM($A2)="Under Review"</formula>
    </cfRule>
    <cfRule type="expression" dxfId="100" priority="27">
      <formula>AND(TRIM($A2)="Denied",$K2="")</formula>
    </cfRule>
    <cfRule type="expression" dxfId="103" priority="30">
      <formula>AND(TRIM($A2)="Denied",$K2&lt;&gt;"")</formula>
    </cfRule>
    <cfRule type="expression" dxfId="101" priority="28">
      <formula>TRIM($A2)="Rejected"</formula>
    </cfRule>
    <cfRule type="expression" dxfId="102"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7"/>
  <sheetViews>
    <sheetView zoomScale="90" workbookViewId="0">
      <pane xSplit="2" ySplit="1" topLeftCell="C2" activePane="bottomRight" state="frozen"/>
      <selection pane="topRight"/>
      <selection pane="bottomLeft"/>
      <selection pane="bottomRight" activeCell="D33" sqref="D33"/>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2.7109375" customWidth="1"/>
    <col min="8" max="8" width="34" customWidth="1"/>
    <col min="9" max="9" width="40" hidden="1" customWidth="1"/>
    <col min="10" max="10" width="31.140625" customWidth="1"/>
    <col min="11" max="11" width="14" customWidth="1"/>
    <col min="12" max="12" width="12" customWidth="1"/>
    <col min="13" max="13" width="19.42578125" customWidth="1"/>
    <col min="14" max="14" width="19.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530</v>
      </c>
      <c r="B2" s="2" t="s">
        <v>532</v>
      </c>
      <c r="C2" s="3"/>
      <c r="D2" s="4">
        <v>561650514</v>
      </c>
      <c r="E2" s="5" t="s">
        <v>375</v>
      </c>
      <c r="F2" s="6">
        <v>46153</v>
      </c>
      <c r="G2" s="5" t="s">
        <v>159</v>
      </c>
      <c r="H2" s="5" t="s">
        <v>159</v>
      </c>
      <c r="I2" s="5" t="s">
        <v>44</v>
      </c>
      <c r="J2" s="5" t="s">
        <v>376</v>
      </c>
      <c r="K2" s="3"/>
      <c r="L2" s="12" t="str">
        <f ca="1">IF($O2="","",$O2-TODAY())</f>
        <v/>
      </c>
      <c r="M2" s="12"/>
      <c r="N2" s="12"/>
      <c r="O2" s="6"/>
      <c r="P2" s="5"/>
      <c r="Q2" s="5" t="s">
        <v>156</v>
      </c>
      <c r="R2" s="5"/>
      <c r="S2" s="5"/>
      <c r="T2" s="5"/>
      <c r="U2" s="5"/>
      <c r="V2" s="5" t="s">
        <v>361</v>
      </c>
      <c r="W2" s="5" t="s">
        <v>377</v>
      </c>
      <c r="X2" s="5" t="s">
        <v>319</v>
      </c>
      <c r="Y2" s="5" t="s">
        <v>378</v>
      </c>
      <c r="Z2" s="7">
        <v>69078.8</v>
      </c>
      <c r="AA2" s="7">
        <v>0</v>
      </c>
      <c r="AB2" s="7">
        <v>0</v>
      </c>
      <c r="AC2" s="6"/>
      <c r="AD2" s="7">
        <v>69078.8</v>
      </c>
      <c r="AE2" s="4">
        <v>89</v>
      </c>
      <c r="AF2" s="5" t="s">
        <v>212</v>
      </c>
      <c r="AG2" s="5" t="s">
        <v>346</v>
      </c>
      <c r="AH2" s="5" t="s">
        <v>320</v>
      </c>
      <c r="AI2" s="5"/>
      <c r="AJ2" s="4"/>
      <c r="AK2" s="5" t="s">
        <v>348</v>
      </c>
      <c r="AL2" s="5" t="s">
        <v>357</v>
      </c>
      <c r="AM2" s="6">
        <v>46182</v>
      </c>
      <c r="AN2" s="5" t="s">
        <v>350</v>
      </c>
    </row>
    <row r="3" spans="1:40" x14ac:dyDescent="0.25">
      <c r="A3" s="2" t="s">
        <v>87</v>
      </c>
      <c r="B3" s="2" t="s">
        <v>351</v>
      </c>
      <c r="C3" s="3">
        <v>46185</v>
      </c>
      <c r="D3" s="4">
        <v>561727580</v>
      </c>
      <c r="E3" s="5" t="s">
        <v>352</v>
      </c>
      <c r="F3" s="6">
        <v>46153</v>
      </c>
      <c r="G3" s="5" t="s">
        <v>118</v>
      </c>
      <c r="H3" s="5" t="s">
        <v>118</v>
      </c>
      <c r="I3" s="5" t="s">
        <v>125</v>
      </c>
      <c r="J3" s="5" t="s">
        <v>353</v>
      </c>
      <c r="K3" s="3">
        <v>46255</v>
      </c>
      <c r="L3" s="12">
        <f ca="1">IF($O3="","",$O3-TODAY())</f>
        <v>215</v>
      </c>
      <c r="M3" s="12">
        <f ca="1">IF(AND(TRIM($A3)="Finalized",$K3&lt;&gt;""),"",IF($C3="","",$C3+365-TODAY()))</f>
        <v>247</v>
      </c>
      <c r="N3" s="12">
        <f ca="1">IF(AND(TRIM($A3)="Finalized",$K3&lt;&gt;""),"",IF($C3="","",$C3+120-TODAY()))</f>
        <v>2</v>
      </c>
      <c r="O3" s="6">
        <f>IF(AND(TRIM($A3)="Finalized",$K3&lt;&gt;""),"",DATE(2027,5,11))</f>
        <v>46518</v>
      </c>
      <c r="P3" s="5" t="s">
        <v>50</v>
      </c>
      <c r="Q3" s="5" t="s">
        <v>121</v>
      </c>
      <c r="R3" s="5" t="s">
        <v>50</v>
      </c>
      <c r="S3" s="5" t="s">
        <v>49</v>
      </c>
      <c r="T3" s="5" t="s">
        <v>103</v>
      </c>
      <c r="U3" s="5" t="s">
        <v>49</v>
      </c>
      <c r="V3" s="5" t="s">
        <v>354</v>
      </c>
      <c r="W3" s="5" t="s">
        <v>355</v>
      </c>
      <c r="X3" s="5" t="s">
        <v>302</v>
      </c>
      <c r="Y3" s="5" t="s">
        <v>356</v>
      </c>
      <c r="Z3" s="7">
        <v>70557.69</v>
      </c>
      <c r="AA3" s="7">
        <v>0</v>
      </c>
      <c r="AB3" s="7">
        <v>0</v>
      </c>
      <c r="AC3" s="6">
        <v>46185</v>
      </c>
      <c r="AD3" s="7">
        <v>70557.69</v>
      </c>
      <c r="AE3" s="4">
        <v>89</v>
      </c>
      <c r="AF3" s="5" t="s">
        <v>296</v>
      </c>
      <c r="AG3" s="5" t="s">
        <v>346</v>
      </c>
      <c r="AH3" s="5" t="s">
        <v>347</v>
      </c>
      <c r="AI3" s="5"/>
      <c r="AJ3" s="4"/>
      <c r="AK3" s="5" t="s">
        <v>348</v>
      </c>
      <c r="AL3" s="5" t="s">
        <v>357</v>
      </c>
      <c r="AM3" s="6">
        <v>46182</v>
      </c>
      <c r="AN3" s="5" t="s">
        <v>350</v>
      </c>
    </row>
    <row r="4" spans="1:40" x14ac:dyDescent="0.25">
      <c r="A4" s="2" t="s">
        <v>87</v>
      </c>
      <c r="B4" s="2" t="s">
        <v>370</v>
      </c>
      <c r="C4" s="3">
        <v>46196</v>
      </c>
      <c r="D4" s="4">
        <v>561729597</v>
      </c>
      <c r="E4" s="5" t="s">
        <v>371</v>
      </c>
      <c r="F4" s="6">
        <v>46153</v>
      </c>
      <c r="G4" s="5" t="s">
        <v>188</v>
      </c>
      <c r="H4" s="5" t="s">
        <v>188</v>
      </c>
      <c r="I4" s="5" t="s">
        <v>44</v>
      </c>
      <c r="J4" s="5" t="s">
        <v>372</v>
      </c>
      <c r="K4" s="3">
        <v>46256</v>
      </c>
      <c r="L4" s="12">
        <f ca="1">IF($O4="","",$O4-TODAY())</f>
        <v>-60</v>
      </c>
      <c r="M4" s="12">
        <f ca="1">IF(AND(TRIM($A4)="Finalized",$K4&lt;&gt;""),"",IF($F4="","",$F4+90-TODAY()))</f>
        <v>-60</v>
      </c>
      <c r="N4" s="12">
        <f ca="1">IF(AND(TRIM($A4)="Finalized",$K4&lt;&gt;""),"",IF($C4="","",$C4+540-TODAY()))</f>
        <v>433</v>
      </c>
      <c r="O4" s="6">
        <f>IF(AND(TRIM($A4)="Finalized",$K4&lt;&gt;""),"",DATE(2026,8,9))</f>
        <v>46243</v>
      </c>
      <c r="P4" s="5" t="s">
        <v>46</v>
      </c>
      <c r="Q4" s="5" t="s">
        <v>190</v>
      </c>
      <c r="R4" s="5" t="s">
        <v>46</v>
      </c>
      <c r="S4" s="5" t="s">
        <v>191</v>
      </c>
      <c r="T4" s="5" t="s">
        <v>539</v>
      </c>
      <c r="U4" s="5" t="s">
        <v>49</v>
      </c>
      <c r="V4" s="5" t="s">
        <v>354</v>
      </c>
      <c r="W4" s="5" t="s">
        <v>373</v>
      </c>
      <c r="X4" s="5" t="s">
        <v>319</v>
      </c>
      <c r="Y4" s="5" t="s">
        <v>374</v>
      </c>
      <c r="Z4" s="7">
        <v>21123.69</v>
      </c>
      <c r="AA4" s="7">
        <v>0</v>
      </c>
      <c r="AB4" s="7">
        <v>0</v>
      </c>
      <c r="AC4" s="6">
        <v>46196</v>
      </c>
      <c r="AD4" s="7">
        <v>21123.69</v>
      </c>
      <c r="AE4" s="4">
        <v>89</v>
      </c>
      <c r="AF4" s="5" t="s">
        <v>212</v>
      </c>
      <c r="AG4" s="5" t="s">
        <v>346</v>
      </c>
      <c r="AH4" s="5" t="s">
        <v>320</v>
      </c>
      <c r="AI4" s="5"/>
      <c r="AJ4" s="4"/>
      <c r="AK4" s="5" t="s">
        <v>348</v>
      </c>
      <c r="AL4" s="5" t="s">
        <v>357</v>
      </c>
      <c r="AM4" s="6">
        <v>46182</v>
      </c>
      <c r="AN4" s="5" t="s">
        <v>350</v>
      </c>
    </row>
    <row r="5" spans="1:40" x14ac:dyDescent="0.25">
      <c r="A5" s="2" t="s">
        <v>115</v>
      </c>
      <c r="B5" s="2" t="s">
        <v>341</v>
      </c>
      <c r="C5" s="3">
        <v>46195</v>
      </c>
      <c r="D5" s="4">
        <v>561650229</v>
      </c>
      <c r="E5" s="5" t="s">
        <v>342</v>
      </c>
      <c r="F5" s="6">
        <v>46146</v>
      </c>
      <c r="G5" s="5" t="s">
        <v>102</v>
      </c>
      <c r="H5" s="5" t="s">
        <v>102</v>
      </c>
      <c r="I5" s="5" t="s">
        <v>44</v>
      </c>
      <c r="J5" s="5" t="s">
        <v>343</v>
      </c>
      <c r="K5" s="3">
        <v>46248</v>
      </c>
      <c t="str" r="L5" s="12">
        <f ca="1">IF($O5="","",$O5-TODAY())</f>
        <v/>
      </c>
      <c t="str" r="M5" s="12">
        <f ca="1">IF(AND(TRIM($A5)="Finalized",$K5&lt;&gt;""),"",IF($C5="","",$C5+180-TODAY()))</f>
        <v/>
      </c>
      <c t="str" r="N5" s="12">
        <f ca="1">IF(AND(TRIM($A5)="Finalized",$K5&lt;&gt;""),"",IF($C5="","",$C5+180-TODAY()))</f>
        <v/>
      </c>
      <c t="str" r="O5" s="6">
        <f>IF(AND(TRIM($A5)="Finalized",$K5&lt;&gt;""),"",DATE(2026,9,1))</f>
        <v/>
      </c>
      <c r="P5" s="5" t="s">
        <v>103</v>
      </c>
      <c r="Q5" s="5" t="s">
        <v>104</v>
      </c>
      <c r="R5" s="5" t="s">
        <v>48</v>
      </c>
      <c r="S5" s="5" t="s">
        <v>49</v>
      </c>
      <c r="T5" s="5" t="s">
        <v>48</v>
      </c>
      <c r="U5" s="5" t="s">
        <v>49</v>
      </c>
      <c r="V5" s="5" t="s">
        <v>344</v>
      </c>
      <c r="W5" s="5"/>
      <c r="X5" s="5"/>
      <c r="Y5" s="5" t="s">
        <v>345</v>
      </c>
      <c r="Z5" s="7">
        <v>51585.59</v>
      </c>
      <c r="AA5" s="7">
        <v>0</v>
      </c>
      <c r="AB5" s="7">
        <v>0</v>
      </c>
      <c r="AC5" s="6">
        <v>46195</v>
      </c>
      <c r="AD5" s="7">
        <v>51585.59</v>
      </c>
      <c r="AE5" s="4">
        <v>96</v>
      </c>
      <c r="AF5" s="5" t="s">
        <v>296</v>
      </c>
      <c r="AG5" s="5" t="s">
        <v>346</v>
      </c>
      <c r="AH5" s="5" t="s">
        <v>347</v>
      </c>
      <c r="AI5" s="5"/>
      <c r="AJ5" s="4"/>
      <c r="AK5" s="5" t="s">
        <v>348</v>
      </c>
      <c r="AL5" s="5" t="s">
        <v>349</v>
      </c>
      <c r="AM5" s="6">
        <v>46182</v>
      </c>
      <c r="AN5" s="5" t="s">
        <v>350</v>
      </c>
    </row>
    <row r="6" spans="1:40" x14ac:dyDescent="0.25">
      <c r="A6" s="2" t="s">
        <v>116</v>
      </c>
      <c r="B6" s="2" t="s">
        <v>358</v>
      </c>
      <c r="C6" s="3">
        <v>46252</v>
      </c>
      <c r="D6" s="4">
        <v>561726685</v>
      </c>
      <c r="E6" s="5" t="s">
        <v>359</v>
      </c>
      <c r="F6" s="6">
        <v>46160</v>
      </c>
      <c r="G6" s="5" t="s">
        <v>106</v>
      </c>
      <c r="H6" s="5" t="s">
        <v>118</v>
      </c>
      <c r="I6" s="5" t="s">
        <v>106</v>
      </c>
      <c r="J6" s="5" t="s">
        <v>360</v>
      </c>
      <c r="K6" s="3">
        <v>46224</v>
      </c>
      <c r="L6" s="12">
        <f ca="1">IF($O6="","",$O6-TODAY())</f>
        <v>222</v>
      </c>
      <c r="M6" s="12">
        <f ca="1">IF(AND(TRIM($A6)="Finalized",$K6&lt;&gt;""),"",IF($C6="","",$C6+365-TODAY()))</f>
        <v>314</v>
      </c>
      <c r="N6" s="12">
        <f ca="1">IF(AND(TRIM($A6)="Finalized",$K6&lt;&gt;""),"",IF($C6="","",$C6+120-TODAY()))</f>
        <v>69</v>
      </c>
      <c r="O6" s="6">
        <f>IF(AND(TRIM($A6)="Finalized",$K6&lt;&gt;""),"",DATE(2027,5,18))</f>
        <v>46525</v>
      </c>
      <c r="P6" s="5" t="s">
        <v>50</v>
      </c>
      <c r="Q6" s="5" t="s">
        <v>121</v>
      </c>
      <c r="R6" s="5" t="s">
        <v>50</v>
      </c>
      <c r="S6" s="5" t="s">
        <v>49</v>
      </c>
      <c r="T6" s="5" t="s">
        <v>103</v>
      </c>
      <c r="U6" s="5" t="s">
        <v>49</v>
      </c>
      <c r="V6" s="5" t="s">
        <v>361</v>
      </c>
      <c r="W6" s="5" t="s">
        <v>362</v>
      </c>
      <c r="X6" s="5" t="s">
        <v>302</v>
      </c>
      <c r="Y6" s="5" t="s">
        <v>363</v>
      </c>
      <c r="Z6" s="7">
        <v>70557.69</v>
      </c>
      <c r="AA6" s="7">
        <v>69521.95</v>
      </c>
      <c r="AB6" s="7">
        <v>825.23</v>
      </c>
      <c r="AC6" s="6">
        <v>46197</v>
      </c>
      <c r="AD6" s="7">
        <v>210.51</v>
      </c>
      <c r="AE6" s="4">
        <v>82</v>
      </c>
      <c r="AF6" s="5" t="s">
        <v>296</v>
      </c>
      <c r="AG6" s="5" t="s">
        <v>346</v>
      </c>
      <c r="AH6" s="5" t="s">
        <v>347</v>
      </c>
      <c r="AI6" s="5"/>
      <c r="AJ6" s="4">
        <v>564721013</v>
      </c>
      <c r="AK6" s="5" t="s">
        <v>348</v>
      </c>
      <c r="AL6" s="5" t="s">
        <v>349</v>
      </c>
      <c r="AM6" s="6">
        <v>46182</v>
      </c>
      <c r="AN6" s="5" t="s">
        <v>350</v>
      </c>
    </row>
    <row r="7" spans="1:40" x14ac:dyDescent="0.25">
      <c r="A7" s="2" t="s">
        <v>115</v>
      </c>
      <c r="B7" s="2" t="s">
        <v>364</v>
      </c>
      <c r="C7" s="3">
        <v>46187</v>
      </c>
      <c r="D7" s="4">
        <v>561728234</v>
      </c>
      <c r="E7" s="5" t="s">
        <v>365</v>
      </c>
      <c r="F7" s="6">
        <v>46153</v>
      </c>
      <c r="G7" s="5" t="s">
        <v>366</v>
      </c>
      <c r="H7" s="5" t="s">
        <v>366</v>
      </c>
      <c r="I7" s="5" t="s">
        <v>44</v>
      </c>
      <c r="J7" s="5" t="s">
        <v>367</v>
      </c>
      <c r="K7" s="3">
        <v>46255</v>
      </c>
      <c t="str" r="L7" s="12">
        <f ca="1">IF($O7="","",$O7-TODAY())</f>
        <v/>
      </c>
      <c t="str" r="M7" s="12">
        <f ca="1">IF(AND(TRIM($A7)="Finalized",$K7&lt;&gt;""),"",IF($F7="","",$F7+90-TODAY()))</f>
        <v/>
      </c>
      <c t="str" r="N7" s="12">
        <f ca="1">IF(AND(TRIM($A7)="Finalized",$K7&lt;&gt;""),"",IF($C7="","",$C7+60-TODAY()))</f>
        <v/>
      </c>
      <c t="str" r="O7" s="6">
        <f>IF(AND(TRIM($A7)="Finalized",$K7&lt;&gt;""),"",DATE(2026,8,9))</f>
        <v/>
      </c>
      <c r="P7" s="5" t="s">
        <v>46</v>
      </c>
      <c r="Q7" s="5" t="s">
        <v>368</v>
      </c>
      <c r="R7" s="5" t="s">
        <v>46</v>
      </c>
      <c r="S7" s="5" t="s">
        <v>191</v>
      </c>
      <c r="T7" s="5" t="s">
        <v>144</v>
      </c>
      <c r="U7" s="5" t="s">
        <v>49</v>
      </c>
      <c r="V7" s="5" t="s">
        <v>344</v>
      </c>
      <c r="W7" s="5" t="s">
        <v>302</v>
      </c>
      <c r="X7" s="5"/>
      <c r="Y7" s="5" t="s">
        <v>345</v>
      </c>
      <c r="Z7" s="7">
        <v>12219.76</v>
      </c>
      <c r="AA7" s="7">
        <v>0</v>
      </c>
      <c r="AB7" s="7">
        <v>0</v>
      </c>
      <c r="AC7" s="6">
        <v>46187</v>
      </c>
      <c r="AD7" s="7">
        <v>12219.76</v>
      </c>
      <c r="AE7" s="4">
        <v>89</v>
      </c>
      <c r="AF7" s="5" t="s">
        <v>369</v>
      </c>
      <c r="AG7" s="5" t="s">
        <v>346</v>
      </c>
      <c r="AH7" s="5" t="s">
        <v>304</v>
      </c>
      <c r="AI7" s="5"/>
      <c r="AJ7" s="4"/>
      <c r="AK7" s="5" t="s">
        <v>348</v>
      </c>
      <c r="AL7" s="5" t="s">
        <v>357</v>
      </c>
      <c r="AM7" s="6">
        <v>46182</v>
      </c>
      <c r="AN7" s="5" t="s">
        <v>350</v>
      </c>
    </row>
  </sheetData>
  <autoFilter ref="A1:AN7" xr:uid="{00000000-0009-0000-0000-000002000000}"/>
  <conditionalFormatting sqref="L2:O1000">
    <cfRule type="expression" dxfId="96" priority="1" stopIfTrue="1">
      <formula>AND(TRIM($A2)="Finalized",$K2&lt;&gt;"")</formula>
    </cfRule>
  </conditionalFormatting>
  <conditionalFormatting sqref="L2:L7">
    <cfRule type="expression" dxfId="59" priority="2">
      <formula>AND($L2&lt;&gt;"", $L2&gt;=0, $L2&lt;=5)</formula>
    </cfRule>
    <cfRule type="expression" dxfId="58" priority="3">
      <formula>AND($L2&lt;&gt;"", $L2&gt;5, $L2&lt;=30)</formula>
    </cfRule>
    <cfRule type="expression" dxfId="57" priority="4">
      <formula>AND($L2&lt;&gt;"", $L2&gt;30)</formula>
    </cfRule>
    <cfRule type="expression" dxfId="56" priority="5">
      <formula>AND($L2&lt;&gt;"", $L2&lt;0)</formula>
    </cfRule>
    <cfRule type="expression" dxfId="55" priority="6">
      <formula>$L2=""</formula>
    </cfRule>
  </conditionalFormatting>
  <conditionalFormatting sqref="M2:M7">
    <cfRule type="expression" dxfId="54" priority="7">
      <formula>AND($M2&lt;&gt;"", $M2&gt;=0, $M2&lt;=5)</formula>
    </cfRule>
    <cfRule type="expression" dxfId="53" priority="8">
      <formula>AND($M2&lt;&gt;"", $M2&gt;5, $M2&lt;=30)</formula>
    </cfRule>
    <cfRule type="expression" dxfId="52" priority="9">
      <formula>AND($M2&lt;&gt;"", $M2&gt;30)</formula>
    </cfRule>
    <cfRule type="expression" dxfId="51" priority="10">
      <formula>AND($M2&lt;&gt;"", $M2&lt;0)</formula>
    </cfRule>
    <cfRule type="expression" dxfId="50" priority="11">
      <formula>$M2=""</formula>
    </cfRule>
  </conditionalFormatting>
  <conditionalFormatting sqref="N2:N7">
    <cfRule type="expression" dxfId="49" priority="12">
      <formula>AND($N2&lt;&gt;"", $N2&gt;=0, $N2&lt;=5)</formula>
    </cfRule>
    <cfRule type="expression" dxfId="48" priority="13">
      <formula>AND($N2&lt;&gt;"", $N2&gt;5, $N2&lt;=30)</formula>
    </cfRule>
    <cfRule type="expression" dxfId="47" priority="14">
      <formula>AND($N2&lt;&gt;"", $N2&gt;30)</formula>
    </cfRule>
    <cfRule type="expression" dxfId="46" priority="15">
      <formula>AND($N2&lt;&gt;"", $N2&lt;0)</formula>
    </cfRule>
    <cfRule type="expression" dxfId="45" priority="16">
      <formula>$N2=""</formula>
    </cfRule>
  </conditionalFormatting>
  <conditionalFormatting sqref="O2:U7">
    <cfRule type="expression" dxfId="44" priority="17">
      <formula>AND($L2&lt;&gt;"", $L2&gt;=0, $L2&lt;=5)</formula>
    </cfRule>
    <cfRule type="expression" dxfId="43" priority="18">
      <formula>AND($L2&lt;&gt;"", $L2&gt;5, $L2&lt;=30)</formula>
    </cfRule>
    <cfRule type="expression" dxfId="42" priority="19">
      <formula>AND($L2&lt;&gt;"", $L2&gt;30)</formula>
    </cfRule>
    <cfRule type="expression" dxfId="41" priority="20">
      <formula>AND($L2&lt;&gt;"", $L2&lt;0)</formula>
    </cfRule>
    <cfRule type="expression" dxfId="40" priority="21">
      <formula>$L2=""</formula>
    </cfRule>
  </conditionalFormatting>
  <conditionalFormatting sqref="A2:AN1000">
    <cfRule type="expression" dxfId="95" priority="22">
      <formula>TRIM($A2)="PAID"</formula>
    </cfRule>
    <cfRule type="expression" dxfId="96" priority="23">
      <formula>TRIM($A2)="Finalized"</formula>
    </cfRule>
    <cfRule type="expression" dxfId="97" priority="24">
      <formula>TRIM($A2)="Received"</formula>
    </cfRule>
    <cfRule type="expression" dxfId="98" priority="25">
      <formula>TRIM($A2)="Pending"</formula>
    </cfRule>
    <cfRule type="expression" dxfId="99" priority="26">
      <formula>TRIM($A2)="Under Review"</formula>
    </cfRule>
    <cfRule type="expression" dxfId="100" priority="27">
      <formula>AND(TRIM($A2)="Denied",$K2="")</formula>
    </cfRule>
    <cfRule type="expression" dxfId="103" priority="30">
      <formula>AND(TRIM($A2)="Denied",$K2&lt;&gt;"")</formula>
    </cfRule>
    <cfRule type="expression" dxfId="101" priority="28">
      <formula>TRIM($A2)="Rejected"</formula>
    </cfRule>
    <cfRule type="expression" dxfId="102"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23"/>
  <sheetViews>
    <sheetView tabSelected="1" zoomScale="90" workbookViewId="0">
      <pane xSplit="2" ySplit="1" topLeftCell="C2" activePane="bottomRight" state="frozen"/>
      <selection pane="topRight"/>
      <selection pane="bottomLeft"/>
      <selection pane="bottomRight" activeCell="G10" sqref="G10"/>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5703125" customWidth="1"/>
    <col min="11" max="11" width="14" customWidth="1"/>
    <col min="12" max="12" width="12" customWidth="1"/>
    <col min="13" max="13" width="18.140625" customWidth="1"/>
    <col min="14" max="14" width="16.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530</v>
      </c>
      <c r="B2" s="2" t="s">
        <v>536</v>
      </c>
      <c r="C2" s="3">
        <v>46162</v>
      </c>
      <c r="D2" s="4">
        <v>559115526</v>
      </c>
      <c r="E2" s="5" t="s">
        <v>309</v>
      </c>
      <c r="F2" s="6">
        <v>46148</v>
      </c>
      <c r="G2" s="5" t="s">
        <v>310</v>
      </c>
      <c r="H2" s="5" t="s">
        <v>310</v>
      </c>
      <c r="I2" s="5" t="s">
        <v>44</v>
      </c>
      <c r="J2" s="5" t="s">
        <v>381</v>
      </c>
      <c r="K2" s="3"/>
      <c r="L2" s="12">
        <f ca="1">IF($O2="","",$O2-TODAY())</f>
        <v>-95</v>
      </c>
      <c r="M2" s="12">
        <f ca="1">IF(AND(TRIM($A2)="Finalized",$K2&lt;&gt;""),"",IF($C2="","",$C2+365-TODAY()))</f>
        <v>224</v>
      </c>
      <c r="N2" s="12">
        <f ca="1">IF(AND(TRIM($A2)="Finalized",$K2&lt;&gt;""),"",IF($C2="","",$C2+90-TODAY()))</f>
        <v>-51</v>
      </c>
      <c r="O2" s="6">
        <f>IF(AND(TRIM($A2)="Finalized",$K2&lt;&gt;""),"",DATE(2026,7,5))</f>
        <v>46208</v>
      </c>
      <c r="P2" s="5" t="s">
        <v>144</v>
      </c>
      <c r="Q2" s="5" t="s">
        <v>311</v>
      </c>
      <c r="R2" s="5" t="s">
        <v>50</v>
      </c>
      <c r="S2" s="5" t="s">
        <v>49</v>
      </c>
      <c r="T2" s="5" t="s">
        <v>46</v>
      </c>
      <c r="U2" s="5" t="s">
        <v>49</v>
      </c>
      <c r="V2" s="5"/>
      <c r="W2" s="5"/>
      <c r="X2" s="5"/>
      <c r="Y2" s="5" t="s">
        <v>51</v>
      </c>
      <c r="Z2" s="7">
        <v>7623.07</v>
      </c>
      <c r="AA2" s="7">
        <v>0</v>
      </c>
      <c r="AB2" s="7">
        <v>0</v>
      </c>
      <c r="AC2" s="6">
        <v>46162</v>
      </c>
      <c r="AD2" s="7">
        <v>7623.07</v>
      </c>
      <c r="AE2" s="4">
        <v>94</v>
      </c>
      <c r="AF2" s="5" t="s">
        <v>288</v>
      </c>
      <c r="AG2" s="5" t="s">
        <v>211</v>
      </c>
      <c r="AH2" s="5"/>
      <c r="AI2" s="5"/>
      <c r="AJ2" s="4"/>
      <c r="AK2" s="5" t="s">
        <v>387</v>
      </c>
      <c r="AL2" s="5" t="s">
        <v>357</v>
      </c>
      <c r="AM2" s="6">
        <v>46155</v>
      </c>
      <c r="AN2" s="5" t="s">
        <v>382</v>
      </c>
    </row>
    <row r="3" spans="1:40" x14ac:dyDescent="0.25">
      <c r="A3" s="2" t="s">
        <v>116</v>
      </c>
      <c r="B3" s="2" t="s">
        <v>445</v>
      </c>
      <c r="C3" s="3">
        <v>46168</v>
      </c>
      <c r="D3" s="4">
        <v>558845008</v>
      </c>
      <c r="E3" s="5" t="s">
        <v>339</v>
      </c>
      <c r="F3" s="6">
        <v>46146</v>
      </c>
      <c r="G3" s="5" t="s">
        <v>155</v>
      </c>
      <c r="H3" s="5" t="s">
        <v>155</v>
      </c>
      <c r="I3" s="5" t="s">
        <v>44</v>
      </c>
      <c r="J3" s="5" t="s">
        <v>430</v>
      </c>
      <c r="K3" s="3"/>
      <c r="L3" s="12" t="str">
        <f ca="1">IF($O3="","",$O3-TODAY())</f>
        <v/>
      </c>
      <c r="M3" s="12"/>
      <c r="N3" s="12"/>
      <c r="O3" s="6"/>
      <c r="P3" s="5"/>
      <c r="Q3" s="5" t="s">
        <v>156</v>
      </c>
      <c r="R3" s="5"/>
      <c r="S3" s="5"/>
      <c r="T3" s="5"/>
      <c r="U3" s="5"/>
      <c r="V3" s="5" t="s">
        <v>319</v>
      </c>
      <c r="W3" s="5"/>
      <c r="X3" s="5"/>
      <c r="Y3" s="5" t="s">
        <v>51</v>
      </c>
      <c r="Z3" s="7">
        <v>5614.63</v>
      </c>
      <c r="AA3" s="7">
        <v>0</v>
      </c>
      <c r="AB3" s="7">
        <v>0</v>
      </c>
      <c r="AC3" s="6"/>
      <c r="AD3" s="7">
        <v>5614.63</v>
      </c>
      <c r="AE3" s="4">
        <v>96</v>
      </c>
      <c r="AF3" s="5" t="s">
        <v>206</v>
      </c>
      <c r="AG3" s="5"/>
      <c r="AH3" s="5"/>
      <c r="AI3" s="5"/>
      <c r="AJ3" s="4"/>
      <c r="AK3" s="5" t="s">
        <v>207</v>
      </c>
      <c r="AL3" s="5" t="s">
        <v>349</v>
      </c>
      <c r="AM3" s="6">
        <v>46155</v>
      </c>
      <c r="AN3" s="5" t="s">
        <v>382</v>
      </c>
    </row>
    <row r="4" spans="1:40" x14ac:dyDescent="0.25">
      <c r="A4" s="2" t="s">
        <v>87</v>
      </c>
      <c r="B4" s="2" t="s">
        <v>379</v>
      </c>
      <c r="C4" s="3">
        <v>46170</v>
      </c>
      <c r="D4" s="4">
        <v>559356030</v>
      </c>
      <c r="E4" s="5" t="s">
        <v>380</v>
      </c>
      <c r="F4" s="6">
        <v>46156</v>
      </c>
      <c r="G4" s="5" t="s">
        <v>323</v>
      </c>
      <c r="H4" s="5" t="s">
        <v>323</v>
      </c>
      <c r="I4" s="5" t="s">
        <v>44</v>
      </c>
      <c r="J4" s="5" t="s">
        <v>381</v>
      </c>
      <c r="K4" s="3">
        <v>46247</v>
      </c>
      <c r="L4" s="12">
        <f ca="1">IF($O4="","",$O4-TODAY())</f>
        <v>-57</v>
      </c>
      <c r="M4" s="12">
        <f ca="1">IF(AND(TRIM($A4)="Finalized",$K4&lt;&gt;""),"",IF($F4="","",$F4+90-TODAY()))</f>
        <v>-57</v>
      </c>
      <c r="N4" s="12">
        <f ca="1">IF(AND(TRIM($A4)="Finalized",$K4&lt;&gt;""),"",IF($C4="","",$C4+180-TODAY()))</f>
        <v>47</v>
      </c>
      <c r="O4" s="6">
        <f>IF(AND(TRIM($A4)="Finalized",$K4&lt;&gt;""),"",DATE(2026,8,12))</f>
        <v>46246</v>
      </c>
      <c r="P4" s="5" t="s">
        <v>46</v>
      </c>
      <c r="Q4" s="5" t="s">
        <v>325</v>
      </c>
      <c r="R4" s="5" t="s">
        <v>46</v>
      </c>
      <c r="S4" s="5" t="s">
        <v>191</v>
      </c>
      <c r="T4" s="5" t="s">
        <v>48</v>
      </c>
      <c r="U4" s="5" t="s">
        <v>49</v>
      </c>
      <c r="V4" s="5"/>
      <c r="W4" s="5"/>
      <c r="X4" s="5"/>
      <c r="Y4" s="5" t="s">
        <v>51</v>
      </c>
      <c r="Z4" s="7">
        <v>7623.07</v>
      </c>
      <c r="AA4" s="7">
        <v>0</v>
      </c>
      <c r="AB4" s="7">
        <v>0</v>
      </c>
      <c r="AC4" s="6">
        <v>46170</v>
      </c>
      <c r="AD4" s="7">
        <v>7623.07</v>
      </c>
      <c r="AE4" s="4">
        <v>86</v>
      </c>
      <c r="AF4" s="5" t="s">
        <v>288</v>
      </c>
      <c r="AG4" s="5"/>
      <c r="AH4" s="5"/>
      <c r="AI4" s="5"/>
      <c r="AJ4" s="4"/>
      <c r="AK4" s="5" t="s">
        <v>162</v>
      </c>
      <c r="AL4" s="5" t="s">
        <v>357</v>
      </c>
      <c r="AM4" s="6">
        <v>46160</v>
      </c>
      <c r="AN4" s="5" t="s">
        <v>382</v>
      </c>
    </row>
    <row r="5" spans="1:40" x14ac:dyDescent="0.25">
      <c r="A5" s="2" t="s">
        <v>87</v>
      </c>
      <c r="B5" s="2" t="s">
        <v>383</v>
      </c>
      <c r="C5" s="3">
        <v>46252</v>
      </c>
      <c r="D5" s="4">
        <v>561233259</v>
      </c>
      <c r="E5" s="5" t="s">
        <v>384</v>
      </c>
      <c r="F5" s="6">
        <v>46160</v>
      </c>
      <c r="G5" s="5" t="s">
        <v>43</v>
      </c>
      <c r="H5" s="5" t="s">
        <v>43</v>
      </c>
      <c r="I5" s="5" t="s">
        <v>44</v>
      </c>
      <c r="J5" s="5" t="s">
        <v>385</v>
      </c>
      <c r="K5" s="3">
        <v>46252</v>
      </c>
      <c r="L5" s="12">
        <f ca="1">IF($O5="","",$O5-TODAY())</f>
        <v>-53</v>
      </c>
      <c r="M5" s="12">
        <f ca="1">IF(AND(TRIM($A5)="Finalized",$K5&lt;&gt;""),"",IF($C5="","",$C5+180-TODAY()))</f>
        <v>129</v>
      </c>
      <c r="N5" s="12">
        <f ca="1">IF(AND(TRIM($A5)="Finalized",$K5&lt;&gt;""),"",IF($C5="","",$C5+365-TODAY()))</f>
        <v>314</v>
      </c>
      <c r="O5" s="6">
        <f>IF(AND(TRIM($A5)="Finalized",$K5&lt;&gt;""),"",DATE(2026,8,16))</f>
        <v>46250</v>
      </c>
      <c r="P5" s="5" t="s">
        <v>46</v>
      </c>
      <c r="Q5" s="5" t="s">
        <v>47</v>
      </c>
      <c r="R5" s="5" t="s">
        <v>48</v>
      </c>
      <c r="S5" s="5" t="s">
        <v>49</v>
      </c>
      <c r="T5" s="5" t="s">
        <v>50</v>
      </c>
      <c r="U5" s="5" t="s">
        <v>49</v>
      </c>
      <c r="V5" s="5"/>
      <c r="W5" s="5"/>
      <c r="X5" s="5"/>
      <c r="Y5" s="5" t="s">
        <v>51</v>
      </c>
      <c r="Z5" s="7">
        <v>9056.39</v>
      </c>
      <c r="AA5" s="7">
        <v>0</v>
      </c>
      <c r="AB5" s="7">
        <v>0</v>
      </c>
      <c r="AC5" s="6"/>
      <c r="AD5" s="7">
        <v>9056.39</v>
      </c>
      <c r="AE5" s="4">
        <v>82</v>
      </c>
      <c r="AF5" s="5" t="s">
        <v>211</v>
      </c>
      <c r="AG5" s="5" t="s">
        <v>249</v>
      </c>
      <c r="AH5" s="5" t="s">
        <v>386</v>
      </c>
      <c r="AI5" s="5"/>
      <c r="AJ5" s="4"/>
      <c r="AK5" s="5" t="s">
        <v>387</v>
      </c>
      <c r="AL5" s="5" t="s">
        <v>357</v>
      </c>
      <c r="AM5" s="6">
        <v>46177</v>
      </c>
      <c r="AN5" s="5" t="s">
        <v>382</v>
      </c>
    </row>
    <row r="6" spans="1:40" x14ac:dyDescent="0.25">
      <c r="A6" s="2" t="s">
        <v>87</v>
      </c>
      <c r="B6" s="2" t="s">
        <v>391</v>
      </c>
      <c r="C6" s="3">
        <v>46242</v>
      </c>
      <c r="D6" s="4">
        <v>561246589</v>
      </c>
      <c r="E6" s="5" t="s">
        <v>392</v>
      </c>
      <c r="F6" s="6">
        <v>46163</v>
      </c>
      <c r="G6" s="5" t="s">
        <v>71</v>
      </c>
      <c r="H6" s="5" t="s">
        <v>71</v>
      </c>
      <c r="I6" s="5" t="s">
        <v>44</v>
      </c>
      <c r="J6" s="5" t="s">
        <v>393</v>
      </c>
      <c r="K6" s="3">
        <v>46245</v>
      </c>
      <c r="L6" s="12">
        <f ca="1">IF($O6="","",$O6-TODAY())</f>
        <v>-50</v>
      </c>
      <c r="M6" s="12">
        <f ca="1">IF(AND(TRIM($A6)="Finalized",$K6&lt;&gt;""),"",IF($C6="","",$C6+180-TODAY()))</f>
        <v>119</v>
      </c>
      <c r="N6" s="12">
        <f ca="1">IF(AND(TRIM($A6)="Finalized",$K6&lt;&gt;""),"",IF($C6="","",$C6+365-TODAY()))</f>
        <v>304</v>
      </c>
      <c r="O6" s="6">
        <f>IF(AND(TRIM($A6)="Finalized",$K6&lt;&gt;""),"",DATE(2026,8,19))</f>
        <v>46253</v>
      </c>
      <c r="P6" s="5" t="s">
        <v>46</v>
      </c>
      <c r="Q6" s="5" t="s">
        <v>73</v>
      </c>
      <c r="R6" s="5" t="s">
        <v>48</v>
      </c>
      <c r="S6" s="5" t="s">
        <v>49</v>
      </c>
      <c r="T6" s="5" t="s">
        <v>50</v>
      </c>
      <c r="U6" s="5" t="s">
        <v>49</v>
      </c>
      <c r="V6" s="5" t="s">
        <v>319</v>
      </c>
      <c r="W6" s="5"/>
      <c r="X6" s="5"/>
      <c r="Y6" s="5" t="s">
        <v>51</v>
      </c>
      <c r="Z6" s="7">
        <v>6297.27</v>
      </c>
      <c r="AA6" s="7">
        <v>0</v>
      </c>
      <c r="AB6" s="7">
        <v>0</v>
      </c>
      <c r="AC6" s="6">
        <v>46183</v>
      </c>
      <c r="AD6" s="7">
        <v>6297.27</v>
      </c>
      <c r="AE6" s="4">
        <v>79</v>
      </c>
      <c r="AF6" s="5" t="s">
        <v>394</v>
      </c>
      <c r="AG6" s="5" t="s">
        <v>282</v>
      </c>
      <c r="AH6" s="5" t="s">
        <v>395</v>
      </c>
      <c r="AI6" s="5"/>
      <c r="AJ6" s="4"/>
      <c r="AK6" s="5" t="s">
        <v>202</v>
      </c>
      <c r="AL6" s="5" t="s">
        <v>357</v>
      </c>
      <c r="AM6" s="6">
        <v>46177</v>
      </c>
      <c r="AN6" s="5" t="s">
        <v>382</v>
      </c>
    </row>
    <row r="7" spans="1:40" x14ac:dyDescent="0.25">
      <c r="A7" s="2" t="s">
        <v>87</v>
      </c>
      <c r="B7" s="2" t="s">
        <v>400</v>
      </c>
      <c r="C7" s="3">
        <v>46219</v>
      </c>
      <c r="D7" s="4">
        <v>563202144</v>
      </c>
      <c r="E7" s="5" t="s">
        <v>401</v>
      </c>
      <c r="F7" s="6">
        <v>46169</v>
      </c>
      <c r="G7" s="5" t="s">
        <v>43</v>
      </c>
      <c r="H7" s="5" t="s">
        <v>43</v>
      </c>
      <c r="I7" s="5" t="s">
        <v>44</v>
      </c>
      <c r="J7" s="5" t="s">
        <v>402</v>
      </c>
      <c r="K7" s="3">
        <v>46250</v>
      </c>
      <c r="L7" s="12">
        <f ca="1">IF($O7="","",$O7-TODAY())</f>
        <v>-44</v>
      </c>
      <c r="M7" s="12">
        <f ca="1">IF(AND(TRIM($A7)="Finalized",$K7&lt;&gt;""),"",IF($C7="","",$C7+180-TODAY()))</f>
        <v>96</v>
      </c>
      <c r="N7" s="12">
        <f ca="1">IF(AND(TRIM($A7)="Finalized",$K7&lt;&gt;""),"",IF($C7="","",$C7+365-TODAY()))</f>
        <v>281</v>
      </c>
      <c r="O7" s="6">
        <f>IF(AND(TRIM($A7)="Finalized",$K7&lt;&gt;""),"",DATE(2026,8,25))</f>
        <v>46259</v>
      </c>
      <c r="P7" s="5" t="s">
        <v>46</v>
      </c>
      <c r="Q7" s="5" t="s">
        <v>47</v>
      </c>
      <c r="R7" s="5" t="s">
        <v>48</v>
      </c>
      <c r="S7" s="5" t="s">
        <v>49</v>
      </c>
      <c r="T7" s="5" t="s">
        <v>50</v>
      </c>
      <c r="U7" s="5" t="s">
        <v>49</v>
      </c>
      <c r="V7" s="5"/>
      <c r="W7" s="5"/>
      <c r="X7" s="5"/>
      <c r="Y7" s="5" t="s">
        <v>51</v>
      </c>
      <c r="Z7" s="7">
        <v>11163.74</v>
      </c>
      <c r="AA7" s="7">
        <v>0</v>
      </c>
      <c r="AB7" s="7">
        <v>0</v>
      </c>
      <c r="AC7" s="6">
        <v>46219</v>
      </c>
      <c r="AD7" s="7">
        <v>11163.74</v>
      </c>
      <c r="AE7" s="4">
        <v>73</v>
      </c>
      <c r="AF7" s="5" t="s">
        <v>201</v>
      </c>
      <c r="AG7" s="5" t="s">
        <v>403</v>
      </c>
      <c r="AH7" s="5" t="s">
        <v>404</v>
      </c>
      <c r="AI7" s="5" t="s">
        <v>405</v>
      </c>
      <c r="AJ7" s="4"/>
      <c r="AK7" s="5" t="s">
        <v>140</v>
      </c>
      <c r="AL7" s="5" t="s">
        <v>357</v>
      </c>
      <c r="AM7" s="6">
        <v>46177</v>
      </c>
      <c r="AN7" s="5" t="s">
        <v>382</v>
      </c>
    </row>
    <row r="8" spans="1:40" x14ac:dyDescent="0.25">
      <c r="A8" s="2" t="s">
        <v>87</v>
      </c>
      <c r="B8" s="2" t="s">
        <v>406</v>
      </c>
      <c r="C8" s="3">
        <v>46189</v>
      </c>
      <c r="D8" s="4">
        <v>561591684</v>
      </c>
      <c r="E8" s="5" t="s">
        <v>407</v>
      </c>
      <c r="F8" s="6">
        <v>46143</v>
      </c>
      <c r="G8" s="5" t="s">
        <v>408</v>
      </c>
      <c r="H8" s="5" t="s">
        <v>408</v>
      </c>
      <c r="I8" s="5" t="s">
        <v>44</v>
      </c>
      <c r="J8" s="5" t="s">
        <v>409</v>
      </c>
      <c r="K8" s="3">
        <v>46250</v>
      </c>
      <c r="L8" s="12">
        <f ca="1">IF($O8="","",$O8-TODAY())</f>
        <v>-40</v>
      </c>
      <c r="M8" s="12">
        <f ca="1">IF(AND(TRIM($A8)="Finalized",$K8&lt;&gt;""),"",IF($C8="","",$C8+180-TODAY()))</f>
        <v>66</v>
      </c>
      <c r="N8" s="12">
        <f ca="1">IF(AND(TRIM($A8)="Finalized",$K8&lt;&gt;""),"",IF($C8="","",$C8+180-TODAY()))</f>
        <v>66</v>
      </c>
      <c r="O8" s="6">
        <f>IF(AND(TRIM($A8)="Finalized",$K8&lt;&gt;""),"",DATE(2026,8,29))</f>
        <v>46263</v>
      </c>
      <c r="P8" s="5" t="s">
        <v>103</v>
      </c>
      <c r="Q8" s="5" t="s">
        <v>108</v>
      </c>
      <c r="R8" s="5" t="s">
        <v>48</v>
      </c>
      <c r="S8" s="5" t="s">
        <v>49</v>
      </c>
      <c r="T8" s="5" t="s">
        <v>48</v>
      </c>
      <c r="U8" s="5" t="s">
        <v>49</v>
      </c>
      <c r="V8" s="5" t="s">
        <v>302</v>
      </c>
      <c r="W8" s="5"/>
      <c r="X8" s="5"/>
      <c r="Y8" s="5" t="s">
        <v>51</v>
      </c>
      <c r="Z8" s="7">
        <v>5614.63</v>
      </c>
      <c r="AA8" s="7">
        <v>0</v>
      </c>
      <c r="AB8" s="7">
        <v>0</v>
      </c>
      <c r="AC8" s="6">
        <v>46189</v>
      </c>
      <c r="AD8" s="7">
        <v>5614.63</v>
      </c>
      <c r="AE8" s="4">
        <v>99</v>
      </c>
      <c r="AF8" s="5" t="s">
        <v>206</v>
      </c>
      <c r="AG8" s="5"/>
      <c r="AH8" s="5"/>
      <c r="AI8" s="5"/>
      <c r="AJ8" s="4"/>
      <c r="AK8" s="5" t="s">
        <v>85</v>
      </c>
      <c r="AL8" s="5" t="s">
        <v>54</v>
      </c>
      <c r="AM8" s="6">
        <v>46181</v>
      </c>
      <c r="AN8" s="5" t="s">
        <v>382</v>
      </c>
    </row>
    <row r="9" spans="1:40" x14ac:dyDescent="0.25">
      <c r="A9" s="2" t="s">
        <v>40</v>
      </c>
      <c r="B9" s="2" t="s">
        <v>220</v>
      </c>
      <c r="C9" s="3">
        <v>46184</v>
      </c>
      <c r="D9" s="4">
        <v>568765283</v>
      </c>
      <c r="E9" s="5" t="s">
        <v>221</v>
      </c>
      <c r="F9" s="6">
        <v>46156</v>
      </c>
      <c r="G9" s="5" t="s">
        <v>222</v>
      </c>
      <c r="H9" s="5" t="s">
        <v>222</v>
      </c>
      <c r="I9" s="5" t="s">
        <v>44</v>
      </c>
      <c r="J9" s="5" t="s">
        <v>415</v>
      </c>
      <c r="K9" s="3">
        <v>46250</v>
      </c>
      <c r="L9" s="12">
        <f ca="1">IF($O9="","",$O9-TODAY())</f>
        <v>-27</v>
      </c>
      <c r="M9" s="12">
        <f ca="1">IF(AND(TRIM($A9)="Finalized",$K9&lt;&gt;""),"",IF($C9="","",$C9+365-TODAY()))</f>
        <v>246</v>
      </c>
      <c r="N9" s="12">
        <f ca="1">IF(AND(TRIM($A9)="Finalized",$K9&lt;&gt;""),"",IF($C9="","",$C9+90-TODAY()))</f>
        <v>-29</v>
      </c>
      <c r="O9" s="6">
        <f>IF(AND(TRIM($A9)="Finalized",$K9&lt;&gt;""),"",DATE(2026,9,11))</f>
        <v>46276</v>
      </c>
      <c r="P9" s="5" t="s">
        <v>103</v>
      </c>
      <c r="Q9" s="5" t="s">
        <v>224</v>
      </c>
      <c r="R9" s="5" t="s">
        <v>50</v>
      </c>
      <c r="S9" s="5" t="s">
        <v>49</v>
      </c>
      <c r="T9" s="5" t="s">
        <v>46</v>
      </c>
      <c r="U9" s="5" t="s">
        <v>49</v>
      </c>
      <c r="V9" s="5"/>
      <c r="W9" s="5"/>
      <c r="X9" s="5"/>
      <c r="Y9" s="5" t="s">
        <v>51</v>
      </c>
      <c r="Z9" s="7">
        <v>8277.57</v>
      </c>
      <c r="AA9" s="7">
        <v>0</v>
      </c>
      <c r="AB9" s="7">
        <v>0</v>
      </c>
      <c r="AC9" s="6">
        <v>46184</v>
      </c>
      <c r="AD9" s="7">
        <v>8277.57</v>
      </c>
      <c r="AE9" s="4">
        <v>86</v>
      </c>
      <c r="AF9" s="5" t="s">
        <v>225</v>
      </c>
      <c r="AG9" s="5" t="s">
        <v>416</v>
      </c>
      <c r="AH9" s="5"/>
      <c r="AI9" s="5"/>
      <c r="AJ9" s="4"/>
      <c r="AK9" s="5" t="s">
        <v>202</v>
      </c>
      <c r="AL9" s="5" t="s">
        <v>357</v>
      </c>
      <c r="AM9" s="6">
        <v>46161</v>
      </c>
      <c r="AN9" s="5" t="s">
        <v>382</v>
      </c>
    </row>
    <row r="10" spans="1:40" x14ac:dyDescent="0.25">
      <c r="A10" s="2" t="s">
        <v>87</v>
      </c>
      <c r="B10" s="2" t="s">
        <v>420</v>
      </c>
      <c r="C10" s="3">
        <v>46157</v>
      </c>
      <c r="D10" s="4">
        <v>558809263</v>
      </c>
      <c r="E10" s="5" t="s">
        <v>421</v>
      </c>
      <c r="F10" s="6">
        <v>46143</v>
      </c>
      <c r="G10" s="5" t="s">
        <v>118</v>
      </c>
      <c r="H10" s="5" t="s">
        <v>118</v>
      </c>
      <c r="I10" s="5" t="s">
        <v>125</v>
      </c>
      <c r="J10" s="5" t="s">
        <v>422</v>
      </c>
      <c r="K10" s="3">
        <v>46246</v>
      </c>
      <c r="L10" s="12">
        <f ca="1">IF($O10="","",$O10-TODAY())</f>
        <v>205</v>
      </c>
      <c r="M10" s="12">
        <f ca="1">IF(AND(TRIM($A10)="Finalized",$K10&lt;&gt;""),"",IF($C10="","",$C10+365-TODAY()))</f>
        <v>219</v>
      </c>
      <c r="N10" s="12">
        <f ca="1">IF(AND(TRIM($A10)="Finalized",$K10&lt;&gt;""),"",IF($C10="","",$C10+120-TODAY()))</f>
        <v>-26</v>
      </c>
      <c r="O10" s="6">
        <f>IF(AND(TRIM($A10)="Finalized",$K10&lt;&gt;""),"",DATE(2027,5,1))</f>
        <v>46508</v>
      </c>
      <c r="P10" s="5" t="s">
        <v>50</v>
      </c>
      <c r="Q10" s="5" t="s">
        <v>121</v>
      </c>
      <c r="R10" s="5" t="s">
        <v>50</v>
      </c>
      <c r="S10" s="5" t="s">
        <v>49</v>
      </c>
      <c r="T10" s="5" t="s">
        <v>103</v>
      </c>
      <c r="U10" s="5" t="s">
        <v>49</v>
      </c>
      <c r="V10" s="5" t="s">
        <v>302</v>
      </c>
      <c r="W10" s="5"/>
      <c r="X10" s="5"/>
      <c r="Y10" s="5" t="s">
        <v>51</v>
      </c>
      <c r="Z10" s="7">
        <v>7623.07</v>
      </c>
      <c r="AA10" s="7">
        <v>0</v>
      </c>
      <c r="AB10" s="7">
        <v>0</v>
      </c>
      <c r="AC10" s="6">
        <v>46157</v>
      </c>
      <c r="AD10" s="7">
        <v>7623.07</v>
      </c>
      <c r="AE10" s="4">
        <v>99</v>
      </c>
      <c r="AF10" s="5" t="s">
        <v>288</v>
      </c>
      <c r="AG10" s="5"/>
      <c r="AH10" s="5"/>
      <c r="AI10" s="5"/>
      <c r="AJ10" s="4"/>
      <c r="AK10" s="5" t="s">
        <v>85</v>
      </c>
      <c r="AL10" s="5" t="s">
        <v>357</v>
      </c>
      <c r="AM10" s="6">
        <v>46155</v>
      </c>
      <c r="AN10" s="5" t="s">
        <v>382</v>
      </c>
    </row>
    <row r="11" spans="1:40" x14ac:dyDescent="0.25">
      <c r="A11" s="2" t="s">
        <v>87</v>
      </c>
      <c r="B11" s="2" t="s">
        <v>423</v>
      </c>
      <c r="C11" s="3">
        <v>46161</v>
      </c>
      <c r="D11" s="4">
        <v>569308141</v>
      </c>
      <c r="E11" s="5" t="s">
        <v>266</v>
      </c>
      <c r="F11" s="6">
        <v>46146</v>
      </c>
      <c r="G11" s="5" t="s">
        <v>118</v>
      </c>
      <c r="H11" s="5" t="s">
        <v>118</v>
      </c>
      <c r="I11" s="5" t="s">
        <v>131</v>
      </c>
      <c r="J11" s="5" t="s">
        <v>390</v>
      </c>
      <c r="K11" s="3">
        <v>46254</v>
      </c>
      <c r="L11" s="12">
        <f ca="1">IF($O11="","",$O11-TODAY())</f>
        <v>208</v>
      </c>
      <c r="M11" s="12">
        <f ca="1">IF(AND(TRIM($A11)="Finalized",$K11&lt;&gt;""),"",IF($C11="","",$C11+365-TODAY()))</f>
        <v>223</v>
      </c>
      <c r="N11" s="12">
        <f ca="1">IF(AND(TRIM($A11)="Finalized",$K11&lt;&gt;""),"",IF($C11="","",$C11+120-TODAY()))</f>
        <v>-22</v>
      </c>
      <c r="O11" s="6">
        <f>IF(AND(TRIM($A11)="Finalized",$K11&lt;&gt;""),"",DATE(2027,5,4))</f>
        <v>46511</v>
      </c>
      <c r="P11" s="5" t="s">
        <v>50</v>
      </c>
      <c r="Q11" s="5" t="s">
        <v>121</v>
      </c>
      <c r="R11" s="5" t="s">
        <v>50</v>
      </c>
      <c r="S11" s="5" t="s">
        <v>49</v>
      </c>
      <c r="T11" s="5" t="s">
        <v>103</v>
      </c>
      <c r="U11" s="5" t="s">
        <v>49</v>
      </c>
      <c r="V11" s="5"/>
      <c r="W11" s="5"/>
      <c r="X11" s="5"/>
      <c r="Y11" s="5" t="s">
        <v>51</v>
      </c>
      <c r="Z11" s="7">
        <v>2493.33</v>
      </c>
      <c r="AA11" s="7">
        <v>0</v>
      </c>
      <c r="AB11" s="7">
        <v>0</v>
      </c>
      <c r="AC11" s="6">
        <v>46161</v>
      </c>
      <c r="AD11" s="7">
        <v>2493.33</v>
      </c>
      <c r="AE11" s="4">
        <v>96</v>
      </c>
      <c r="AF11" s="5" t="s">
        <v>424</v>
      </c>
      <c r="AG11" s="5" t="s">
        <v>425</v>
      </c>
      <c r="AH11" s="5" t="s">
        <v>225</v>
      </c>
      <c r="AI11" s="5" t="s">
        <v>267</v>
      </c>
      <c r="AJ11" s="4"/>
      <c r="AK11" s="5" t="s">
        <v>207</v>
      </c>
      <c r="AL11" s="5" t="s">
        <v>349</v>
      </c>
      <c r="AM11" s="6">
        <v>46155</v>
      </c>
      <c r="AN11" s="5" t="s">
        <v>382</v>
      </c>
    </row>
    <row r="12" spans="1:40" x14ac:dyDescent="0.25">
      <c r="A12" s="2" t="s">
        <v>87</v>
      </c>
      <c r="B12" s="2" t="s">
        <v>426</v>
      </c>
      <c r="C12" s="3">
        <v>46245</v>
      </c>
      <c r="D12" s="4">
        <v>559152944</v>
      </c>
      <c r="E12" s="5" t="s">
        <v>271</v>
      </c>
      <c r="F12" s="6">
        <v>46153</v>
      </c>
      <c r="G12" s="5" t="s">
        <v>118</v>
      </c>
      <c r="H12" s="5" t="s">
        <v>118</v>
      </c>
      <c r="I12" s="5" t="s">
        <v>272</v>
      </c>
      <c r="J12" s="5" t="s">
        <v>427</v>
      </c>
      <c r="K12" s="3">
        <v>46259</v>
      </c>
      <c r="L12" s="12">
        <f ca="1">IF($O12="","",$O12-TODAY())</f>
        <v>215</v>
      </c>
      <c r="M12" s="12">
        <f ca="1">IF(AND(TRIM($A12)="Finalized",$K12&lt;&gt;""),"",IF($C12="","",$C12+365-TODAY()))</f>
        <v>307</v>
      </c>
      <c r="N12" s="12">
        <f ca="1">IF(AND(TRIM($A12)="Finalized",$K12&lt;&gt;""),"",IF($C12="","",$C12+120-TODAY()))</f>
        <v>62</v>
      </c>
      <c r="O12" s="6">
        <f>IF(AND(TRIM($A12)="Finalized",$K12&lt;&gt;""),"",DATE(2027,5,11))</f>
        <v>46518</v>
      </c>
      <c r="P12" s="5" t="s">
        <v>50</v>
      </c>
      <c r="Q12" s="5" t="s">
        <v>121</v>
      </c>
      <c r="R12" s="5" t="s">
        <v>50</v>
      </c>
      <c r="S12" s="5" t="s">
        <v>49</v>
      </c>
      <c r="T12" s="5" t="s">
        <v>103</v>
      </c>
      <c r="U12" s="5" t="s">
        <v>49</v>
      </c>
      <c r="V12" s="5"/>
      <c r="W12" s="5"/>
      <c r="X12" s="5"/>
      <c r="Y12" s="5" t="s">
        <v>51</v>
      </c>
      <c r="Z12" s="7">
        <v>5784.24</v>
      </c>
      <c r="AA12" s="7">
        <v>0</v>
      </c>
      <c r="AB12" s="7">
        <v>0</v>
      </c>
      <c r="AC12" s="6">
        <v>46160</v>
      </c>
      <c r="AD12" s="7">
        <v>5784.24</v>
      </c>
      <c r="AE12" s="4">
        <v>89</v>
      </c>
      <c r="AF12" s="5" t="s">
        <v>193</v>
      </c>
      <c r="AG12" s="5"/>
      <c r="AH12" s="5"/>
      <c r="AI12" s="5"/>
      <c r="AJ12" s="4"/>
      <c r="AK12" s="5" t="s">
        <v>202</v>
      </c>
      <c r="AL12" s="5" t="s">
        <v>357</v>
      </c>
      <c r="AM12" s="6">
        <v>46156</v>
      </c>
      <c r="AN12" s="5" t="s">
        <v>382</v>
      </c>
    </row>
    <row r="13" spans="1:40" x14ac:dyDescent="0.25">
      <c r="A13" s="2" t="s">
        <v>87</v>
      </c>
      <c r="B13" s="2" t="s">
        <v>428</v>
      </c>
      <c r="C13" s="3">
        <v>46168</v>
      </c>
      <c r="D13" s="4">
        <v>559435670</v>
      </c>
      <c r="E13" s="5" t="s">
        <v>429</v>
      </c>
      <c r="F13" s="6">
        <v>46155</v>
      </c>
      <c r="G13" s="5" t="s">
        <v>118</v>
      </c>
      <c r="H13" s="5" t="s">
        <v>118</v>
      </c>
      <c r="I13" s="5" t="s">
        <v>44</v>
      </c>
      <c r="J13" s="5" t="s">
        <v>430</v>
      </c>
      <c r="K13" s="3">
        <v>46259</v>
      </c>
      <c r="L13" s="12">
        <f ca="1">IF($O13="","",$O13-TODAY())</f>
        <v>217</v>
      </c>
      <c r="M13" s="12">
        <f ca="1">IF(AND(TRIM($A13)="Finalized",$K13&lt;&gt;""),"",IF($C13="","",$C13+365-TODAY()))</f>
        <v>230</v>
      </c>
      <c r="N13" s="12">
        <f ca="1">IF(AND(TRIM($A13)="Finalized",$K13&lt;&gt;""),"",IF($C13="","",$C13+120-TODAY()))</f>
        <v>-15</v>
      </c>
      <c r="O13" s="6">
        <f>IF(AND(TRIM($A13)="Finalized",$K13&lt;&gt;""),"",DATE(2027,5,13))</f>
        <v>46520</v>
      </c>
      <c r="P13" s="5" t="s">
        <v>50</v>
      </c>
      <c r="Q13" s="5" t="s">
        <v>121</v>
      </c>
      <c r="R13" s="5" t="s">
        <v>50</v>
      </c>
      <c r="S13" s="5" t="s">
        <v>49</v>
      </c>
      <c r="T13" s="5" t="s">
        <v>103</v>
      </c>
      <c r="U13" s="5" t="s">
        <v>49</v>
      </c>
      <c r="V13" s="5" t="s">
        <v>319</v>
      </c>
      <c r="W13" s="5"/>
      <c r="X13" s="5"/>
      <c r="Y13" s="5" t="s">
        <v>51</v>
      </c>
      <c r="Z13" s="7">
        <v>5614.63</v>
      </c>
      <c r="AA13" s="7">
        <v>0</v>
      </c>
      <c r="AB13" s="7">
        <v>0</v>
      </c>
      <c r="AC13" s="6">
        <v>46168</v>
      </c>
      <c r="AD13" s="7">
        <v>5614.63</v>
      </c>
      <c r="AE13" s="4">
        <v>87</v>
      </c>
      <c r="AF13" s="5" t="s">
        <v>206</v>
      </c>
      <c r="AG13" s="5"/>
      <c r="AH13" s="5"/>
      <c r="AI13" s="5"/>
      <c r="AJ13" s="4"/>
      <c r="AK13" s="5" t="s">
        <v>207</v>
      </c>
      <c r="AL13" s="5" t="s">
        <v>349</v>
      </c>
      <c r="AM13" s="6">
        <v>46160</v>
      </c>
      <c r="AN13" s="5" t="s">
        <v>382</v>
      </c>
    </row>
    <row r="14" spans="1:40" x14ac:dyDescent="0.25">
      <c r="A14" s="2" t="s">
        <v>87</v>
      </c>
      <c r="B14" s="2" t="s">
        <v>423</v>
      </c>
      <c r="C14" s="3">
        <v>46168</v>
      </c>
      <c r="D14" s="4">
        <v>559339992</v>
      </c>
      <c r="E14" s="5" t="s">
        <v>431</v>
      </c>
      <c r="F14" s="6">
        <v>46157</v>
      </c>
      <c r="G14" s="5" t="s">
        <v>118</v>
      </c>
      <c r="H14" s="5" t="s">
        <v>118</v>
      </c>
      <c r="I14" s="5" t="s">
        <v>272</v>
      </c>
      <c r="J14" s="5" t="s">
        <v>390</v>
      </c>
      <c r="K14" s="3">
        <v>46259</v>
      </c>
      <c r="L14" s="12">
        <f ca="1">IF($O14="","",$O14-TODAY())</f>
        <v>219</v>
      </c>
      <c r="M14" s="12">
        <f ca="1">IF(AND(TRIM($A14)="Finalized",$K14&lt;&gt;""),"",IF($C14="","",$C14+365-TODAY()))</f>
        <v>230</v>
      </c>
      <c r="N14" s="12">
        <f ca="1">IF(AND(TRIM($A14)="Finalized",$K14&lt;&gt;""),"",IF($C14="","",$C14+120-TODAY()))</f>
        <v>-15</v>
      </c>
      <c r="O14" s="6">
        <f>IF(AND(TRIM($A14)="Finalized",$K14&lt;&gt;""),"",DATE(2027,5,15))</f>
        <v>46522</v>
      </c>
      <c r="P14" s="5" t="s">
        <v>50</v>
      </c>
      <c r="Q14" s="5" t="s">
        <v>121</v>
      </c>
      <c r="R14" s="5" t="s">
        <v>50</v>
      </c>
      <c r="S14" s="5" t="s">
        <v>49</v>
      </c>
      <c r="T14" s="5" t="s">
        <v>103</v>
      </c>
      <c r="U14" s="5" t="s">
        <v>49</v>
      </c>
      <c r="V14" s="5"/>
      <c r="W14" s="5"/>
      <c r="X14" s="5"/>
      <c r="Y14" s="5" t="s">
        <v>51</v>
      </c>
      <c r="Z14" s="7">
        <v>2493.33</v>
      </c>
      <c r="AA14" s="7">
        <v>0</v>
      </c>
      <c r="AB14" s="7">
        <v>0</v>
      </c>
      <c r="AC14" s="6">
        <v>46168</v>
      </c>
      <c r="AD14" s="7">
        <v>2493.33</v>
      </c>
      <c r="AE14" s="4">
        <v>85</v>
      </c>
      <c r="AF14" s="5" t="s">
        <v>225</v>
      </c>
      <c r="AG14" s="5" t="s">
        <v>211</v>
      </c>
      <c r="AH14" s="5" t="s">
        <v>174</v>
      </c>
      <c r="AI14" s="5"/>
      <c r="AJ14" s="4"/>
      <c r="AK14" s="5" t="s">
        <v>76</v>
      </c>
      <c r="AL14" s="5" t="s">
        <v>357</v>
      </c>
      <c r="AM14" s="6">
        <v>46160</v>
      </c>
      <c r="AN14" s="5" t="s">
        <v>382</v>
      </c>
    </row>
    <row r="15" spans="1:40" x14ac:dyDescent="0.25">
      <c r="A15" s="2" t="s">
        <v>40</v>
      </c>
      <c r="B15" s="2" t="s">
        <v>432</v>
      </c>
      <c r="C15" s="3">
        <v>46189</v>
      </c>
      <c r="D15" s="4">
        <v>560691343</v>
      </c>
      <c r="E15" s="5" t="s">
        <v>433</v>
      </c>
      <c r="F15" s="6">
        <v>46171</v>
      </c>
      <c r="G15" s="5" t="s">
        <v>43</v>
      </c>
      <c r="H15" s="5" t="s">
        <v>118</v>
      </c>
      <c r="I15" s="5" t="s">
        <v>43</v>
      </c>
      <c r="J15" s="5" t="s">
        <v>390</v>
      </c>
      <c r="K15" s="3">
        <v>46256</v>
      </c>
      <c r="L15" s="12">
        <f ca="1">IF($O15="","",$O15-TODAY())</f>
        <v>233</v>
      </c>
      <c r="M15" s="12">
        <f ca="1">IF(AND(TRIM($A15)="Finalized",$K15&lt;&gt;""),"",IF($C15="","",$C15+365-TODAY()))</f>
        <v>251</v>
      </c>
      <c r="N15" s="12">
        <f ca="1">IF(AND(TRIM($A15)="Finalized",$K15&lt;&gt;""),"",IF($C15="","",$C15+120-TODAY()))</f>
        <v>6</v>
      </c>
      <c r="O15" s="6">
        <f>IF(AND(TRIM($A15)="Finalized",$K15&lt;&gt;""),"",DATE(2027,5,29))</f>
        <v>46536</v>
      </c>
      <c r="P15" s="5" t="s">
        <v>50</v>
      </c>
      <c r="Q15" s="5" t="s">
        <v>121</v>
      </c>
      <c r="R15" s="5" t="s">
        <v>50</v>
      </c>
      <c r="S15" s="5" t="s">
        <v>49</v>
      </c>
      <c r="T15" s="5" t="s">
        <v>103</v>
      </c>
      <c r="U15" s="5" t="s">
        <v>49</v>
      </c>
      <c r="V15" s="5"/>
      <c r="W15" s="5"/>
      <c r="X15" s="5"/>
      <c r="Y15" s="5" t="s">
        <v>51</v>
      </c>
      <c r="Z15" s="7">
        <v>2493.33</v>
      </c>
      <c r="AA15" s="7">
        <v>2351.73</v>
      </c>
      <c r="AB15" s="7">
        <v>110.6</v>
      </c>
      <c r="AC15" s="6">
        <v>46189</v>
      </c>
      <c r="AD15" s="7">
        <v>31</v>
      </c>
      <c r="AE15" s="4">
        <v>71</v>
      </c>
      <c r="AF15" s="5" t="s">
        <v>193</v>
      </c>
      <c r="AG15" s="5" t="s">
        <v>434</v>
      </c>
      <c r="AH15" s="5"/>
      <c r="AI15" s="5"/>
      <c r="AJ15" s="4">
        <v>563761052</v>
      </c>
      <c r="AK15" s="5" t="s">
        <v>97</v>
      </c>
      <c r="AL15" s="5" t="s">
        <v>349</v>
      </c>
      <c r="AM15" s="6">
        <v>46175</v>
      </c>
      <c r="AN15" s="5" t="s">
        <v>382</v>
      </c>
    </row>
    <row r="16" spans="1:40" x14ac:dyDescent="0.25">
      <c r="A16" s="2" t="s">
        <v>87</v>
      </c>
      <c r="B16" s="2" t="s">
        <v>435</v>
      </c>
      <c r="C16" s="3">
        <v>46170</v>
      </c>
      <c r="D16" s="4">
        <v>558165481</v>
      </c>
      <c r="E16" s="5" t="s">
        <v>436</v>
      </c>
      <c r="F16" s="6">
        <v>46146</v>
      </c>
      <c r="G16" s="5" t="s">
        <v>437</v>
      </c>
      <c r="H16" s="5" t="s">
        <v>437</v>
      </c>
      <c r="I16" s="5" t="s">
        <v>44</v>
      </c>
      <c r="J16" s="5" t="s">
        <v>381</v>
      </c>
      <c r="K16" s="3">
        <v>46256</v>
      </c>
      <c r="L16" s="12">
        <f ca="1">IF($O16="","",$O16-TODAY())</f>
        <v>-67</v>
      </c>
      <c r="M16" s="12">
        <f ca="1">IF(AND(TRIM($A16)="Finalized",$K16&lt;&gt;""),"",IF($C16="","",$C16+180-TODAY()))</f>
        <v>47</v>
      </c>
      <c r="N16" s="12">
        <f ca="1">IF(AND(TRIM($A16)="Finalized",$K16&lt;&gt;""),"",IF($C16="","",$C16+365-TODAY()))</f>
        <v>232</v>
      </c>
      <c r="O16" s="6">
        <f>IF(AND(TRIM($A16)="Finalized",$K16&lt;&gt;""),"",DATE(2026,8,2))</f>
        <v>46236</v>
      </c>
      <c r="P16" s="5" t="s">
        <v>46</v>
      </c>
      <c r="Q16" s="5" t="s">
        <v>438</v>
      </c>
      <c r="R16" s="5" t="s">
        <v>48</v>
      </c>
      <c r="S16" s="5" t="s">
        <v>49</v>
      </c>
      <c r="T16" s="5" t="s">
        <v>50</v>
      </c>
      <c r="U16" s="5" t="s">
        <v>49</v>
      </c>
      <c r="V16" s="5"/>
      <c r="W16" s="5"/>
      <c r="X16" s="5"/>
      <c r="Y16" s="5" t="s">
        <v>51</v>
      </c>
      <c r="Z16" s="7">
        <v>7623.07</v>
      </c>
      <c r="AA16" s="7">
        <v>0</v>
      </c>
      <c r="AB16" s="7">
        <v>0</v>
      </c>
      <c r="AC16" s="6">
        <v>46170</v>
      </c>
      <c r="AD16" s="7">
        <v>7623.07</v>
      </c>
      <c r="AE16" s="4">
        <v>96</v>
      </c>
      <c r="AF16" s="5" t="s">
        <v>288</v>
      </c>
      <c r="AG16" s="5"/>
      <c r="AH16" s="5"/>
      <c r="AI16" s="5"/>
      <c r="AJ16" s="4"/>
      <c r="AK16" s="5" t="s">
        <v>140</v>
      </c>
      <c r="AL16" s="5" t="s">
        <v>357</v>
      </c>
      <c r="AM16" s="6">
        <v>46153</v>
      </c>
      <c r="AN16" s="5" t="s">
        <v>382</v>
      </c>
    </row>
    <row r="17" spans="1:40" x14ac:dyDescent="0.25">
      <c r="A17" s="2" t="s">
        <v>530</v>
      </c>
      <c r="B17" s="2" t="s">
        <v>537</v>
      </c>
      <c r="C17" s="3">
        <v>46197</v>
      </c>
      <c r="D17" s="4">
        <v>558351506</v>
      </c>
      <c r="E17" s="5" t="s">
        <v>336</v>
      </c>
      <c r="F17" s="6">
        <v>46148</v>
      </c>
      <c r="G17" s="5" t="s">
        <v>131</v>
      </c>
      <c r="H17" s="5" t="s">
        <v>131</v>
      </c>
      <c r="I17" s="5" t="s">
        <v>44</v>
      </c>
      <c r="J17" s="5" t="s">
        <v>390</v>
      </c>
      <c r="K17" s="3">
        <v>46177</v>
      </c>
      <c r="L17" s="12">
        <f ca="1">IF($O17="","",$O17-TODAY())</f>
        <v>-65</v>
      </c>
      <c r="M17" s="12">
        <f ca="1">IF(AND(TRIM($A17)="Finalized",$K17&lt;&gt;""),"",IF($F17="","",$F17+90-TODAY()))</f>
        <v>-65</v>
      </c>
      <c r="N17" s="12">
        <f ca="1">IF(AND(TRIM($A17)="Finalized",$K17&lt;&gt;""),"",IF($C17="","",$C17+365-TODAY()))</f>
        <v>259</v>
      </c>
      <c r="O17" s="6">
        <f>IF(AND(TRIM($A17)="Finalized",$K17&lt;&gt;""),"",DATE(2026,8,4))</f>
        <v>46238</v>
      </c>
      <c r="P17" s="5" t="s">
        <v>46</v>
      </c>
      <c r="Q17" s="5" t="s">
        <v>152</v>
      </c>
      <c r="R17" s="5" t="s">
        <v>46</v>
      </c>
      <c r="S17" s="5" t="s">
        <v>191</v>
      </c>
      <c r="T17" s="5" t="s">
        <v>50</v>
      </c>
      <c r="U17" s="5" t="s">
        <v>49</v>
      </c>
      <c r="V17" s="5"/>
      <c r="W17" s="5"/>
      <c r="X17" s="5"/>
      <c r="Y17" s="5" t="s">
        <v>51</v>
      </c>
      <c r="Z17" s="7">
        <v>2493.33</v>
      </c>
      <c r="AA17" s="7">
        <v>0</v>
      </c>
      <c r="AB17" s="7">
        <v>0</v>
      </c>
      <c r="AC17" s="6">
        <v>46197</v>
      </c>
      <c r="AD17" s="7">
        <v>2493.33</v>
      </c>
      <c r="AE17" s="4">
        <v>94</v>
      </c>
      <c r="AF17" s="5" t="s">
        <v>225</v>
      </c>
      <c r="AG17" s="5" t="s">
        <v>282</v>
      </c>
      <c r="AH17" s="5"/>
      <c r="AI17" s="5"/>
      <c r="AJ17" s="4"/>
      <c r="AK17" s="5" t="s">
        <v>81</v>
      </c>
      <c r="AL17" s="5" t="s">
        <v>357</v>
      </c>
      <c r="AM17" s="6">
        <v>46149</v>
      </c>
      <c r="AN17" s="5" t="s">
        <v>382</v>
      </c>
    </row>
    <row r="18" spans="1:40" x14ac:dyDescent="0.25">
      <c r="A18" s="2" t="s">
        <v>87</v>
      </c>
      <c r="B18" s="2" t="s">
        <v>439</v>
      </c>
      <c r="C18" s="3">
        <v>46262</v>
      </c>
      <c r="D18" s="4">
        <v>559605223</v>
      </c>
      <c r="E18" s="5" t="s">
        <v>169</v>
      </c>
      <c r="F18" s="6">
        <v>46155</v>
      </c>
      <c r="G18" s="5" t="s">
        <v>95</v>
      </c>
      <c r="H18" s="5" t="s">
        <v>95</v>
      </c>
      <c r="I18" s="5" t="s">
        <v>44</v>
      </c>
      <c r="J18" s="5" t="s">
        <v>440</v>
      </c>
      <c r="K18" s="3">
        <v>46244</v>
      </c>
      <c r="L18" s="12">
        <f ca="1">IF($O18="","",$O18-TODAY())</f>
        <v>-58</v>
      </c>
      <c r="M18" s="12">
        <f ca="1">IF(AND(TRIM($A18)="Finalized",$K18&lt;&gt;""),"",IF($C18="","",$C18+365-TODAY()))</f>
        <v>324</v>
      </c>
      <c r="N18" s="12">
        <f ca="1">IF(AND(TRIM($A18)="Finalized",$K18&lt;&gt;""),"",IF($C18="","",$C18+365-TODAY()))</f>
        <v>324</v>
      </c>
      <c r="O18" s="6">
        <f>IF(AND(TRIM($A18)="Finalized",$K18&lt;&gt;""),"",DATE(2026,8,11))</f>
        <v>46245</v>
      </c>
      <c r="P18" s="5" t="s">
        <v>46</v>
      </c>
      <c r="Q18" s="5" t="s">
        <v>96</v>
      </c>
      <c r="R18" s="5" t="s">
        <v>50</v>
      </c>
      <c r="S18" s="5" t="s">
        <v>49</v>
      </c>
      <c r="T18" s="5" t="s">
        <v>50</v>
      </c>
      <c r="U18" s="5" t="s">
        <v>49</v>
      </c>
      <c r="V18" s="5" t="s">
        <v>344</v>
      </c>
      <c r="W18" s="5"/>
      <c r="X18" s="5"/>
      <c r="Y18" s="5" t="s">
        <v>51</v>
      </c>
      <c r="Z18" s="7">
        <v>20158.46</v>
      </c>
      <c r="AA18" s="7">
        <v>0</v>
      </c>
      <c r="AB18" s="7">
        <v>0</v>
      </c>
      <c r="AC18" s="6"/>
      <c r="AD18" s="7">
        <v>20158.46</v>
      </c>
      <c r="AE18" s="4">
        <v>87</v>
      </c>
      <c r="AF18" s="5" t="s">
        <v>441</v>
      </c>
      <c r="AG18" s="5" t="s">
        <v>442</v>
      </c>
      <c r="AH18" s="5" t="s">
        <v>443</v>
      </c>
      <c r="AI18" s="5" t="s">
        <v>444</v>
      </c>
      <c r="AJ18" s="4"/>
      <c r="AK18" s="5" t="s">
        <v>140</v>
      </c>
      <c r="AL18" s="5" t="s">
        <v>357</v>
      </c>
      <c r="AM18" s="6">
        <v>46161</v>
      </c>
      <c r="AN18" s="5" t="s">
        <v>382</v>
      </c>
    </row>
    <row r="19" spans="1:40" x14ac:dyDescent="0.25">
      <c r="A19" s="2" t="s">
        <v>115</v>
      </c>
      <c r="B19" s="2" t="s">
        <v>388</v>
      </c>
      <c r="C19" s="3">
        <v>46170</v>
      </c>
      <c r="D19" s="4">
        <v>559340087</v>
      </c>
      <c r="E19" s="5" t="s">
        <v>389</v>
      </c>
      <c r="F19" s="6">
        <v>46157</v>
      </c>
      <c r="G19" s="5" t="s">
        <v>62</v>
      </c>
      <c r="H19" s="5" t="s">
        <v>62</v>
      </c>
      <c r="I19" s="5" t="s">
        <v>44</v>
      </c>
      <c r="J19" s="5" t="s">
        <v>390</v>
      </c>
      <c r="K19" s="3">
        <v>46245</v>
      </c>
      <c t="str" r="L19" s="12">
        <f ca="1">IF($O19="","",$O19-TODAY())</f>
        <v/>
      </c>
      <c t="str" r="M19" s="12">
        <f ca="1">IF(AND(TRIM($A19)="Finalized",$K19&lt;&gt;""),"",IF($C19="","",$C19+90-TODAY()))</f>
        <v/>
      </c>
      <c t="str" r="N19" s="12">
        <f ca="1">IF(AND(TRIM($A19)="Finalized",$K19&lt;&gt;""),"",IF($C19="","",$C19+90-TODAY()))</f>
        <v/>
      </c>
      <c t="str" r="O19" s="6">
        <f>IF(AND(TRIM($A19)="Finalized",$K19&lt;&gt;""),"",DATE(2026,8,18))</f>
        <v/>
      </c>
      <c r="P19" s="5" t="s">
        <v>65</v>
      </c>
      <c r="Q19" s="5" t="s">
        <v>66</v>
      </c>
      <c r="R19" s="5" t="s">
        <v>46</v>
      </c>
      <c r="S19" s="5" t="s">
        <v>49</v>
      </c>
      <c r="T19" s="5" t="s">
        <v>46</v>
      </c>
      <c r="U19" s="5" t="s">
        <v>49</v>
      </c>
      <c r="V19" s="5"/>
      <c r="W19" s="5"/>
      <c r="X19" s="5"/>
      <c r="Y19" s="5" t="s">
        <v>51</v>
      </c>
      <c r="Z19" s="7">
        <v>2493.33</v>
      </c>
      <c r="AA19" s="7">
        <v>0</v>
      </c>
      <c r="AB19" s="7">
        <v>0</v>
      </c>
      <c r="AC19" s="6">
        <v>46170</v>
      </c>
      <c r="AD19" s="7">
        <v>2493.33</v>
      </c>
      <c r="AE19" s="4">
        <v>85</v>
      </c>
      <c r="AF19" s="5" t="s">
        <v>225</v>
      </c>
      <c r="AG19" s="5" t="s">
        <v>211</v>
      </c>
      <c r="AH19" s="5" t="s">
        <v>174</v>
      </c>
      <c r="AI19" s="5"/>
      <c r="AJ19" s="4"/>
      <c r="AK19" s="5" t="s">
        <v>76</v>
      </c>
      <c r="AL19" s="5" t="s">
        <v>357</v>
      </c>
      <c r="AM19" s="6">
        <v>46160</v>
      </c>
      <c r="AN19" s="5" t="s">
        <v>382</v>
      </c>
    </row>
    <row r="20" spans="1:40" x14ac:dyDescent="0.25">
      <c r="A20" s="2" t="s">
        <v>115</v>
      </c>
      <c r="B20" s="2" t="s">
        <v>396</v>
      </c>
      <c r="C20" s="3">
        <v>46231</v>
      </c>
      <c r="D20" s="4">
        <v>565698268</v>
      </c>
      <c r="E20" s="5" t="s">
        <v>397</v>
      </c>
      <c r="F20" s="6">
        <v>46168</v>
      </c>
      <c r="G20" s="5" t="s">
        <v>323</v>
      </c>
      <c r="H20" s="5" t="s">
        <v>323</v>
      </c>
      <c r="I20" s="5" t="s">
        <v>44</v>
      </c>
      <c r="J20" s="5" t="s">
        <v>390</v>
      </c>
      <c r="K20" s="3">
        <v>46245</v>
      </c>
      <c t="str" r="L20" s="12">
        <f ca="1">IF($O20="","",$O20-TODAY())</f>
        <v/>
      </c>
      <c t="str" r="M20" s="12">
        <f ca="1">IF(AND(TRIM($A20)="Finalized",$K20&lt;&gt;""),"",IF($F20="","",$F20+90-TODAY()))</f>
        <v/>
      </c>
      <c t="str" r="N20" s="12">
        <f ca="1">IF(AND(TRIM($A20)="Finalized",$K20&lt;&gt;""),"",IF($C20="","",$C20+180-TODAY()))</f>
        <v/>
      </c>
      <c t="str" r="O20" s="6">
        <f>IF(AND(TRIM($A20)="Finalized",$K20&lt;&gt;""),"",DATE(2026,8,24))</f>
        <v/>
      </c>
      <c r="P20" s="5" t="s">
        <v>46</v>
      </c>
      <c r="Q20" s="5" t="s">
        <v>325</v>
      </c>
      <c r="R20" s="5" t="s">
        <v>46</v>
      </c>
      <c r="S20" s="5" t="s">
        <v>191</v>
      </c>
      <c r="T20" s="5" t="s">
        <v>48</v>
      </c>
      <c r="U20" s="5" t="s">
        <v>49</v>
      </c>
      <c r="V20" s="5"/>
      <c r="W20" s="5"/>
      <c r="X20" s="5"/>
      <c r="Y20" s="5" t="s">
        <v>51</v>
      </c>
      <c r="Z20" s="7">
        <v>2493.33</v>
      </c>
      <c r="AA20" s="7">
        <v>0</v>
      </c>
      <c r="AB20" s="7">
        <v>0</v>
      </c>
      <c r="AC20" s="6"/>
      <c r="AD20" s="7">
        <v>2493.33</v>
      </c>
      <c r="AE20" s="4">
        <v>74</v>
      </c>
      <c r="AF20" s="5" t="s">
        <v>398</v>
      </c>
      <c r="AG20" s="5" t="s">
        <v>399</v>
      </c>
      <c r="AH20" s="5"/>
      <c r="AI20" s="5"/>
      <c r="AJ20" s="4"/>
      <c r="AK20" s="5" t="s">
        <v>97</v>
      </c>
      <c r="AL20" s="5" t="s">
        <v>349</v>
      </c>
      <c r="AM20" s="6">
        <v>46170</v>
      </c>
      <c r="AN20" s="5" t="s">
        <v>382</v>
      </c>
    </row>
    <row r="21" spans="1:40" x14ac:dyDescent="0.25">
      <c r="A21" s="2" t="s">
        <v>115</v>
      </c>
      <c r="B21" s="2" t="s">
        <v>410</v>
      </c>
      <c r="C21" s="3">
        <v>46164</v>
      </c>
      <c r="D21" s="4">
        <v>559152456</v>
      </c>
      <c r="E21" s="5" t="s">
        <v>411</v>
      </c>
      <c r="F21" s="6">
        <v>46153</v>
      </c>
      <c r="G21" s="5" t="s">
        <v>408</v>
      </c>
      <c r="H21" s="5" t="s">
        <v>408</v>
      </c>
      <c r="I21" s="5" t="s">
        <v>44</v>
      </c>
      <c r="J21" s="5" t="s">
        <v>412</v>
      </c>
      <c r="K21" s="3">
        <v>46250</v>
      </c>
      <c t="str" r="L21" s="12">
        <f ca="1">IF($O21="","",$O21-TODAY())</f>
        <v/>
      </c>
      <c t="str" r="M21" s="12">
        <f ca="1">IF(AND(TRIM($A21)="Finalized",$K21&lt;&gt;""),"",IF($C21="","",$C21+180-TODAY()))</f>
        <v/>
      </c>
      <c t="str" r="N21" s="12">
        <f ca="1">IF(AND(TRIM($A21)="Finalized",$K21&lt;&gt;""),"",IF($C21="","",$C21+180-TODAY()))</f>
        <v/>
      </c>
      <c t="str" r="O21" s="6">
        <f>IF(AND(TRIM($A21)="Finalized",$K21&lt;&gt;""),"",DATE(2026,9,8))</f>
        <v/>
      </c>
      <c r="P21" s="5" t="s">
        <v>103</v>
      </c>
      <c r="Q21" s="5" t="s">
        <v>108</v>
      </c>
      <c r="R21" s="5" t="s">
        <v>48</v>
      </c>
      <c r="S21" s="5" t="s">
        <v>49</v>
      </c>
      <c r="T21" s="5" t="s">
        <v>48</v>
      </c>
      <c r="U21" s="5" t="s">
        <v>49</v>
      </c>
      <c r="V21" s="5" t="s">
        <v>413</v>
      </c>
      <c r="W21" s="5"/>
      <c r="X21" s="5"/>
      <c r="Y21" s="5" t="s">
        <v>51</v>
      </c>
      <c r="Z21" s="7">
        <v>13920.34</v>
      </c>
      <c r="AA21" s="7">
        <v>0</v>
      </c>
      <c r="AB21" s="7">
        <v>0</v>
      </c>
      <c r="AC21" s="6">
        <v>46164</v>
      </c>
      <c r="AD21" s="7">
        <v>13920.34</v>
      </c>
      <c r="AE21" s="4">
        <v>89</v>
      </c>
      <c r="AF21" s="5" t="s">
        <v>288</v>
      </c>
      <c r="AG21" s="5" t="s">
        <v>211</v>
      </c>
      <c r="AH21" s="5" t="s">
        <v>414</v>
      </c>
      <c r="AI21" s="5" t="s">
        <v>287</v>
      </c>
      <c r="AJ21" s="4"/>
      <c r="AK21" s="5" t="s">
        <v>202</v>
      </c>
      <c r="AL21" s="5" t="s">
        <v>357</v>
      </c>
      <c r="AM21" s="6">
        <v>46156</v>
      </c>
      <c r="AN21" s="5" t="s">
        <v>382</v>
      </c>
    </row>
    <row r="22" spans="1:40" x14ac:dyDescent="0.25">
      <c r="A22" s="2" t="s">
        <v>115</v>
      </c>
      <c r="B22" s="2" t="s">
        <v>417</v>
      </c>
      <c r="C22" s="3">
        <v>46171</v>
      </c>
      <c r="D22" s="4">
        <v>559655054</v>
      </c>
      <c r="E22" s="5" t="s">
        <v>418</v>
      </c>
      <c r="F22" s="6">
        <v>46156</v>
      </c>
      <c r="G22" s="5" t="s">
        <v>408</v>
      </c>
      <c r="H22" s="5" t="s">
        <v>408</v>
      </c>
      <c r="I22" s="5" t="s">
        <v>44</v>
      </c>
      <c r="J22" s="5" t="s">
        <v>381</v>
      </c>
      <c r="K22" s="3">
        <v>46250</v>
      </c>
      <c t="str" r="L22" s="12">
        <f ca="1">IF($O22="","",$O22-TODAY())</f>
        <v/>
      </c>
      <c t="str" r="M22" s="12">
        <f ca="1">IF(AND(TRIM($A22)="Finalized",$K22&lt;&gt;""),"",IF($C22="","",$C22+180-TODAY()))</f>
        <v/>
      </c>
      <c t="str" r="N22" s="12">
        <f ca="1">IF(AND(TRIM($A22)="Finalized",$K22&lt;&gt;""),"",IF($C22="","",$C22+180-TODAY()))</f>
        <v/>
      </c>
      <c t="str" r="O22" s="6">
        <f>IF(AND(TRIM($A22)="Finalized",$K22&lt;&gt;""),"",DATE(2026,9,11))</f>
        <v/>
      </c>
      <c r="P22" s="5" t="s">
        <v>103</v>
      </c>
      <c r="Q22" s="5" t="s">
        <v>108</v>
      </c>
      <c r="R22" s="5" t="s">
        <v>48</v>
      </c>
      <c r="S22" s="5" t="s">
        <v>49</v>
      </c>
      <c r="T22" s="5" t="s">
        <v>48</v>
      </c>
      <c r="U22" s="5" t="s">
        <v>49</v>
      </c>
      <c r="V22" s="5"/>
      <c r="W22" s="5"/>
      <c r="X22" s="5"/>
      <c r="Y22" s="5" t="s">
        <v>51</v>
      </c>
      <c r="Z22" s="7">
        <v>7623.07</v>
      </c>
      <c r="AA22" s="7">
        <v>0</v>
      </c>
      <c r="AB22" s="7">
        <v>0</v>
      </c>
      <c r="AC22" s="6"/>
      <c r="AD22" s="7">
        <v>7623.07</v>
      </c>
      <c r="AE22" s="4">
        <v>86</v>
      </c>
      <c r="AF22" s="5" t="s">
        <v>288</v>
      </c>
      <c r="AG22" s="5" t="s">
        <v>211</v>
      </c>
      <c r="AH22" s="5"/>
      <c r="AI22" s="5"/>
      <c r="AJ22" s="4"/>
      <c r="AK22" s="5" t="s">
        <v>202</v>
      </c>
      <c r="AL22" s="5" t="s">
        <v>357</v>
      </c>
      <c r="AM22" s="6">
        <v>46161</v>
      </c>
      <c r="AN22" s="5" t="s">
        <v>382</v>
      </c>
    </row>
    <row r="23" spans="1:40" x14ac:dyDescent="0.25">
      <c r="A23" s="2" t="s">
        <v>115</v>
      </c>
      <c r="B23" s="2" t="s">
        <v>419</v>
      </c>
      <c r="C23" s="3">
        <v>46170</v>
      </c>
      <c r="D23" s="4">
        <v>559248529</v>
      </c>
      <c r="E23" s="5" t="s">
        <v>236</v>
      </c>
      <c r="F23" s="6">
        <v>46156</v>
      </c>
      <c r="G23" s="5" t="s">
        <v>237</v>
      </c>
      <c r="H23" s="5" t="s">
        <v>237</v>
      </c>
      <c r="I23" s="5" t="s">
        <v>44</v>
      </c>
      <c r="J23" s="5" t="s">
        <v>390</v>
      </c>
      <c r="K23" s="3">
        <v>46252</v>
      </c>
      <c t="str" r="L23" s="12">
        <f ca="1">IF($O23="","",$O23-TODAY())</f>
        <v/>
      </c>
      <c t="str" r="M23" s="12">
        <f ca="1">IF(AND(TRIM($A23)="Finalized",$K23&lt;&gt;""),"",IF($F23="","",$F23+180-TODAY()))</f>
        <v/>
      </c>
      <c t="str" r="N23" s="12">
        <f ca="1">IF(AND(TRIM($A23)="Finalized",$K23&lt;&gt;""),"",IF($C23="","",$C23+180-TODAY()))</f>
        <v/>
      </c>
      <c t="str" r="O23" s="6">
        <f>IF(AND(TRIM($A23)="Finalized",$K23&lt;&gt;""),"",DATE(2026,11,10))</f>
        <v/>
      </c>
      <c r="P23" s="5" t="s">
        <v>48</v>
      </c>
      <c r="Q23" s="5" t="s">
        <v>238</v>
      </c>
      <c r="R23" s="5" t="s">
        <v>48</v>
      </c>
      <c r="S23" s="5" t="s">
        <v>191</v>
      </c>
      <c r="T23" s="5" t="s">
        <v>48</v>
      </c>
      <c r="U23" s="5" t="s">
        <v>49</v>
      </c>
      <c r="V23" s="5"/>
      <c r="W23" s="5"/>
      <c r="X23" s="5"/>
      <c r="Y23" s="5" t="s">
        <v>51</v>
      </c>
      <c r="Z23" s="7">
        <v>2493.33</v>
      </c>
      <c r="AA23" s="7">
        <v>0</v>
      </c>
      <c r="AB23" s="7">
        <v>0</v>
      </c>
      <c r="AC23" s="6">
        <v>46170</v>
      </c>
      <c r="AD23" s="7">
        <v>2493.33</v>
      </c>
      <c r="AE23" s="4">
        <v>86</v>
      </c>
      <c r="AF23" s="5" t="s">
        <v>193</v>
      </c>
      <c r="AG23" s="5"/>
      <c r="AH23" s="5"/>
      <c r="AI23" s="5"/>
      <c r="AJ23" s="4"/>
      <c r="AK23" s="5" t="s">
        <v>97</v>
      </c>
      <c r="AL23" s="5" t="s">
        <v>349</v>
      </c>
      <c r="AM23" s="6">
        <v>46157</v>
      </c>
      <c r="AN23" s="5" t="s">
        <v>382</v>
      </c>
    </row>
  </sheetData>
  <autoFilter ref="A1:AN23" xr:uid="{00000000-0009-0000-0000-000003000000}"/>
  <conditionalFormatting sqref="L2:O1000">
    <cfRule type="expression" dxfId="96" priority="1" stopIfTrue="1">
      <formula>AND(TRIM($A2)="Finalized",$K2&lt;&gt;"")</formula>
    </cfRule>
  </conditionalFormatting>
  <conditionalFormatting sqref="L2:L23">
    <cfRule type="expression" dxfId="39" priority="2">
      <formula>AND($L2&lt;&gt;"", $L2&gt;=0, $L2&lt;=5)</formula>
    </cfRule>
    <cfRule type="expression" dxfId="38" priority="3">
      <formula>AND($L2&lt;&gt;"", $L2&gt;5, $L2&lt;=30)</formula>
    </cfRule>
    <cfRule type="expression" dxfId="37" priority="4">
      <formula>AND($L2&lt;&gt;"", $L2&gt;30)</formula>
    </cfRule>
    <cfRule type="expression" dxfId="36" priority="5">
      <formula>AND($L2&lt;&gt;"", $L2&lt;0)</formula>
    </cfRule>
    <cfRule type="expression" dxfId="35" priority="6">
      <formula>$L2=""</formula>
    </cfRule>
  </conditionalFormatting>
  <conditionalFormatting sqref="M2:M23">
    <cfRule type="expression" dxfId="34" priority="7">
      <formula>AND($M2&lt;&gt;"", $M2&gt;=0, $M2&lt;=5)</formula>
    </cfRule>
    <cfRule type="expression" dxfId="33" priority="8">
      <formula>AND($M2&lt;&gt;"", $M2&gt;5, $M2&lt;=30)</formula>
    </cfRule>
    <cfRule type="expression" dxfId="32" priority="9">
      <formula>AND($M2&lt;&gt;"", $M2&gt;30)</formula>
    </cfRule>
    <cfRule type="expression" dxfId="31" priority="10">
      <formula>AND($M2&lt;&gt;"", $M2&lt;0)</formula>
    </cfRule>
    <cfRule type="expression" dxfId="30" priority="11">
      <formula>$M2=""</formula>
    </cfRule>
  </conditionalFormatting>
  <conditionalFormatting sqref="N2:N23">
    <cfRule type="expression" dxfId="29" priority="12">
      <formula>AND($N2&lt;&gt;"", $N2&gt;=0, $N2&lt;=5)</formula>
    </cfRule>
    <cfRule type="expression" dxfId="28" priority="13">
      <formula>AND($N2&lt;&gt;"", $N2&gt;5, $N2&lt;=30)</formula>
    </cfRule>
    <cfRule type="expression" dxfId="27" priority="14">
      <formula>AND($N2&lt;&gt;"", $N2&gt;30)</formula>
    </cfRule>
    <cfRule type="expression" dxfId="26" priority="15">
      <formula>AND($N2&lt;&gt;"", $N2&lt;0)</formula>
    </cfRule>
    <cfRule type="expression" dxfId="25" priority="16">
      <formula>$N2=""</formula>
    </cfRule>
  </conditionalFormatting>
  <conditionalFormatting sqref="O2:U23">
    <cfRule type="expression" dxfId="24" priority="17">
      <formula>AND($L2&lt;&gt;"", $L2&gt;=0, $L2&lt;=5)</formula>
    </cfRule>
    <cfRule type="expression" dxfId="23" priority="18">
      <formula>AND($L2&lt;&gt;"", $L2&gt;5, $L2&lt;=30)</formula>
    </cfRule>
    <cfRule type="expression" dxfId="22" priority="19">
      <formula>AND($L2&lt;&gt;"", $L2&gt;30)</formula>
    </cfRule>
    <cfRule type="expression" dxfId="21" priority="20">
      <formula>AND($L2&lt;&gt;"", $L2&lt;0)</formula>
    </cfRule>
    <cfRule type="expression" dxfId="20" priority="21">
      <formula>$L2=""</formula>
    </cfRule>
  </conditionalFormatting>
  <conditionalFormatting sqref="A2:AN1000">
    <cfRule type="expression" dxfId="95" priority="22">
      <formula>TRIM($A2)="PAID"</formula>
    </cfRule>
    <cfRule type="expression" dxfId="96" priority="23">
      <formula>TRIM($A2)="Finalized"</formula>
    </cfRule>
    <cfRule type="expression" dxfId="97" priority="24">
      <formula>TRIM($A2)="Received"</formula>
    </cfRule>
    <cfRule type="expression" dxfId="98" priority="25">
      <formula>TRIM($A2)="Pending"</formula>
    </cfRule>
    <cfRule type="expression" dxfId="99" priority="26">
      <formula>TRIM($A2)="Under Review"</formula>
    </cfRule>
    <cfRule type="expression" dxfId="100" priority="27">
      <formula>AND(TRIM($A2)="Denied",$K2="")</formula>
    </cfRule>
    <cfRule type="expression" dxfId="103" priority="30">
      <formula>AND(TRIM($A2)="Denied",$K2&lt;&gt;"")</formula>
    </cfRule>
    <cfRule type="expression" dxfId="101" priority="28">
      <formula>TRIM($A2)="Rejected"</formula>
    </cfRule>
    <cfRule type="expression" dxfId="102"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6"/>
  <sheetViews>
    <sheetView zoomScale="90" workbookViewId="0">
      <pane xSplit="2" ySplit="1" topLeftCell="C2" activePane="bottomRight" state="frozen"/>
      <selection pane="topRight"/>
      <selection pane="bottomLeft"/>
      <selection pane="bottomRight" activeCell="B7" sqref="B7"/>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8.85546875" customWidth="1"/>
    <col min="11" max="11" width="14" customWidth="1"/>
    <col min="12" max="12" width="12" customWidth="1"/>
    <col min="13" max="13" width="18.140625" customWidth="1"/>
    <col min="14" max="14" width="17.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1" t="s">
        <v>168</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87</v>
      </c>
      <c r="B2" s="2" t="s">
        <v>452</v>
      </c>
      <c r="C2" s="3">
        <v>46259</v>
      </c>
      <c r="D2" s="4">
        <v>560710074</v>
      </c>
      <c r="E2" s="5" t="s">
        <v>453</v>
      </c>
      <c r="F2" s="6">
        <v>46163</v>
      </c>
      <c r="G2" s="5" t="s">
        <v>43</v>
      </c>
      <c r="H2" s="5" t="s">
        <v>43</v>
      </c>
      <c r="I2" s="5" t="s">
        <v>44</v>
      </c>
      <c r="J2" s="5" t="s">
        <v>454</v>
      </c>
      <c r="K2" s="3">
        <v>46246</v>
      </c>
      <c r="L2" s="12">
        <f ca="1">IF($O2="","",$O2-TODAY())</f>
        <v>-50</v>
      </c>
      <c r="M2" s="12">
        <f ca="1">IF(AND(TRIM($A2)="Finalized",$K2&lt;&gt;""),"",IF($C2="","",$C2+180-TODAY()))</f>
        <v>136</v>
      </c>
      <c r="N2" s="12">
        <f ca="1">IF(AND(TRIM($A2)="Finalized",$K2&lt;&gt;""),"",IF($C2="","",$C2+365-TODAY()))</f>
        <v>321</v>
      </c>
      <c r="O2" s="6">
        <f>IF(AND(TRIM($A2)="Finalized",$K2&lt;&gt;""),"",DATE(2026,8,19))</f>
        <v>46253</v>
      </c>
      <c r="P2" s="5" t="s">
        <v>46</v>
      </c>
      <c r="Q2" s="5" t="s">
        <v>47</v>
      </c>
      <c r="R2" s="5" t="s">
        <v>48</v>
      </c>
      <c r="S2" s="5" t="s">
        <v>49</v>
      </c>
      <c r="T2" s="5" t="s">
        <v>50</v>
      </c>
      <c r="U2" s="5" t="s">
        <v>49</v>
      </c>
      <c r="V2" s="5"/>
      <c r="W2" s="5"/>
      <c r="X2" s="5"/>
      <c r="Y2" s="5" t="s">
        <v>51</v>
      </c>
      <c r="Z2" s="7">
        <v>3822.49</v>
      </c>
      <c r="AA2" s="7">
        <v>0</v>
      </c>
      <c r="AB2" s="7">
        <v>0</v>
      </c>
      <c r="AC2" s="6"/>
      <c r="AD2" s="7">
        <v>3822.49</v>
      </c>
      <c r="AE2" s="4">
        <v>79</v>
      </c>
      <c r="AF2" s="5" t="s">
        <v>455</v>
      </c>
      <c r="AG2" s="5"/>
      <c r="AH2" s="5"/>
      <c r="AI2" s="5"/>
      <c r="AJ2" s="4"/>
      <c r="AK2" s="5" t="s">
        <v>81</v>
      </c>
      <c r="AL2" s="5" t="s">
        <v>450</v>
      </c>
      <c r="AM2" s="6">
        <v>46171</v>
      </c>
      <c r="AN2" s="5" t="s">
        <v>451</v>
      </c>
    </row>
    <row r="3" spans="1:40" x14ac:dyDescent="0.25">
      <c r="A3" s="2" t="s">
        <v>87</v>
      </c>
      <c r="B3" s="2" t="s">
        <v>462</v>
      </c>
      <c r="C3" s="3">
        <v>46181</v>
      </c>
      <c r="D3" s="4">
        <v>560711490</v>
      </c>
      <c r="E3" s="5" t="s">
        <v>463</v>
      </c>
      <c r="F3" s="6">
        <v>46168</v>
      </c>
      <c r="G3" s="5" t="s">
        <v>323</v>
      </c>
      <c r="H3" s="5" t="s">
        <v>323</v>
      </c>
      <c r="I3" s="5" t="s">
        <v>44</v>
      </c>
      <c r="J3" s="5" t="s">
        <v>460</v>
      </c>
      <c r="K3" s="3">
        <v>46250</v>
      </c>
      <c r="L3" s="12">
        <f ca="1">IF($O3="","",$O3-TODAY())</f>
        <v>-45</v>
      </c>
      <c r="M3" s="12">
        <f ca="1">IF(AND(TRIM($A3)="Finalized",$K3&lt;&gt;""),"",IF($F3="","",$F3+90-TODAY()))</f>
        <v>-45</v>
      </c>
      <c r="N3" s="12">
        <f ca="1">IF(AND(TRIM($A3)="Finalized",$K3&lt;&gt;""),"",IF($C3="","",$C3+180-TODAY()))</f>
        <v>58</v>
      </c>
      <c r="O3" s="6">
        <f>IF(AND(TRIM($A3)="Finalized",$K3&lt;&gt;""),"",DATE(2026,8,24))</f>
        <v>46258</v>
      </c>
      <c r="P3" s="5" t="s">
        <v>46</v>
      </c>
      <c r="Q3" s="5" t="s">
        <v>325</v>
      </c>
      <c r="R3" s="5" t="s">
        <v>46</v>
      </c>
      <c r="S3" s="5" t="s">
        <v>191</v>
      </c>
      <c r="T3" s="5" t="s">
        <v>48</v>
      </c>
      <c r="U3" s="5" t="s">
        <v>49</v>
      </c>
      <c r="V3" s="5"/>
      <c r="W3" s="5"/>
      <c r="X3" s="5"/>
      <c r="Y3" s="5" t="s">
        <v>51</v>
      </c>
      <c r="Z3" s="7">
        <v>1294.23</v>
      </c>
      <c r="AA3" s="7">
        <v>0</v>
      </c>
      <c r="AB3" s="7">
        <v>0</v>
      </c>
      <c r="AC3" s="6">
        <v>46181</v>
      </c>
      <c r="AD3" s="7">
        <v>1294.23</v>
      </c>
      <c r="AE3" s="4">
        <v>74</v>
      </c>
      <c r="AF3" s="5" t="s">
        <v>457</v>
      </c>
      <c r="AG3" s="5" t="s">
        <v>464</v>
      </c>
      <c r="AH3" s="5" t="s">
        <v>465</v>
      </c>
      <c r="AI3" s="5"/>
      <c r="AJ3" s="4"/>
      <c r="AK3" s="5" t="s">
        <v>97</v>
      </c>
      <c r="AL3" s="5" t="s">
        <v>86</v>
      </c>
      <c r="AM3" s="6">
        <v>46171</v>
      </c>
      <c r="AN3" s="5" t="s">
        <v>451</v>
      </c>
    </row>
    <row r="4" spans="1:40" x14ac:dyDescent="0.25">
      <c r="A4" s="2" t="s">
        <v>87</v>
      </c>
      <c r="B4" s="2" t="s">
        <v>466</v>
      </c>
      <c r="C4" s="3">
        <v>46177</v>
      </c>
      <c r="D4" s="4">
        <v>560713422</v>
      </c>
      <c r="E4" s="5" t="s">
        <v>467</v>
      </c>
      <c r="F4" s="6">
        <v>46169</v>
      </c>
      <c r="G4" s="5" t="s">
        <v>323</v>
      </c>
      <c r="H4" s="5" t="s">
        <v>323</v>
      </c>
      <c r="I4" s="5" t="s">
        <v>44</v>
      </c>
      <c r="J4" s="5" t="s">
        <v>468</v>
      </c>
      <c r="K4" s="3">
        <v>46251</v>
      </c>
      <c r="L4" s="12">
        <f ca="1">IF($O4="","",$O4-TODAY())</f>
        <v>-44</v>
      </c>
      <c r="M4" s="12">
        <f ca="1">IF(AND(TRIM($A4)="Finalized",$K4&lt;&gt;""),"",IF($F4="","",$F4+90-TODAY()))</f>
        <v>-44</v>
      </c>
      <c r="N4" s="12">
        <f ca="1">IF(AND(TRIM($A4)="Finalized",$K4&lt;&gt;""),"",IF($C4="","",$C4+180-TODAY()))</f>
        <v>54</v>
      </c>
      <c r="O4" s="6">
        <f>IF(AND(TRIM($A4)="Finalized",$K4&lt;&gt;""),"",DATE(2026,8,25))</f>
        <v>46259</v>
      </c>
      <c r="P4" s="5" t="s">
        <v>46</v>
      </c>
      <c r="Q4" s="5" t="s">
        <v>325</v>
      </c>
      <c r="R4" s="5" t="s">
        <v>46</v>
      </c>
      <c r="S4" s="5" t="s">
        <v>191</v>
      </c>
      <c r="T4" s="5" t="s">
        <v>48</v>
      </c>
      <c r="U4" s="5" t="s">
        <v>49</v>
      </c>
      <c r="V4" s="5"/>
      <c r="W4" s="5"/>
      <c r="X4" s="5"/>
      <c r="Y4" s="5" t="s">
        <v>51</v>
      </c>
      <c r="Z4" s="7">
        <v>2173.29</v>
      </c>
      <c r="AA4" s="7">
        <v>0</v>
      </c>
      <c r="AB4" s="7">
        <v>0</v>
      </c>
      <c r="AC4" s="6">
        <v>46177</v>
      </c>
      <c r="AD4" s="7">
        <v>2173.29</v>
      </c>
      <c r="AE4" s="4">
        <v>73</v>
      </c>
      <c r="AF4" s="5" t="s">
        <v>469</v>
      </c>
      <c r="AG4" s="5" t="s">
        <v>470</v>
      </c>
      <c r="AH4" s="5" t="s">
        <v>211</v>
      </c>
      <c r="AI4" s="5" t="s">
        <v>471</v>
      </c>
      <c r="AJ4" s="4"/>
      <c r="AK4" s="5" t="s">
        <v>140</v>
      </c>
      <c r="AL4" s="5" t="s">
        <v>472</v>
      </c>
      <c r="AM4" s="6">
        <v>46171</v>
      </c>
      <c r="AN4" s="5" t="s">
        <v>451</v>
      </c>
    </row>
    <row r="5" spans="1:40" x14ac:dyDescent="0.25">
      <c r="A5" s="2" t="s">
        <v>87</v>
      </c>
      <c r="B5" s="2" t="s">
        <v>476</v>
      </c>
      <c r="C5" s="3">
        <v>46182</v>
      </c>
      <c r="D5" s="4">
        <v>560058820</v>
      </c>
      <c r="E5" s="5" t="s">
        <v>477</v>
      </c>
      <c r="F5" s="6">
        <v>46149</v>
      </c>
      <c r="G5" s="5" t="s">
        <v>408</v>
      </c>
      <c r="H5" s="5" t="s">
        <v>408</v>
      </c>
      <c r="I5" s="5" t="s">
        <v>44</v>
      </c>
      <c r="J5" s="5" t="s">
        <v>448</v>
      </c>
      <c r="K5" s="3">
        <v>46252</v>
      </c>
      <c r="L5" s="12">
        <f ca="1">IF($O5="","",$O5-TODAY())</f>
        <v>-34</v>
      </c>
      <c r="M5" s="12">
        <f ca="1">IF(AND(TRIM($A5)="Finalized",$K5&lt;&gt;""),"",IF($C5="","",$C5+180-TODAY()))</f>
        <v>59</v>
      </c>
      <c r="N5" s="12">
        <f ca="1">IF(AND(TRIM($A5)="Finalized",$K5&lt;&gt;""),"",IF($C5="","",$C5+180-TODAY()))</f>
        <v>59</v>
      </c>
      <c r="O5" s="6">
        <f>IF(AND(TRIM($A5)="Finalized",$K5&lt;&gt;""),"",DATE(2026,9,4))</f>
        <v>46269</v>
      </c>
      <c r="P5" s="5" t="s">
        <v>103</v>
      </c>
      <c r="Q5" s="5" t="s">
        <v>108</v>
      </c>
      <c r="R5" s="5" t="s">
        <v>48</v>
      </c>
      <c r="S5" s="5" t="s">
        <v>49</v>
      </c>
      <c r="T5" s="5" t="s">
        <v>48</v>
      </c>
      <c r="U5" s="5" t="s">
        <v>49</v>
      </c>
      <c r="V5" s="5"/>
      <c r="W5" s="5"/>
      <c r="X5" s="5"/>
      <c r="Y5" s="5" t="s">
        <v>51</v>
      </c>
      <c r="Z5" s="7">
        <v>2528.2600000000002</v>
      </c>
      <c r="AA5" s="7">
        <v>0</v>
      </c>
      <c r="AB5" s="7">
        <v>0</v>
      </c>
      <c r="AC5" s="6"/>
      <c r="AD5" s="7">
        <v>2528.2600000000002</v>
      </c>
      <c r="AE5" s="4">
        <v>93</v>
      </c>
      <c r="AF5" s="5" t="s">
        <v>211</v>
      </c>
      <c r="AG5" s="5" t="s">
        <v>464</v>
      </c>
      <c r="AH5" s="5" t="s">
        <v>449</v>
      </c>
      <c r="AI5" s="5"/>
      <c r="AJ5" s="4"/>
      <c r="AK5" s="5" t="s">
        <v>81</v>
      </c>
      <c r="AL5" s="5" t="s">
        <v>450</v>
      </c>
      <c r="AM5" s="6">
        <v>46164</v>
      </c>
      <c r="AN5" s="5" t="s">
        <v>451</v>
      </c>
    </row>
    <row r="6" spans="1:40" x14ac:dyDescent="0.25">
      <c r="A6" s="2" t="s">
        <v>87</v>
      </c>
      <c r="B6" s="2" t="s">
        <v>478</v>
      </c>
      <c r="C6" s="3">
        <v>46171</v>
      </c>
      <c r="D6" s="4">
        <v>560035724</v>
      </c>
      <c r="E6" s="5" t="s">
        <v>479</v>
      </c>
      <c r="F6" s="6">
        <v>46147</v>
      </c>
      <c r="G6" s="5" t="s">
        <v>118</v>
      </c>
      <c r="H6" s="5" t="s">
        <v>118</v>
      </c>
      <c r="I6" s="5" t="s">
        <v>272</v>
      </c>
      <c r="J6" s="5" t="s">
        <v>480</v>
      </c>
      <c r="K6" s="3">
        <v>46257</v>
      </c>
      <c r="L6" s="12">
        <f ca="1">IF($O6="","",$O6-TODAY())</f>
        <v>209</v>
      </c>
      <c r="M6" s="12">
        <f ca="1">IF(AND(TRIM($A6)="Finalized",$K6&lt;&gt;""),"",IF($C6="","",$C6+365-TODAY()))</f>
        <v>233</v>
      </c>
      <c r="N6" s="12">
        <f ca="1">IF(AND(TRIM($A6)="Finalized",$K6&lt;&gt;""),"",IF($C6="","",$C6+120-TODAY()))</f>
        <v>-12</v>
      </c>
      <c r="O6" s="6">
        <f>IF(AND(TRIM($A6)="Finalized",$K6&lt;&gt;""),"",DATE(2027,5,5))</f>
        <v>46512</v>
      </c>
      <c r="P6" s="5" t="s">
        <v>50</v>
      </c>
      <c r="Q6" s="5" t="s">
        <v>121</v>
      </c>
      <c r="R6" s="5" t="s">
        <v>50</v>
      </c>
      <c r="S6" s="5" t="s">
        <v>49</v>
      </c>
      <c r="T6" s="5" t="s">
        <v>103</v>
      </c>
      <c r="U6" s="5" t="s">
        <v>49</v>
      </c>
      <c r="V6" s="5"/>
      <c r="W6" s="5"/>
      <c r="X6" s="5"/>
      <c r="Y6" s="5" t="s">
        <v>51</v>
      </c>
      <c r="Z6" s="7">
        <v>3822.49</v>
      </c>
      <c r="AA6" s="7">
        <v>0</v>
      </c>
      <c r="AB6" s="7">
        <v>0</v>
      </c>
      <c r="AC6" s="6">
        <v>46171</v>
      </c>
      <c r="AD6" s="7">
        <v>3822.49</v>
      </c>
      <c r="AE6" s="4">
        <v>95</v>
      </c>
      <c r="AF6" s="5" t="s">
        <v>457</v>
      </c>
      <c r="AG6" s="5" t="s">
        <v>464</v>
      </c>
      <c r="AH6" s="5" t="s">
        <v>465</v>
      </c>
      <c r="AI6" s="5"/>
      <c r="AJ6" s="4"/>
      <c r="AK6" s="5" t="s">
        <v>97</v>
      </c>
      <c r="AL6" s="5" t="s">
        <v>86</v>
      </c>
      <c r="AM6" s="6">
        <v>46164</v>
      </c>
      <c r="AN6" s="5" t="s">
        <v>451</v>
      </c>
    </row>
    <row r="7" spans="1:40" x14ac:dyDescent="0.25">
      <c r="A7" s="2" t="s">
        <v>87</v>
      </c>
      <c r="B7" s="2" t="s">
        <v>481</v>
      </c>
      <c r="C7" s="3">
        <v>46203</v>
      </c>
      <c r="D7" s="4">
        <v>560069379</v>
      </c>
      <c r="E7" s="5" t="s">
        <v>482</v>
      </c>
      <c r="F7" s="6">
        <v>46154</v>
      </c>
      <c r="G7" s="5" t="s">
        <v>118</v>
      </c>
      <c r="H7" s="5" t="s">
        <v>118</v>
      </c>
      <c r="I7" s="5" t="s">
        <v>63</v>
      </c>
      <c r="J7" s="5" t="s">
        <v>483</v>
      </c>
      <c r="K7" s="3">
        <v>46259</v>
      </c>
      <c r="L7" s="12">
        <f ca="1">IF($O7="","",$O7-TODAY())</f>
        <v>216</v>
      </c>
      <c r="M7" s="12">
        <f ca="1">IF(AND(TRIM($A7)="Finalized",$K7&lt;&gt;""),"",IF($C7="","",$C7+365-TODAY()))</f>
        <v>265</v>
      </c>
      <c r="N7" s="12">
        <f ca="1">IF(AND(TRIM($A7)="Finalized",$K7&lt;&gt;""),"",IF($C7="","",$C7+120-TODAY()))</f>
        <v>20</v>
      </c>
      <c r="O7" s="6">
        <f>IF(AND(TRIM($A7)="Finalized",$K7&lt;&gt;""),"",DATE(2027,5,12))</f>
        <v>46519</v>
      </c>
      <c r="P7" s="5" t="s">
        <v>50</v>
      </c>
      <c r="Q7" s="5" t="s">
        <v>121</v>
      </c>
      <c r="R7" s="5" t="s">
        <v>50</v>
      </c>
      <c r="S7" s="5" t="s">
        <v>49</v>
      </c>
      <c r="T7" s="5" t="s">
        <v>103</v>
      </c>
      <c r="U7" s="5" t="s">
        <v>49</v>
      </c>
      <c r="V7" s="5"/>
      <c r="W7" s="5"/>
      <c r="X7" s="5"/>
      <c r="Y7" s="5" t="s">
        <v>51</v>
      </c>
      <c r="Z7" s="7">
        <v>879.06</v>
      </c>
      <c r="AA7" s="7">
        <v>0</v>
      </c>
      <c r="AB7" s="7">
        <v>17.420000000000002</v>
      </c>
      <c r="AC7" s="6">
        <v>46203</v>
      </c>
      <c r="AD7" s="7">
        <v>879.06</v>
      </c>
      <c r="AE7" s="4">
        <v>88</v>
      </c>
      <c r="AF7" s="5" t="s">
        <v>484</v>
      </c>
      <c r="AG7" s="5"/>
      <c r="AH7" s="5"/>
      <c r="AI7" s="5"/>
      <c r="AJ7" s="4"/>
      <c r="AK7" s="5" t="s">
        <v>97</v>
      </c>
      <c r="AL7" s="5" t="s">
        <v>86</v>
      </c>
      <c r="AM7" s="6">
        <v>46164</v>
      </c>
      <c r="AN7" s="5" t="s">
        <v>451</v>
      </c>
    </row>
    <row r="8" spans="1:40" x14ac:dyDescent="0.25">
      <c r="A8" s="2" t="s">
        <v>87</v>
      </c>
      <c r="B8" s="2" t="s">
        <v>478</v>
      </c>
      <c r="C8" s="3">
        <v>46178</v>
      </c>
      <c r="D8" s="4">
        <v>560703801</v>
      </c>
      <c r="E8" s="5" t="s">
        <v>485</v>
      </c>
      <c r="F8" s="6">
        <v>46161</v>
      </c>
      <c r="G8" s="5" t="s">
        <v>118</v>
      </c>
      <c r="H8" s="5" t="s">
        <v>118</v>
      </c>
      <c r="I8" s="5" t="s">
        <v>486</v>
      </c>
      <c r="J8" s="5" t="s">
        <v>487</v>
      </c>
      <c r="K8" s="3">
        <v>46257</v>
      </c>
      <c r="L8" s="12">
        <f ca="1">IF($O8="","",$O8-TODAY())</f>
        <v>223</v>
      </c>
      <c r="M8" s="12">
        <f ca="1">IF(AND(TRIM($A8)="Finalized",$K8&lt;&gt;""),"",IF($C8="","",$C8+365-TODAY()))</f>
        <v>240</v>
      </c>
      <c r="N8" s="12">
        <f ca="1">IF(AND(TRIM($A8)="Finalized",$K8&lt;&gt;""),"",IF($C8="","",$C8+120-TODAY()))</f>
        <v>-5</v>
      </c>
      <c r="O8" s="6">
        <f>IF(AND(TRIM($A8)="Finalized",$K8&lt;&gt;""),"",DATE(2027,5,19))</f>
        <v>46526</v>
      </c>
      <c r="P8" s="5" t="s">
        <v>50</v>
      </c>
      <c r="Q8" s="5" t="s">
        <v>121</v>
      </c>
      <c r="R8" s="5" t="s">
        <v>50</v>
      </c>
      <c r="S8" s="5" t="s">
        <v>49</v>
      </c>
      <c r="T8" s="5" t="s">
        <v>103</v>
      </c>
      <c r="U8" s="5" t="s">
        <v>49</v>
      </c>
      <c r="V8" s="5"/>
      <c r="W8" s="5"/>
      <c r="X8" s="5"/>
      <c r="Y8" s="5" t="s">
        <v>51</v>
      </c>
      <c r="Z8" s="7">
        <v>3822.49</v>
      </c>
      <c r="AA8" s="7">
        <v>0</v>
      </c>
      <c r="AB8" s="7">
        <v>0</v>
      </c>
      <c r="AC8" s="6">
        <v>46178</v>
      </c>
      <c r="AD8" s="7">
        <v>3822.49</v>
      </c>
      <c r="AE8" s="4">
        <v>81</v>
      </c>
      <c r="AF8" s="5" t="s">
        <v>174</v>
      </c>
      <c r="AG8" s="5" t="s">
        <v>465</v>
      </c>
      <c r="AH8" s="5" t="s">
        <v>464</v>
      </c>
      <c r="AI8" s="5"/>
      <c r="AJ8" s="4"/>
      <c r="AK8" s="5" t="s">
        <v>97</v>
      </c>
      <c r="AL8" s="5" t="s">
        <v>86</v>
      </c>
      <c r="AM8" s="6">
        <v>46171</v>
      </c>
      <c r="AN8" s="5" t="s">
        <v>451</v>
      </c>
    </row>
    <row r="9" spans="1:40" x14ac:dyDescent="0.25">
      <c r="A9" s="2" t="s">
        <v>87</v>
      </c>
      <c r="B9" s="2" t="s">
        <v>488</v>
      </c>
      <c r="C9" s="3">
        <v>46178</v>
      </c>
      <c r="D9" s="4">
        <v>560707683</v>
      </c>
      <c r="E9" s="5" t="s">
        <v>489</v>
      </c>
      <c r="F9" s="6">
        <v>46162</v>
      </c>
      <c r="G9" s="5" t="s">
        <v>118</v>
      </c>
      <c r="H9" s="5" t="s">
        <v>118</v>
      </c>
      <c r="I9" s="5" t="s">
        <v>44</v>
      </c>
      <c r="J9" s="5" t="s">
        <v>490</v>
      </c>
      <c r="K9" s="3">
        <v>46257</v>
      </c>
      <c r="L9" s="12">
        <f ca="1">IF($O9="","",$O9-TODAY())</f>
        <v>224</v>
      </c>
      <c r="M9" s="12">
        <f ca="1">IF(AND(TRIM($A9)="Finalized",$K9&lt;&gt;""),"",IF($C9="","",$C9+365-TODAY()))</f>
        <v>240</v>
      </c>
      <c r="N9" s="12">
        <f ca="1">IF(AND(TRIM($A9)="Finalized",$K9&lt;&gt;""),"",IF($C9="","",$C9+120-TODAY()))</f>
        <v>-5</v>
      </c>
      <c r="O9" s="6">
        <f>IF(AND(TRIM($A9)="Finalized",$K9&lt;&gt;""),"",DATE(2027,5,20))</f>
        <v>46527</v>
      </c>
      <c r="P9" s="5" t="s">
        <v>50</v>
      </c>
      <c r="Q9" s="5" t="s">
        <v>121</v>
      </c>
      <c r="R9" s="5" t="s">
        <v>50</v>
      </c>
      <c r="S9" s="5" t="s">
        <v>49</v>
      </c>
      <c r="T9" s="5" t="s">
        <v>103</v>
      </c>
      <c r="U9" s="5" t="s">
        <v>49</v>
      </c>
      <c r="V9" s="5"/>
      <c r="W9" s="5"/>
      <c r="X9" s="5"/>
      <c r="Y9" s="5" t="s">
        <v>51</v>
      </c>
      <c r="Z9" s="7">
        <v>1649.2</v>
      </c>
      <c r="AA9" s="7">
        <v>0</v>
      </c>
      <c r="AB9" s="7">
        <v>0</v>
      </c>
      <c r="AC9" s="6">
        <v>46178</v>
      </c>
      <c r="AD9" s="7">
        <v>1649.2</v>
      </c>
      <c r="AE9" s="4">
        <v>80</v>
      </c>
      <c r="AF9" s="5" t="s">
        <v>457</v>
      </c>
      <c r="AG9" s="5"/>
      <c r="AH9" s="5"/>
      <c r="AI9" s="5"/>
      <c r="AJ9" s="4"/>
      <c r="AK9" s="5" t="s">
        <v>140</v>
      </c>
      <c r="AL9" s="5" t="s">
        <v>472</v>
      </c>
      <c r="AM9" s="6">
        <v>46171</v>
      </c>
      <c r="AN9" s="5" t="s">
        <v>451</v>
      </c>
    </row>
    <row r="10" spans="1:40" x14ac:dyDescent="0.25">
      <c r="A10" s="2" t="s">
        <v>87</v>
      </c>
      <c r="B10" s="2" t="s">
        <v>494</v>
      </c>
      <c r="C10" s="3">
        <v>46170</v>
      </c>
      <c r="D10" s="4">
        <v>560081393</v>
      </c>
      <c r="E10" s="5" t="s">
        <v>495</v>
      </c>
      <c r="F10" s="6">
        <v>46155</v>
      </c>
      <c r="G10" s="5" t="s">
        <v>43</v>
      </c>
      <c r="H10" s="5" t="s">
        <v>43</v>
      </c>
      <c r="I10" s="5" t="s">
        <v>44</v>
      </c>
      <c r="J10" s="5" t="s">
        <v>487</v>
      </c>
      <c r="K10" s="3">
        <v>46245</v>
      </c>
      <c r="L10" s="12">
        <f ca="1">IF($O10="","",$O10-TODAY())</f>
        <v>-58</v>
      </c>
      <c r="M10" s="12">
        <f ca="1">IF(AND(TRIM($A10)="Finalized",$K10&lt;&gt;""),"",IF($C10="","",$C10+180-TODAY()))</f>
        <v>47</v>
      </c>
      <c r="N10" s="12">
        <f ca="1">IF(AND(TRIM($A10)="Finalized",$K10&lt;&gt;""),"",IF($C10="","",$C10+365-TODAY()))</f>
        <v>232</v>
      </c>
      <c r="O10" s="6">
        <f>IF(AND(TRIM($A10)="Finalized",$K10&lt;&gt;""),"",DATE(2026,8,11))</f>
        <v>46245</v>
      </c>
      <c r="P10" s="5" t="s">
        <v>46</v>
      </c>
      <c r="Q10" s="5" t="s">
        <v>47</v>
      </c>
      <c r="R10" s="5" t="s">
        <v>48</v>
      </c>
      <c r="S10" s="5" t="s">
        <v>49</v>
      </c>
      <c r="T10" s="5" t="s">
        <v>50</v>
      </c>
      <c r="U10" s="5" t="s">
        <v>49</v>
      </c>
      <c r="V10" s="5"/>
      <c r="W10" s="5"/>
      <c r="X10" s="5"/>
      <c r="Y10" s="5" t="s">
        <v>51</v>
      </c>
      <c r="Z10" s="7">
        <v>3822.49</v>
      </c>
      <c r="AA10" s="7">
        <v>0</v>
      </c>
      <c r="AB10" s="7">
        <v>0</v>
      </c>
      <c r="AC10" s="6">
        <v>46175</v>
      </c>
      <c r="AD10" s="7">
        <v>3822.49</v>
      </c>
      <c r="AE10" s="4">
        <v>87</v>
      </c>
      <c r="AF10" s="5" t="s">
        <v>457</v>
      </c>
      <c r="AG10" s="5" t="s">
        <v>465</v>
      </c>
      <c r="AH10" s="5" t="s">
        <v>464</v>
      </c>
      <c r="AI10" s="5"/>
      <c r="AJ10" s="4"/>
      <c r="AK10" s="5" t="s">
        <v>140</v>
      </c>
      <c r="AL10" s="5" t="s">
        <v>472</v>
      </c>
      <c r="AM10" s="6">
        <v>46164</v>
      </c>
      <c r="AN10" s="5" t="s">
        <v>451</v>
      </c>
    </row>
    <row r="11" spans="1:40" x14ac:dyDescent="0.25">
      <c r="A11" s="2" t="s">
        <v>87</v>
      </c>
      <c r="B11" s="2" t="s">
        <v>496</v>
      </c>
      <c r="C11" s="3">
        <v>46236</v>
      </c>
      <c r="D11" s="4">
        <v>564984009</v>
      </c>
      <c r="E11" s="5" t="s">
        <v>497</v>
      </c>
      <c r="F11" s="6">
        <v>46149</v>
      </c>
      <c r="G11" s="5" t="s">
        <v>143</v>
      </c>
      <c r="H11" s="5" t="s">
        <v>143</v>
      </c>
      <c r="I11" s="5" t="s">
        <v>498</v>
      </c>
      <c r="J11" s="5" t="s">
        <v>499</v>
      </c>
      <c r="K11" s="3">
        <v>46259</v>
      </c>
      <c r="L11" s="12">
        <f ca="1">IF($O11="","",$O11-TODAY())</f>
        <v>-64</v>
      </c>
      <c r="M11" s="12">
        <f ca="1">IF(AND(TRIM($A11)="Finalized",$K11&lt;&gt;""),"",IF($C11="","",$C11+365-TODAY()))</f>
        <v>298</v>
      </c>
      <c r="N11" s="12">
        <f ca="1">IF(AND(TRIM($A11)="Finalized",$K11&lt;&gt;""),"",IF($C11="","",$C11+365-TODAY()))</f>
        <v>298</v>
      </c>
      <c r="O11" s="6">
        <f>IF(AND(TRIM($A11)="Finalized",$K11&lt;&gt;""),"",DATE(2026,8,5))</f>
        <v>46239</v>
      </c>
      <c r="P11" s="5" t="s">
        <v>46</v>
      </c>
      <c r="Q11" s="5" t="s">
        <v>145</v>
      </c>
      <c r="R11" s="5" t="s">
        <v>50</v>
      </c>
      <c r="S11" s="5" t="s">
        <v>49</v>
      </c>
      <c r="T11" s="5" t="s">
        <v>50</v>
      </c>
      <c r="U11" s="5" t="s">
        <v>49</v>
      </c>
      <c r="V11" s="5"/>
      <c r="W11" s="5"/>
      <c r="X11" s="5"/>
      <c r="Y11" s="5" t="s">
        <v>51</v>
      </c>
      <c r="Z11" s="7">
        <v>3822.49</v>
      </c>
      <c r="AA11" s="7">
        <v>0</v>
      </c>
      <c r="AB11" s="7">
        <v>0</v>
      </c>
      <c r="AC11" s="6"/>
      <c r="AD11" s="7">
        <v>3822.49</v>
      </c>
      <c r="AE11" s="4">
        <v>93</v>
      </c>
      <c r="AF11" s="5" t="s">
        <v>500</v>
      </c>
      <c r="AG11" s="5" t="s">
        <v>501</v>
      </c>
      <c r="AH11" s="5" t="s">
        <v>502</v>
      </c>
      <c r="AI11" s="5" t="s">
        <v>503</v>
      </c>
      <c r="AJ11" s="4"/>
      <c r="AK11" s="5" t="s">
        <v>81</v>
      </c>
      <c r="AL11" s="5" t="s">
        <v>450</v>
      </c>
      <c r="AM11" s="6">
        <v>46164</v>
      </c>
      <c r="AN11" s="5" t="s">
        <v>451</v>
      </c>
    </row>
    <row r="12" spans="1:40" x14ac:dyDescent="0.25">
      <c r="A12" s="2" t="s">
        <v>115</v>
      </c>
      <c r="B12" s="2" t="s">
        <v>446</v>
      </c>
      <c r="C12" s="3">
        <v>46182</v>
      </c>
      <c r="D12" s="4">
        <v>560709048</v>
      </c>
      <c r="E12" s="5" t="s">
        <v>447</v>
      </c>
      <c r="F12" s="6">
        <v>46163</v>
      </c>
      <c r="G12" s="5" t="s">
        <v>323</v>
      </c>
      <c r="H12" s="5" t="s">
        <v>323</v>
      </c>
      <c r="I12" s="5" t="s">
        <v>44</v>
      </c>
      <c r="J12" s="5" t="s">
        <v>448</v>
      </c>
      <c r="K12" s="3">
        <v>46246</v>
      </c>
      <c t="str" r="L12" s="12">
        <f ca="1">IF($O12="","",$O12-TODAY())</f>
        <v/>
      </c>
      <c t="str" r="M12" s="12">
        <f ca="1">IF(AND(TRIM($A12)="Finalized",$K12&lt;&gt;""),"",IF($F12="","",$F12+90-TODAY()))</f>
        <v/>
      </c>
      <c t="str" r="N12" s="12">
        <f ca="1">IF(AND(TRIM($A12)="Finalized",$K12&lt;&gt;""),"",IF($C12="","",$C12+180-TODAY()))</f>
        <v/>
      </c>
      <c t="str" r="O12" s="6">
        <f>IF(AND(TRIM($A12)="Finalized",$K12&lt;&gt;""),"",DATE(2026,8,19))</f>
        <v/>
      </c>
      <c r="P12" s="5" t="s">
        <v>46</v>
      </c>
      <c r="Q12" s="5" t="s">
        <v>325</v>
      </c>
      <c r="R12" s="5" t="s">
        <v>46</v>
      </c>
      <c r="S12" s="5" t="s">
        <v>191</v>
      </c>
      <c r="T12" s="5" t="s">
        <v>48</v>
      </c>
      <c r="U12" s="5" t="s">
        <v>49</v>
      </c>
      <c r="V12" s="5"/>
      <c r="W12" s="5"/>
      <c r="X12" s="5"/>
      <c r="Y12" s="5" t="s">
        <v>51</v>
      </c>
      <c r="Z12" s="7">
        <v>2528.2600000000002</v>
      </c>
      <c r="AA12" s="7">
        <v>0</v>
      </c>
      <c r="AB12" s="7">
        <v>0</v>
      </c>
      <c r="AC12" s="6">
        <v>46182</v>
      </c>
      <c r="AD12" s="7">
        <v>2528.2600000000002</v>
      </c>
      <c r="AE12" s="4">
        <v>79</v>
      </c>
      <c r="AF12" s="5" t="s">
        <v>449</v>
      </c>
      <c r="AG12" s="5"/>
      <c r="AH12" s="5"/>
      <c r="AI12" s="5"/>
      <c r="AJ12" s="4"/>
      <c r="AK12" s="5" t="s">
        <v>81</v>
      </c>
      <c r="AL12" s="5" t="s">
        <v>450</v>
      </c>
      <c r="AM12" s="6">
        <v>46171</v>
      </c>
      <c r="AN12" s="5" t="s">
        <v>451</v>
      </c>
    </row>
    <row r="13" spans="1:40" x14ac:dyDescent="0.25">
      <c r="A13" s="2" t="s">
        <v>115</v>
      </c>
      <c r="B13" s="2" t="s">
        <v>458</v>
      </c>
      <c r="C13" s="3">
        <v>46175</v>
      </c>
      <c r="D13" s="4">
        <v>560711027</v>
      </c>
      <c r="E13" s="5" t="s">
        <v>459</v>
      </c>
      <c r="F13" s="6">
        <v>46168</v>
      </c>
      <c r="G13" s="5" t="s">
        <v>366</v>
      </c>
      <c r="H13" s="5" t="s">
        <v>366</v>
      </c>
      <c r="I13" s="5" t="s">
        <v>44</v>
      </c>
      <c r="J13" s="5" t="s">
        <v>460</v>
      </c>
      <c r="K13" s="3">
        <v>46251</v>
      </c>
      <c t="str" r="L13" s="12">
        <f ca="1">IF($O13="","",$O13-TODAY())</f>
        <v/>
      </c>
      <c t="str" r="M13" s="12">
        <f ca="1">IF(AND(TRIM($A13)="Finalized",$K13&lt;&gt;""),"",IF($F13="","",$F13+90-TODAY()))</f>
        <v/>
      </c>
      <c t="str" r="N13" s="12">
        <f ca="1">IF(AND(TRIM($A13)="Finalized",$K13&lt;&gt;""),"",IF($C13="","",$C13+60-TODAY()))</f>
        <v/>
      </c>
      <c t="str" r="O13" s="6">
        <f>IF(AND(TRIM($A13)="Finalized",$K13&lt;&gt;""),"",DATE(2026,8,24))</f>
        <v/>
      </c>
      <c r="P13" s="5" t="s">
        <v>46</v>
      </c>
      <c r="Q13" s="5" t="s">
        <v>368</v>
      </c>
      <c r="R13" s="5" t="s">
        <v>46</v>
      </c>
      <c r="S13" s="5" t="s">
        <v>191</v>
      </c>
      <c r="T13" s="5" t="s">
        <v>144</v>
      </c>
      <c r="U13" s="5" t="s">
        <v>49</v>
      </c>
      <c r="V13" s="5"/>
      <c r="W13" s="5"/>
      <c r="X13" s="5"/>
      <c r="Y13" s="5" t="s">
        <v>51</v>
      </c>
      <c r="Z13" s="7">
        <v>1294.23</v>
      </c>
      <c r="AA13" s="7">
        <v>0</v>
      </c>
      <c r="AB13" s="7">
        <v>0</v>
      </c>
      <c r="AC13" s="6"/>
      <c r="AD13" s="7">
        <v>1294.23</v>
      </c>
      <c r="AE13" s="4">
        <v>74</v>
      </c>
      <c r="AF13" s="5" t="s">
        <v>461</v>
      </c>
      <c r="AG13" s="5" t="s">
        <v>456</v>
      </c>
      <c r="AH13" s="5" t="s">
        <v>212</v>
      </c>
      <c r="AI13" s="5"/>
      <c r="AJ13" s="4"/>
      <c r="AK13" s="5" t="s">
        <v>97</v>
      </c>
      <c r="AL13" s="5" t="s">
        <v>86</v>
      </c>
      <c r="AM13" s="6">
        <v>46171</v>
      </c>
      <c r="AN13" s="5" t="s">
        <v>451</v>
      </c>
    </row>
    <row r="14" spans="1:40" x14ac:dyDescent="0.25">
      <c r="A14" s="2" t="s">
        <v>115</v>
      </c>
      <c r="B14" s="2" t="s">
        <v>473</v>
      </c>
      <c r="C14" s="3">
        <v>46185</v>
      </c>
      <c r="D14" s="4">
        <v>560032270</v>
      </c>
      <c r="E14" s="5" t="s">
        <v>474</v>
      </c>
      <c r="F14" s="6">
        <v>46147</v>
      </c>
      <c r="G14" s="5" t="s">
        <v>106</v>
      </c>
      <c r="H14" s="5" t="s">
        <v>106</v>
      </c>
      <c r="I14" s="5" t="s">
        <v>44</v>
      </c>
      <c r="J14" s="5" t="s">
        <v>460</v>
      </c>
      <c r="K14" s="3">
        <v>46252</v>
      </c>
      <c t="str" r="L14" s="12">
        <f ca="1">IF($O14="","",$O14-TODAY())</f>
        <v/>
      </c>
      <c t="str" r="M14" s="12">
        <f ca="1">IF(AND(TRIM($A14)="Finalized",$K14&lt;&gt;""),"",IF($C14="","",$C14+180-TODAY()))</f>
        <v/>
      </c>
      <c t="str" r="N14" s="12">
        <f ca="1">IF(AND(TRIM($A14)="Finalized",$K14&lt;&gt;""),"",IF($C14="","",$C14+180-TODAY()))</f>
        <v/>
      </c>
      <c t="str" r="O14" s="6">
        <f>IF(AND(TRIM($A14)="Finalized",$K14&lt;&gt;""),"",DATE(2026,9,2))</f>
        <v/>
      </c>
      <c r="P14" s="5" t="s">
        <v>103</v>
      </c>
      <c r="Q14" s="5" t="s">
        <v>108</v>
      </c>
      <c r="R14" s="5" t="s">
        <v>48</v>
      </c>
      <c r="S14" s="5" t="s">
        <v>49</v>
      </c>
      <c r="T14" s="5" t="s">
        <v>48</v>
      </c>
      <c r="U14" s="5" t="s">
        <v>49</v>
      </c>
      <c r="V14" s="5"/>
      <c r="W14" s="5"/>
      <c r="X14" s="5"/>
      <c r="Y14" s="5" t="s">
        <v>51</v>
      </c>
      <c r="Z14" s="7">
        <v>1294.23</v>
      </c>
      <c r="AA14" s="7">
        <v>0</v>
      </c>
      <c r="AB14" s="7">
        <v>0</v>
      </c>
      <c r="AC14" s="6">
        <v>46185</v>
      </c>
      <c r="AD14" s="7">
        <v>1294.23</v>
      </c>
      <c r="AE14" s="4">
        <v>95</v>
      </c>
      <c r="AF14" s="5" t="s">
        <v>475</v>
      </c>
      <c r="AG14" s="5"/>
      <c r="AH14" s="5"/>
      <c r="AI14" s="5"/>
      <c r="AJ14" s="4"/>
      <c r="AK14" s="5" t="s">
        <v>97</v>
      </c>
      <c r="AL14" s="5" t="s">
        <v>86</v>
      </c>
      <c r="AM14" s="6">
        <v>46164</v>
      </c>
      <c r="AN14" s="5" t="s">
        <v>451</v>
      </c>
    </row>
    <row r="15" spans="1:40" x14ac:dyDescent="0.25">
      <c r="A15" s="2" t="s">
        <v>115</v>
      </c>
      <c r="B15" s="15" t="s">
        <v>529</v>
      </c>
      <c r="C15" s="3">
        <v>46245</v>
      </c>
      <c r="D15" s="4">
        <v>560072534</v>
      </c>
      <c r="E15" s="5" t="s">
        <v>359</v>
      </c>
      <c r="F15" s="6">
        <v>46155</v>
      </c>
      <c r="G15" s="5" t="s">
        <v>106</v>
      </c>
      <c r="H15" s="5" t="s">
        <v>118</v>
      </c>
      <c r="I15" s="5" t="s">
        <v>106</v>
      </c>
      <c r="J15" s="5" t="s">
        <v>480</v>
      </c>
      <c r="K15" s="3">
        <v>46258</v>
      </c>
      <c t="str" r="L15" s="12">
        <f ca="1">IF($O15="","",$O15-TODAY())</f>
        <v/>
      </c>
      <c t="str" r="M15" s="12">
        <f ca="1">IF(AND(TRIM($A15)="Finalized",$K15&lt;&gt;""),"",IF($C15="","",$C15+365-TODAY()))</f>
        <v/>
      </c>
      <c t="str" r="N15" s="12">
        <f ca="1">IF(AND(TRIM($A15)="Finalized",$K15&lt;&gt;""),"",IF($C15="","",$C15+120-TODAY()))</f>
        <v/>
      </c>
      <c t="str" r="O15" s="6">
        <f>IF(AND(TRIM($A15)="Finalized",$K15&lt;&gt;""),"",DATE(2027,5,13))</f>
        <v/>
      </c>
      <c r="P15" s="5" t="s">
        <v>50</v>
      </c>
      <c r="Q15" s="5" t="s">
        <v>121</v>
      </c>
      <c r="R15" s="5" t="s">
        <v>50</v>
      </c>
      <c r="S15" s="5" t="s">
        <v>49</v>
      </c>
      <c r="T15" s="5" t="s">
        <v>103</v>
      </c>
      <c r="U15" s="5" t="s">
        <v>49</v>
      </c>
      <c r="V15" s="5"/>
      <c r="W15" s="5"/>
      <c r="X15" s="5"/>
      <c r="Y15" s="5" t="s">
        <v>51</v>
      </c>
      <c r="Z15" s="7">
        <v>3822.49</v>
      </c>
      <c r="AA15" s="7">
        <v>3379.94</v>
      </c>
      <c r="AB15" s="7">
        <v>347.58</v>
      </c>
      <c r="AC15" s="6">
        <v>46181</v>
      </c>
      <c r="AD15" s="7">
        <v>94.97</v>
      </c>
      <c r="AE15" s="4">
        <v>87</v>
      </c>
      <c r="AF15" s="5" t="s">
        <v>475</v>
      </c>
      <c r="AG15" s="5"/>
      <c r="AH15" s="5"/>
      <c r="AI15" s="5"/>
      <c r="AJ15" s="4">
        <v>563214016</v>
      </c>
      <c r="AK15" s="5" t="s">
        <v>140</v>
      </c>
      <c r="AL15" s="5" t="s">
        <v>472</v>
      </c>
      <c r="AM15" s="6">
        <v>46164</v>
      </c>
      <c r="AN15" s="5" t="s">
        <v>451</v>
      </c>
    </row>
    <row r="16" spans="1:40" x14ac:dyDescent="0.25">
      <c r="A16" s="2" t="s">
        <v>116</v>
      </c>
      <c r="B16" s="2" t="s">
        <v>491</v>
      </c>
      <c r="C16" s="3">
        <v>46248</v>
      </c>
      <c r="D16" s="4">
        <v>567453889</v>
      </c>
      <c r="E16" s="5" t="s">
        <v>492</v>
      </c>
      <c r="F16" s="6">
        <v>46154</v>
      </c>
      <c r="G16" s="5" t="s">
        <v>323</v>
      </c>
      <c r="H16" s="5" t="s">
        <v>323</v>
      </c>
      <c r="I16" s="5" t="s">
        <v>44</v>
      </c>
      <c r="J16" s="5" t="s">
        <v>448</v>
      </c>
      <c r="K16" s="3">
        <v>46237</v>
      </c>
      <c r="L16" s="12">
        <f ca="1">IF($O16="","",$O16-TODAY())</f>
        <v>-59</v>
      </c>
      <c r="M16" s="12">
        <f ca="1">IF(AND(TRIM($A16)="Finalized",$K16&lt;&gt;""),"",IF($F16="","",$F16+90-TODAY()))</f>
        <v>-59</v>
      </c>
      <c r="N16" s="12">
        <f ca="1">IF(AND(TRIM($A16)="Finalized",$K16&lt;&gt;""),"",IF($C16="","",$C16+180-TODAY()))</f>
        <v>125</v>
      </c>
      <c r="O16" s="6">
        <f>IF(AND(TRIM($A16)="Finalized",$K16&lt;&gt;""),"",DATE(2026,8,10))</f>
        <v>46244</v>
      </c>
      <c r="P16" s="5" t="s">
        <v>46</v>
      </c>
      <c r="Q16" s="5" t="s">
        <v>325</v>
      </c>
      <c r="R16" s="5" t="s">
        <v>46</v>
      </c>
      <c r="S16" s="5" t="s">
        <v>191</v>
      </c>
      <c r="T16" s="5" t="s">
        <v>48</v>
      </c>
      <c r="U16" s="5" t="s">
        <v>49</v>
      </c>
      <c r="V16" s="5"/>
      <c r="W16" s="5"/>
      <c r="X16" s="5"/>
      <c r="Y16" s="5" t="s">
        <v>51</v>
      </c>
      <c r="Z16" s="7">
        <v>2528.2600000000002</v>
      </c>
      <c r="AA16" s="7">
        <v>0</v>
      </c>
      <c r="AB16" s="7">
        <v>0</v>
      </c>
      <c r="AC16" s="6">
        <v>46170</v>
      </c>
      <c r="AD16" s="7">
        <v>2528.2600000000002</v>
      </c>
      <c r="AE16" s="4">
        <v>88</v>
      </c>
      <c r="AF16" s="5" t="s">
        <v>493</v>
      </c>
      <c r="AG16" s="5" t="s">
        <v>456</v>
      </c>
      <c r="AH16" s="5"/>
      <c r="AI16" s="5"/>
      <c r="AJ16" s="4"/>
      <c r="AK16" s="5" t="s">
        <v>97</v>
      </c>
      <c r="AL16" s="5" t="s">
        <v>86</v>
      </c>
      <c r="AM16" s="6">
        <v>46164</v>
      </c>
      <c r="AN16" s="5" t="s">
        <v>451</v>
      </c>
    </row>
  </sheetData>
  <autoFilter ref="A1:AN16" xr:uid="{00000000-0009-0000-0000-000004000000}"/>
  <conditionalFormatting sqref="L2:O1000">
    <cfRule type="expression" dxfId="96" priority="1" stopIfTrue="1">
      <formula>AND(TRIM($A2)="Finalized",$K2&lt;&gt;"")</formula>
    </cfRule>
  </conditionalFormatting>
  <conditionalFormatting sqref="L2:L16">
    <cfRule type="expression" dxfId="19" priority="2">
      <formula>AND($L2&lt;&gt;"", $L2&gt;=0, $L2&lt;=5)</formula>
    </cfRule>
    <cfRule type="expression" dxfId="18" priority="3">
      <formula>AND($L2&lt;&gt;"", $L2&gt;5, $L2&lt;=30)</formula>
    </cfRule>
    <cfRule type="expression" dxfId="17" priority="4">
      <formula>AND($L2&lt;&gt;"", $L2&gt;30)</formula>
    </cfRule>
    <cfRule type="expression" dxfId="16" priority="5">
      <formula>AND($L2&lt;&gt;"", $L2&lt;0)</formula>
    </cfRule>
    <cfRule type="expression" dxfId="15" priority="6">
      <formula>$L2=""</formula>
    </cfRule>
  </conditionalFormatting>
  <conditionalFormatting sqref="M2:M16">
    <cfRule type="expression" dxfId="14" priority="7">
      <formula>AND($M2&lt;&gt;"", $M2&gt;=0, $M2&lt;=5)</formula>
    </cfRule>
    <cfRule type="expression" dxfId="13" priority="8">
      <formula>AND($M2&lt;&gt;"", $M2&gt;5, $M2&lt;=30)</formula>
    </cfRule>
    <cfRule type="expression" dxfId="12" priority="9">
      <formula>AND($M2&lt;&gt;"", $M2&gt;30)</formula>
    </cfRule>
    <cfRule type="expression" dxfId="11" priority="10">
      <formula>AND($M2&lt;&gt;"", $M2&lt;0)</formula>
    </cfRule>
    <cfRule type="expression" dxfId="10" priority="11">
      <formula>$M2=""</formula>
    </cfRule>
  </conditionalFormatting>
  <conditionalFormatting sqref="N2:N16">
    <cfRule type="expression" dxfId="9" priority="12">
      <formula>AND($N2&lt;&gt;"", $N2&gt;=0, $N2&lt;=5)</formula>
    </cfRule>
    <cfRule type="expression" dxfId="8" priority="13">
      <formula>AND($N2&lt;&gt;"", $N2&gt;5, $N2&lt;=30)</formula>
    </cfRule>
    <cfRule type="expression" dxfId="7" priority="14">
      <formula>AND($N2&lt;&gt;"", $N2&gt;30)</formula>
    </cfRule>
    <cfRule type="expression" dxfId="6" priority="15">
      <formula>AND($N2&lt;&gt;"", $N2&lt;0)</formula>
    </cfRule>
    <cfRule type="expression" dxfId="5" priority="16">
      <formula>$N2=""</formula>
    </cfRule>
  </conditionalFormatting>
  <conditionalFormatting sqref="O2:U16">
    <cfRule type="expression" dxfId="4" priority="17">
      <formula>AND($L2&lt;&gt;"", $L2&gt;=0, $L2&lt;=5)</formula>
    </cfRule>
    <cfRule type="expression" dxfId="3" priority="18">
      <formula>AND($L2&lt;&gt;"", $L2&gt;5, $L2&lt;=30)</formula>
    </cfRule>
    <cfRule type="expression" dxfId="2" priority="19">
      <formula>AND($L2&lt;&gt;"", $L2&gt;30)</formula>
    </cfRule>
    <cfRule type="expression" dxfId="1" priority="20">
      <formula>AND($L2&lt;&gt;"", $L2&lt;0)</formula>
    </cfRule>
    <cfRule type="expression" dxfId="0" priority="21">
      <formula>$L2=""</formula>
    </cfRule>
  </conditionalFormatting>
  <conditionalFormatting sqref="A2:AN1000">
    <cfRule type="expression" dxfId="95" priority="22">
      <formula>TRIM($A2)="PAID"</formula>
    </cfRule>
    <cfRule type="expression" dxfId="96" priority="23">
      <formula>TRIM($A2)="Finalized"</formula>
    </cfRule>
    <cfRule type="expression" dxfId="97" priority="24">
      <formula>TRIM($A2)="Received"</formula>
    </cfRule>
    <cfRule type="expression" dxfId="98" priority="25">
      <formula>TRIM($A2)="Pending"</formula>
    </cfRule>
    <cfRule type="expression" dxfId="99" priority="26">
      <formula>TRIM($A2)="Under Review"</formula>
    </cfRule>
    <cfRule type="expression" dxfId="100" priority="27">
      <formula>AND(TRIM($A2)="Denied",$K2="")</formula>
    </cfRule>
    <cfRule type="expression" dxfId="103" priority="30">
      <formula>AND(TRIM($A2)="Denied",$K2&lt;&gt;"")</formula>
    </cfRule>
    <cfRule type="expression" dxfId="101" priority="28">
      <formula>TRIM($A2)="Rejected"</formula>
    </cfRule>
    <cfRule type="expression" dxfId="102"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504</v>
      </c>
    </row>
    <row r="2" spans="1:1" x14ac:dyDescent="0.25">
      <c r="A2" s="9"/>
    </row>
    <row r="3" spans="1:1" x14ac:dyDescent="0.25">
      <c r="A3" s="9" t="str">
        <f>COUNTA(BH!$D$2:$D$1000,DME!$D$2:$D$1000,GAE!$D$2:$D$1000,ORTHO!$D$2:$D$1000,US!$D$2:$D$1000)&amp;" claims with a date of service in 2026-05 May, split into one sheet per specialty: BH, DME, GAE, ORTHO, US."</f>
        <v>107 claims with a date of service in 2026-05 May, split into one sheet per specialty: BH, DME, GAE, ORTHO, US.</v>
      </c>
    </row>
    <row r="4" spans="1:1" x14ac:dyDescent="0.25">
      <c r="A4" s="9"/>
    </row>
    <row r="5" spans="1:1" x14ac:dyDescent="0.25">
      <c r="A5" s="10" t="s">
        <v>505</v>
      </c>
    </row>
    <row r="6" spans="1:1" ht="90" x14ac:dyDescent="0.25">
      <c r="A6" s="9" t="s">
        <v>541</v>
      </c>
    </row>
    <row r="7" spans="1:1" x14ac:dyDescent="0.25">
      <c r="A7" s="9" t="s">
        <v>542</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1</v>
      </c>
    </row>
    <row r="10" spans="1:1" x14ac:dyDescent="0.25">
      <c r="A10" s="9" t="str">
        <f>"    3 - Due in 31+ days: "&amp;SUM(COUNTIFS(BH!$L$2:$L$1000,"&gt;30"),COUNTIFS(DME!$L$2:$L$1000,"&gt;30"),COUNTIFS(GAE!$L$2:$L$1000,"&gt;30"),COUNTIFS(ORTHO!$L$2:$L$1000,"&gt;30"),COUNTIFS(US!$L$2:$L$1000,"&gt;30"))</f>
        <v>    3 - Due in 31+ days: 28</v>
      </c>
    </row>
    <row r="11" spans="1:1" x14ac:dyDescent="0.25">
      <c r="A11" s="9" t="str">
        <f>"    4 - Past deadline: "&amp;SUM(COUNTIFS(BH!$L$2:$L$1000,"&lt;0"),COUNTIFS(DME!$L$2:$L$1000,"&lt;0"),COUNTIFS(GAE!$L$2:$L$1000,"&lt;0"),COUNTIFS(ORTHO!$L$2:$L$1000,"&lt;0"),COUNTIFS(US!$L$2:$L$1000,"&lt;0"))</f>
        <v>    4 - Past deadline: 40</v>
      </c>
    </row>
    <row r="12" spans="1:1" x14ac:dyDescent="0.25">
      <c r="A12" s="9" t="str">
        <f>"    5 - No limit on file: "&amp;SUM(SUMPRODUCT((BH!$D$2:$D$1000&lt;&gt;"")*(BH!$L$2:$L$1000="")*(1-(TRIM(BH!$A$2:$A$1000)="Finalized")*(BH!$K$2:$K$1000&lt;&gt;""))),SUMPRODUCT((DME!$D$2:$D$1000&lt;&gt;"")*(DME!$L$2:$L$1000="")*(1-(TRIM(DME!$A$2:$A$1000)="Finalized")*(DME!$K$2:$K$1000&lt;&gt;""))),SUMPRODUCT((GAE!$D$2:$D$1000&lt;&gt;"")*(GAE!$L$2:$L$1000="")*(1-(TRIM(GAE!$A$2:$A$1000)="Finalized")*(GAE!$K$2:$K$1000&lt;&gt;""))),SUMPRODUCT((ORTHO!$D$2:$D$1000&lt;&gt;"")*(ORTHO!$L$2:$L$1000="")*(1-(TRIM(ORTHO!$A$2:$A$1000)="Finalized")*(ORTHO!$K$2:$K$1000&lt;&gt;""))),SUMPRODUCT((US!$D$2:$D$1000&lt;&gt;"")*(US!$L$2:$L$1000="")*(1-(TRIM(US!$A$2:$A$1000)="Finalized")*(US!$K$2:$K$1000&lt;&gt;""))))</f>
        <v>    5 - No limit on file: 10</v>
      </c>
    </row>
    <row r="13" spans="1:1" x14ac:dyDescent="0.25">
      <c r="A13" s="9"/>
    </row>
    <row r="14" spans="1:1" ht="30" x14ac:dyDescent="0.25">
      <c r="A14" s="9" t="s">
        <v>506</v>
      </c>
    </row>
    <row r="15" spans="1:1" ht="60" x14ac:dyDescent="0.25">
      <c r="A15" s="9" t="s">
        <v>507</v>
      </c>
    </row>
    <row r="16" spans="1:1" ht="30" x14ac:dyDescent="0.25">
      <c r="A16" s="9" t="s">
        <v>508</v>
      </c>
    </row>
    <row r="17" spans="1:1" ht="30" x14ac:dyDescent="0.25">
      <c r="A17" s="9" t="s">
        <v>509</v>
      </c>
    </row>
    <row r="18" spans="1:1" x14ac:dyDescent="0.25">
      <c r="A18" s="9"/>
    </row>
    <row r="19" spans="1:1" x14ac:dyDescent="0.25">
      <c r="A19" s="10" t="s">
        <v>510</v>
      </c>
    </row>
    <row r="20" spans="1:1" ht="45" x14ac:dyDescent="0.25">
      <c r="A20" s="9" t="s">
        <v>511</v>
      </c>
    </row>
    <row r="21" spans="1:1" x14ac:dyDescent="0.25">
      <c r="A21" s="9" t="s">
        <v>538</v>
      </c>
    </row>
    <row r="22" spans="1:1" ht="30" x14ac:dyDescent="0.25">
      <c r="A22" s="9" t="s">
        <v>512</v>
      </c>
    </row>
    <row r="23" spans="1:1" x14ac:dyDescent="0.25">
      <c r="A23" s="9"/>
    </row>
    <row r="24" spans="1:1" x14ac:dyDescent="0.25">
      <c r="A24" s="10" t="s">
        <v>513</v>
      </c>
    </row>
    <row r="25" spans="1:1" ht="30" x14ac:dyDescent="0.25">
      <c r="A25" s="9" t="s">
        <v>514</v>
      </c>
    </row>
    <row r="26" spans="1:1" ht="45" x14ac:dyDescent="0.25">
      <c r="A26" s="9" t="s">
        <v>515</v>
      </c>
    </row>
    <row r="27" spans="1:1" x14ac:dyDescent="0.25">
      <c r="A27" s="9"/>
    </row>
    <row r="28" spans="1:1" x14ac:dyDescent="0.25">
      <c r="A28" s="10" t="s">
        <v>516</v>
      </c>
    </row>
    <row r="29" spans="1:1" ht="45" x14ac:dyDescent="0.25">
      <c r="A29" s="9" t="s">
        <v>517</v>
      </c>
    </row>
    <row r="30" spans="1:1" ht="45" x14ac:dyDescent="0.25">
      <c r="A30" s="9" t="s">
        <v>518</v>
      </c>
    </row>
    <row r="31" spans="1:1" ht="30" x14ac:dyDescent="0.25">
      <c r="A31" s="9" t="s">
        <v>519</v>
      </c>
    </row>
    <row r="32" spans="1:1" x14ac:dyDescent="0.25">
      <c r="A32" s="9"/>
    </row>
    <row r="33" spans="1:1" x14ac:dyDescent="0.25">
      <c r="A33" s="10" t="s">
        <v>520</v>
      </c>
    </row>
    <row r="34" spans="1:1" ht="45" x14ac:dyDescent="0.25">
      <c r="A34" s="9" t="s">
        <v>548</v>
      </c>
    </row>
    <row r="35" spans="1:1" ht="30" x14ac:dyDescent="0.25">
      <c r="A35" s="9" t="s">
        <v>521</v>
      </c>
    </row>
    <row r="36" spans="1:1" x14ac:dyDescent="0.25">
      <c r="A36" s="9"/>
    </row>
    <row r="37" spans="1:1" x14ac:dyDescent="0.25">
      <c r="A37" s="9" t="s">
        <v>522</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95" priority="1">
      <formula>TRUE</formula>
    </cfRule>
  </conditionalFormatting>
  <conditionalFormatting sqref="A42">
    <cfRule type="expression" dxfId="96" priority="2">
      <formula>TRUE</formula>
    </cfRule>
  </conditionalFormatting>
  <conditionalFormatting sqref="A43">
    <cfRule type="expression" dxfId="97" priority="3">
      <formula>TRUE</formula>
    </cfRule>
  </conditionalFormatting>
  <conditionalFormatting sqref="A44">
    <cfRule type="expression" dxfId="98" priority="4">
      <formula>TRUE</formula>
    </cfRule>
  </conditionalFormatting>
  <conditionalFormatting sqref="A45">
    <cfRule type="expression" dxfId="99" priority="5">
      <formula>TRUE</formula>
    </cfRule>
  </conditionalFormatting>
  <conditionalFormatting sqref="A46">
    <cfRule type="expression" dxfId="100" priority="6">
      <formula>TRUE</formula>
    </cfRule>
  </conditionalFormatting>
  <conditionalFormatting sqref="A47">
    <cfRule type="expression" dxfId="101" priority="7">
      <formula>TRUE</formula>
    </cfRule>
  </conditionalFormatting>
  <conditionalFormatting sqref="A48">
    <cfRule type="expression" dxfId="102" priority="8">
      <formula>TRUE</formula>
    </cfRule>
  </conditionalFormatting>
  <conditionalFormatting sqref="A49">
    <cfRule type="expression" dxfId="103"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2026-08-13T00:38:30Z</dcterms:created>
  <dcterms:modified xsi:type="dcterms:W3CDTF">2026-10-08T14:59:28Z</dcterms:modified>
  <cp:category/>
  <cp:contentStatus/>
</cp:coreProperties>
</file>