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5" l="1"/>
  <c r="M8" i="5"/>
  <c r="L8" i="5"/>
  <c r="N7" i="5"/>
  <c r="M7" i="5"/>
  <c r="L7" i="5"/>
  <c r="N6" i="5"/>
  <c r="M6" i="5"/>
  <c r="L6" i="5"/>
  <c r="N5" i="5"/>
  <c r="M5" i="5"/>
  <c r="L5" i="5"/>
  <c r="N4" i="5"/>
  <c r="M4" i="5"/>
  <c r="L4" i="5"/>
  <c r="N3" i="5"/>
  <c r="M3" i="5"/>
  <c r="L3" i="5"/>
  <c r="N2" i="5"/>
  <c r="M2" i="5"/>
  <c r="L2" i="5"/>
  <c r="L10" i="4"/>
  <c r="L9" i="4"/>
  <c r="N8" i="4"/>
  <c r="M8" i="4"/>
  <c r="L8" i="4"/>
  <c r="N7" i="4"/>
  <c r="M7" i="4"/>
  <c r="L7" i="4"/>
  <c r="N6" i="4"/>
  <c r="M6" i="4"/>
  <c r="L6" i="4"/>
  <c r="N5" i="4"/>
  <c r="M5" i="4"/>
  <c r="L5" i="4"/>
  <c r="N4" i="4"/>
  <c r="M4" i="4"/>
  <c r="L4" i="4"/>
  <c r="N3" i="4"/>
  <c r="M3" i="4"/>
  <c r="L3" i="4"/>
  <c r="N2" i="4"/>
  <c r="M2" i="4"/>
  <c r="L2" i="4"/>
  <c r="N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N8" i="2"/>
  <c r="M8" i="2"/>
  <c r="L8" i="2"/>
  <c r="N7" i="2"/>
  <c r="M7" i="2"/>
  <c r="L7" i="2"/>
  <c r="N6" i="2"/>
  <c r="M6" i="2"/>
  <c r="L6" i="2"/>
  <c r="N5" i="2"/>
  <c r="M5" i="2"/>
  <c r="L5" i="2"/>
  <c r="N4" i="2"/>
  <c r="M4" i="2"/>
  <c r="L4" i="2"/>
  <c r="N3" i="2"/>
  <c r="M3" i="2"/>
  <c r="L3" i="2"/>
  <c r="N2" i="2"/>
  <c r="M2" i="2"/>
  <c r="L2" i="2"/>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<sst xmlns="http://schemas.openxmlformats.org/spreadsheetml/2006/main" count="1155" uniqueCount="318">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</sst>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40</v>
      </c>
      <c r="B2" s="2" t="s">
        <v>41</v>
      </c>
      <c r="C2" s="4">
        <v>46071</v>
      </c>
      <c r="D2" s="5">
        <v>545752977</v>
      </c>
      <c r="E2" s="6" t="s">
        <v>42</v>
      </c>
      <c r="F2" s="7">
        <v>46031</v>
      </c>
      <c r="G2" s="6" t="s">
        <v>43</v>
      </c>
      <c r="H2" s="6" t="s">
        <v>44</v>
      </c>
      <c r="I2" s="6" t="s">
        <v>43</v>
      </c>
      <c r="J2" s="6" t="s">
        <v>45</v>
      </c>
      <c r="K2" s="4">
        <v>46129</v>
      </c>
      <c r="L2" s="14">
        <f t="shared" ref="L2:L17" ca="1" si="0">IF($O2="","",$O2-TODAY())</f>
        <v>92</v>
      </c>
      <c r="M2" s="14">
        <f ca="1">IF($C2="","",$C2+365-TODAY())</f>
        <v>132</v>
      </c>
      <c r="N2" s="14">
        <f ca="1">IF($C2="","",$C2+120-TODAY())</f>
        <v>-113</v>
      </c>
      <c r="O2" s="7">
        <v>46396</v>
      </c>
      <c r="P2" s="6" t="s">
        <v>46</v>
      </c>
      <c r="Q2" s="6" t="s">
        <v>47</v>
      </c>
      <c r="R2" s="6" t="s">
        <v>46</v>
      </c>
      <c r="S2" s="6" t="s">
        <v>48</v>
      </c>
      <c r="T2" s="6" t="s">
        <v>49</v>
      </c>
      <c r="U2" s="6" t="s">
        <v>48</v>
      </c>
      <c r="V2" s="6"/>
      <c r="W2" s="6"/>
      <c r="X2" s="6"/>
      <c r="Y2" s="6" t="s">
        <v>50</v>
      </c>
      <c r="Z2" s="9">
        <v>1822.52</v>
      </c>
      <c r="AA2" s="9">
        <v>1569.38</v>
      </c>
      <c r="AB2" s="9">
        <v>197.72</v>
      </c>
      <c r="AC2" s="7">
        <v>46071</v>
      </c>
      <c r="AD2" s="9">
        <v>55.42</v>
      </c>
      <c r="AE2" s="5">
        <v>211</v>
      </c>
      <c r="AF2" s="6" t="s">
        <v>51</v>
      </c>
      <c r="AG2" s="6"/>
      <c r="AH2" s="6"/>
      <c r="AI2" s="6"/>
      <c r="AJ2" s="5">
        <v>550866078</v>
      </c>
      <c r="AK2" s="6" t="s">
        <v>52</v>
      </c>
      <c r="AL2" s="6" t="s">
        <v>53</v>
      </c>
      <c r="AM2" s="7">
        <v>46057</v>
      </c>
      <c r="AN2" s="6" t="s">
        <v>54</v>
      </c>
    </row>
    <row r="3" spans="1:40" x14ac:dyDescent="0.25">
      <c r="A3" s="2" t="s">
        <v>55</v>
      </c>
      <c r="B3" s="2" t="s">
        <v>41</v>
      </c>
      <c r="C3" s="4">
        <v>46071</v>
      </c>
      <c r="D3" s="5">
        <v>547309790</v>
      </c>
      <c r="E3" s="6" t="s">
        <v>56</v>
      </c>
      <c r="F3" s="7">
        <v>46043</v>
      </c>
      <c r="G3" s="6" t="s">
        <v>57</v>
      </c>
      <c r="H3" s="6" t="s">
        <v>44</v>
      </c>
      <c r="I3" s="6" t="s">
        <v>57</v>
      </c>
      <c r="J3" s="6" t="s">
        <v>58</v>
      </c>
      <c r="K3" s="4"/>
      <c r="L3" s="14">
        <f t="shared" ca="1" si="0"/>
        <v>104</v>
      </c>
      <c r="M3" s="14">
        <f ca="1">IF($C3="","",$C3+365-TODAY())</f>
        <v>132</v>
      </c>
      <c r="N3" s="14">
        <f ca="1">IF($C3="","",$C3+120-TODAY())</f>
        <v>-113</v>
      </c>
      <c r="O3" s="7">
        <v>46408</v>
      </c>
      <c r="P3" s="6" t="s">
        <v>46</v>
      </c>
      <c r="Q3" s="6" t="s">
        <v>47</v>
      </c>
      <c r="R3" s="6" t="s">
        <v>46</v>
      </c>
      <c r="S3" s="6" t="s">
        <v>48</v>
      </c>
      <c r="T3" s="6" t="s">
        <v>49</v>
      </c>
      <c r="U3" s="6" t="s">
        <v>48</v>
      </c>
      <c r="V3" s="6"/>
      <c r="W3" s="6"/>
      <c r="X3" s="6"/>
      <c r="Y3" s="6" t="s">
        <v>59</v>
      </c>
      <c r="Z3" s="9">
        <v>976.64</v>
      </c>
      <c r="AA3" s="9">
        <v>846.88</v>
      </c>
      <c r="AB3" s="9">
        <v>101.35</v>
      </c>
      <c r="AC3" s="7">
        <v>46071</v>
      </c>
      <c r="AD3" s="9">
        <v>28.41</v>
      </c>
      <c r="AE3" s="5">
        <v>199</v>
      </c>
      <c r="AF3" s="6" t="s">
        <v>60</v>
      </c>
      <c r="AG3" s="6"/>
      <c r="AH3" s="6"/>
      <c r="AI3" s="6"/>
      <c r="AJ3" s="5">
        <v>550866344</v>
      </c>
      <c r="AK3" s="6" t="s">
        <v>61</v>
      </c>
      <c r="AL3" s="6" t="s">
        <v>62</v>
      </c>
      <c r="AM3" s="7">
        <v>46056</v>
      </c>
      <c r="AN3" s="6" t="s">
        <v>54</v>
      </c>
    </row>
    <row r="4" spans="1:40" x14ac:dyDescent="0.25">
      <c r="A4" s="2" t="s">
        <v>63</v>
      </c>
      <c r="B4" s="2"/>
      <c r="C4" s="4">
        <v>46129</v>
      </c>
      <c r="D4" s="5">
        <v>555619522</v>
      </c>
      <c r="E4" s="6" t="s">
        <v>64</v>
      </c>
      <c r="F4" s="7">
        <v>46044</v>
      </c>
      <c r="G4" s="6" t="s">
        <v>44</v>
      </c>
      <c r="H4" s="6" t="s">
        <v>44</v>
      </c>
      <c r="I4" s="6" t="s">
        <v>65</v>
      </c>
      <c r="J4" s="6" t="s">
        <v>66</v>
      </c>
      <c r="K4" s="4"/>
      <c r="L4" s="14">
        <f t="shared" ca="1" si="0"/>
        <v>105</v>
      </c>
      <c r="M4" s="14">
        <f ca="1">IF($C4="","",$C4+365-TODAY())</f>
        <v>190</v>
      </c>
      <c r="N4" s="14">
        <f ca="1">IF($C4="","",$C4+120-TODAY())</f>
        <v>-55</v>
      </c>
      <c r="O4" s="7">
        <v>46409</v>
      </c>
      <c r="P4" s="6" t="s">
        <v>46</v>
      </c>
      <c r="Q4" s="6" t="s">
        <v>47</v>
      </c>
      <c r="R4" s="6" t="s">
        <v>46</v>
      </c>
      <c r="S4" s="6" t="s">
        <v>48</v>
      </c>
      <c r="T4" s="6" t="s">
        <v>49</v>
      </c>
      <c r="U4" s="6" t="s">
        <v>48</v>
      </c>
      <c r="V4" s="6"/>
      <c r="W4" s="6"/>
      <c r="X4" s="6"/>
      <c r="Y4" s="6" t="s">
        <v>59</v>
      </c>
      <c r="Z4" s="9">
        <v>1426.25</v>
      </c>
      <c r="AA4" s="9">
        <v>0</v>
      </c>
      <c r="AB4" s="9">
        <v>0</v>
      </c>
      <c r="AC4" s="7">
        <v>46129</v>
      </c>
      <c r="AD4" s="9">
        <v>1426.25</v>
      </c>
      <c r="AE4" s="5">
        <v>198</v>
      </c>
      <c r="AF4" s="6" t="s">
        <v>51</v>
      </c>
      <c r="AG4" s="6"/>
      <c r="AH4" s="6"/>
      <c r="AI4" s="6"/>
      <c r="AJ4" s="5"/>
      <c r="AK4" s="6" t="s">
        <v>67</v>
      </c>
      <c r="AL4" s="6" t="s">
        <v>62</v>
      </c>
      <c r="AM4" s="7">
        <v>46056</v>
      </c>
      <c r="AN4" s="6" t="s">
        <v>54</v>
      </c>
    </row>
    <row r="5" spans="1:40" x14ac:dyDescent="0.25">
      <c r="A5" s="2" t="s">
        <v>55</v>
      </c>
      <c r="B5" s="2" t="s">
        <v>68</v>
      </c>
      <c r="C5" s="4">
        <v>46072</v>
      </c>
      <c r="D5" s="5">
        <v>547756234</v>
      </c>
      <c r="E5" s="6" t="s">
        <v>69</v>
      </c>
      <c r="F5" s="7">
        <v>46050</v>
      </c>
      <c r="G5" s="6" t="s">
        <v>70</v>
      </c>
      <c r="H5" s="6" t="s">
        <v>44</v>
      </c>
      <c r="I5" s="6" t="s">
        <v>70</v>
      </c>
      <c r="J5" s="6" t="s">
        <v>58</v>
      </c>
      <c r="K5" s="4"/>
      <c r="L5" s="14">
        <f t="shared" ca="1" si="0"/>
        <v>111</v>
      </c>
      <c r="M5" s="14">
        <f ca="1">IF($C5="","",$C5+365-TODAY())</f>
        <v>133</v>
      </c>
      <c r="N5" s="14">
        <f ca="1">IF($C5="","",$C5+120-TODAY())</f>
        <v>-112</v>
      </c>
      <c r="O5" s="7">
        <v>46415</v>
      </c>
      <c r="P5" s="6" t="s">
        <v>46</v>
      </c>
      <c r="Q5" s="6" t="s">
        <v>47</v>
      </c>
      <c r="R5" s="6" t="s">
        <v>46</v>
      </c>
      <c r="S5" s="6" t="s">
        <v>48</v>
      </c>
      <c r="T5" s="6" t="s">
        <v>49</v>
      </c>
      <c r="U5" s="6" t="s">
        <v>48</v>
      </c>
      <c r="V5" s="6"/>
      <c r="W5" s="6"/>
      <c r="X5" s="6"/>
      <c r="Y5" s="6" t="s">
        <v>59</v>
      </c>
      <c r="Z5" s="9">
        <v>976.64</v>
      </c>
      <c r="AA5" s="9">
        <v>844.25</v>
      </c>
      <c r="AB5" s="9">
        <v>103.98</v>
      </c>
      <c r="AC5" s="7">
        <v>46072</v>
      </c>
      <c r="AD5" s="9">
        <v>28.41</v>
      </c>
      <c r="AE5" s="5">
        <v>192</v>
      </c>
      <c r="AF5" s="6" t="s">
        <v>71</v>
      </c>
      <c r="AG5" s="6"/>
      <c r="AH5" s="6"/>
      <c r="AI5" s="6"/>
      <c r="AJ5" s="5">
        <v>550865889</v>
      </c>
      <c r="AK5" s="6" t="s">
        <v>72</v>
      </c>
      <c r="AL5" s="6" t="s">
        <v>53</v>
      </c>
      <c r="AM5" s="7">
        <v>46057</v>
      </c>
      <c r="AN5" s="6" t="s">
        <v>54</v>
      </c>
    </row>
    <row r="6" spans="1:40" x14ac:dyDescent="0.25">
      <c r="A6" s="2" t="s">
        <v>63</v>
      </c>
      <c r="B6" s="2" t="s">
        <v>73</v>
      </c>
      <c r="C6" s="4">
        <v>46142</v>
      </c>
      <c r="D6" s="5">
        <v>545332485</v>
      </c>
      <c r="E6" s="6" t="s">
        <v>74</v>
      </c>
      <c r="F6" s="7">
        <v>46028</v>
      </c>
      <c r="G6" s="6" t="s">
        <v>75</v>
      </c>
      <c r="H6" s="6" t="s">
        <v>75</v>
      </c>
      <c r="I6" s="6" t="s">
        <v>76</v>
      </c>
      <c r="J6" s="6" t="s">
        <v>77</v>
      </c>
      <c r="K6" s="4">
        <v>46122</v>
      </c>
      <c r="L6" s="14">
        <f t="shared" ca="1" si="0"/>
        <v>-186</v>
      </c>
      <c r="M6" s="14">
        <f ca="1">IF($C6="","",$C6+180-TODAY())</f>
        <v>18</v>
      </c>
      <c r="N6" s="14">
        <f t="shared" ref="N6:N14" ca="1" si="1">IF($C6="","",$C6+365-TODAY())</f>
        <v>203</v>
      </c>
      <c r="O6" s="7">
        <v>46118</v>
      </c>
      <c r="P6" s="6" t="s">
        <v>78</v>
      </c>
      <c r="Q6" s="6" t="s">
        <v>79</v>
      </c>
      <c r="R6" s="6" t="s">
        <v>80</v>
      </c>
      <c r="S6" s="6" t="s">
        <v>48</v>
      </c>
      <c r="T6" s="6" t="s">
        <v>46</v>
      </c>
      <c r="U6" s="6" t="s">
        <v>48</v>
      </c>
      <c r="V6" s="6"/>
      <c r="W6" s="6"/>
      <c r="X6" s="6"/>
      <c r="Y6" s="6" t="s">
        <v>59</v>
      </c>
      <c r="Z6" s="9">
        <v>396.27</v>
      </c>
      <c r="AA6" s="9">
        <v>0</v>
      </c>
      <c r="AB6" s="9">
        <v>0</v>
      </c>
      <c r="AC6" s="7">
        <v>46142</v>
      </c>
      <c r="AD6" s="9">
        <v>396.27</v>
      </c>
      <c r="AE6" s="5">
        <v>214</v>
      </c>
      <c r="AF6" s="6" t="s">
        <v>51</v>
      </c>
      <c r="AG6" s="6"/>
      <c r="AH6" s="6"/>
      <c r="AI6" s="6"/>
      <c r="AJ6" s="5"/>
      <c r="AK6" s="6" t="s">
        <v>67</v>
      </c>
      <c r="AL6" s="6" t="s">
        <v>53</v>
      </c>
      <c r="AM6" s="7">
        <v>46057</v>
      </c>
      <c r="AN6" s="6" t="s">
        <v>54</v>
      </c>
    </row>
    <row r="7" spans="1:40" x14ac:dyDescent="0.25">
      <c r="A7" s="2" t="s">
        <v>63</v>
      </c>
      <c r="B7" s="2" t="s">
        <v>317</v>
      </c>
      <c r="C7" s="4">
        <v>46063</v>
      </c>
      <c r="D7" s="5">
        <v>545484752</v>
      </c>
      <c r="E7" s="6" t="s">
        <v>81</v>
      </c>
      <c r="F7" s="7">
        <v>46029</v>
      </c>
      <c r="G7" s="6" t="s">
        <v>43</v>
      </c>
      <c r="H7" s="6" t="s">
        <v>43</v>
      </c>
      <c r="I7" s="6" t="s">
        <v>76</v>
      </c>
      <c r="J7" s="6" t="s">
        <v>66</v>
      </c>
      <c r="K7" s="4"/>
      <c r="L7" s="14">
        <f t="shared" ca="1" si="0"/>
        <v>-185</v>
      </c>
      <c r="M7" s="14">
        <f ca="1">IF($F7="","",$F7+90-TODAY())</f>
        <v>-185</v>
      </c>
      <c r="N7" s="14">
        <f t="shared" ca="1" si="1"/>
        <v>124</v>
      </c>
      <c r="O7" s="7">
        <v>46119</v>
      </c>
      <c r="P7" s="6" t="s">
        <v>78</v>
      </c>
      <c r="Q7" s="6" t="s">
        <v>82</v>
      </c>
      <c r="R7" s="6" t="s">
        <v>78</v>
      </c>
      <c r="S7" s="6" t="s">
        <v>124</v>
      </c>
      <c r="T7" s="6" t="s">
        <v>46</v>
      </c>
      <c r="U7" s="6" t="s">
        <v>48</v>
      </c>
      <c r="V7" s="6"/>
      <c r="W7" s="6"/>
      <c r="X7" s="6"/>
      <c r="Y7" s="6" t="s">
        <v>59</v>
      </c>
      <c r="Z7" s="9">
        <v>1426.25</v>
      </c>
      <c r="AA7" s="9">
        <v>0</v>
      </c>
      <c r="AB7" s="9">
        <v>0</v>
      </c>
      <c r="AC7" s="7">
        <v>46063</v>
      </c>
      <c r="AD7" s="9">
        <v>1426.25</v>
      </c>
      <c r="AE7" s="5">
        <v>213</v>
      </c>
      <c r="AF7" s="6" t="s">
        <v>51</v>
      </c>
      <c r="AG7" s="6"/>
      <c r="AH7" s="6"/>
      <c r="AI7" s="6"/>
      <c r="AJ7" s="5"/>
      <c r="AK7" s="6" t="s">
        <v>83</v>
      </c>
      <c r="AL7" s="6" t="s">
        <v>53</v>
      </c>
      <c r="AM7" s="7">
        <v>46057</v>
      </c>
      <c r="AN7" s="6" t="s">
        <v>54</v>
      </c>
    </row>
    <row r="8" spans="1:40" x14ac:dyDescent="0.25">
      <c r="A8" s="2" t="s">
        <v>63</v>
      </c>
      <c r="B8" s="2" t="s">
        <v>317</v>
      </c>
      <c r="C8" s="4">
        <v>46141</v>
      </c>
      <c r="D8" s="5">
        <v>545748574</v>
      </c>
      <c r="E8" s="6" t="s">
        <v>84</v>
      </c>
      <c r="F8" s="7">
        <v>46031</v>
      </c>
      <c r="G8" s="6" t="s">
        <v>75</v>
      </c>
      <c r="H8" s="6" t="s">
        <v>75</v>
      </c>
      <c r="I8" s="6" t="s">
        <v>76</v>
      </c>
      <c r="J8" s="6" t="s">
        <v>66</v>
      </c>
      <c r="K8" s="4"/>
      <c r="L8" s="14">
        <f t="shared" ca="1" si="0"/>
        <v>-183</v>
      </c>
      <c r="M8" s="14">
        <f ca="1">IF($C8="","",$C8+180-TODAY())</f>
        <v>17</v>
      </c>
      <c r="N8" s="14">
        <f t="shared" ca="1" si="1"/>
        <v>202</v>
      </c>
      <c r="O8" s="7">
        <v>46121</v>
      </c>
      <c r="P8" s="6" t="s">
        <v>78</v>
      </c>
      <c r="Q8" s="6" t="s">
        <v>79</v>
      </c>
      <c r="R8" s="6" t="s">
        <v>80</v>
      </c>
      <c r="S8" s="6" t="s">
        <v>48</v>
      </c>
      <c r="T8" s="6" t="s">
        <v>46</v>
      </c>
      <c r="U8" s="6" t="s">
        <v>48</v>
      </c>
      <c r="V8" s="6"/>
      <c r="W8" s="6"/>
      <c r="X8" s="6"/>
      <c r="Y8" s="6" t="s">
        <v>59</v>
      </c>
      <c r="Z8" s="9">
        <v>1426.25</v>
      </c>
      <c r="AA8" s="9">
        <v>0</v>
      </c>
      <c r="AB8" s="9">
        <v>0</v>
      </c>
      <c r="AC8" s="7">
        <v>46141</v>
      </c>
      <c r="AD8" s="9">
        <v>1426.25</v>
      </c>
      <c r="AE8" s="5">
        <v>211</v>
      </c>
      <c r="AF8" s="6" t="s">
        <v>51</v>
      </c>
      <c r="AG8" s="6"/>
      <c r="AH8" s="6"/>
      <c r="AI8" s="6"/>
      <c r="AJ8" s="5"/>
      <c r="AK8" s="6" t="s">
        <v>61</v>
      </c>
      <c r="AL8" s="6" t="s">
        <v>53</v>
      </c>
      <c r="AM8" s="7">
        <v>46057</v>
      </c>
      <c r="AN8" s="6" t="s">
        <v>54</v>
      </c>
    </row>
    <row r="9" spans="1:40" x14ac:dyDescent="0.25">
      <c r="A9" s="2" t="s">
        <v>63</v>
      </c>
      <c r="B9" s="2" t="s">
        <v>85</v>
      </c>
      <c r="C9" s="4">
        <v>46133</v>
      </c>
      <c r="D9" s="5">
        <v>556348109</v>
      </c>
      <c r="E9" s="6" t="s">
        <v>86</v>
      </c>
      <c r="F9" s="7">
        <v>46036</v>
      </c>
      <c r="G9" s="6" t="s">
        <v>87</v>
      </c>
      <c r="H9" s="6" t="s">
        <v>87</v>
      </c>
      <c r="I9" s="6" t="s">
        <v>76</v>
      </c>
      <c r="J9" s="6" t="s">
        <v>58</v>
      </c>
      <c r="K9" s="4">
        <v>46129</v>
      </c>
      <c r="L9" s="14">
        <f t="shared" ca="1" si="0"/>
        <v>-178</v>
      </c>
      <c r="M9" s="14">
        <f ca="1">IF($C9="","",$C9+365-TODAY())</f>
        <v>194</v>
      </c>
      <c r="N9" s="14">
        <f t="shared" ca="1" si="1"/>
        <v>194</v>
      </c>
      <c r="O9" s="7">
        <v>46126</v>
      </c>
      <c r="P9" s="6" t="s">
        <v>78</v>
      </c>
      <c r="Q9" s="6" t="s">
        <v>88</v>
      </c>
      <c r="R9" s="6" t="s">
        <v>46</v>
      </c>
      <c r="S9" s="6" t="s">
        <v>48</v>
      </c>
      <c r="T9" s="6" t="s">
        <v>46</v>
      </c>
      <c r="U9" s="6" t="s">
        <v>48</v>
      </c>
      <c r="V9" s="6"/>
      <c r="W9" s="6"/>
      <c r="X9" s="6"/>
      <c r="Y9" s="6" t="s">
        <v>59</v>
      </c>
      <c r="Z9" s="9">
        <v>976.64</v>
      </c>
      <c r="AA9" s="9">
        <v>0</v>
      </c>
      <c r="AB9" s="9">
        <v>0</v>
      </c>
      <c r="AC9" s="7">
        <v>46133</v>
      </c>
      <c r="AD9" s="9">
        <v>976.64</v>
      </c>
      <c r="AE9" s="5">
        <v>206</v>
      </c>
      <c r="AF9" s="6" t="s">
        <v>89</v>
      </c>
      <c r="AG9" s="6"/>
      <c r="AH9" s="6"/>
      <c r="AI9" s="6"/>
      <c r="AJ9" s="5"/>
      <c r="AK9" s="6" t="s">
        <v>52</v>
      </c>
      <c r="AL9" s="6" t="s">
        <v>90</v>
      </c>
      <c r="AM9" s="7">
        <v>46057</v>
      </c>
      <c r="AN9" s="6" t="s">
        <v>54</v>
      </c>
    </row>
    <row r="10" spans="1:40" x14ac:dyDescent="0.25">
      <c r="A10" s="2" t="s">
        <v>63</v>
      </c>
      <c r="B10" s="2" t="s">
        <v>91</v>
      </c>
      <c r="C10" s="4">
        <v>46064</v>
      </c>
      <c r="D10" s="5">
        <v>548015539</v>
      </c>
      <c r="E10" s="6" t="s">
        <v>92</v>
      </c>
      <c r="F10" s="7">
        <v>46043</v>
      </c>
      <c r="G10" s="6" t="s">
        <v>43</v>
      </c>
      <c r="H10" s="6" t="s">
        <v>43</v>
      </c>
      <c r="I10" s="6" t="s">
        <v>44</v>
      </c>
      <c r="J10" s="6" t="s">
        <v>66</v>
      </c>
      <c r="K10" s="4">
        <v>46134</v>
      </c>
      <c r="L10" s="14">
        <f t="shared" ca="1" si="0"/>
        <v>-171</v>
      </c>
      <c r="M10" s="14">
        <f ca="1">IF($F10="","",$F10+90-TODAY())</f>
        <v>-171</v>
      </c>
      <c r="N10" s="14">
        <f t="shared" ca="1" si="1"/>
        <v>125</v>
      </c>
      <c r="O10" s="7">
        <v>46133</v>
      </c>
      <c r="P10" s="6" t="s">
        <v>78</v>
      </c>
      <c r="Q10" s="6" t="s">
        <v>82</v>
      </c>
      <c r="R10" s="6" t="s">
        <v>78</v>
      </c>
      <c r="S10" s="6" t="s">
        <v>124</v>
      </c>
      <c r="T10" s="6" t="s">
        <v>46</v>
      </c>
      <c r="U10" s="6" t="s">
        <v>48</v>
      </c>
      <c r="V10" s="6"/>
      <c r="W10" s="6"/>
      <c r="X10" s="6"/>
      <c r="Y10" s="6" t="s">
        <v>59</v>
      </c>
      <c r="Z10" s="9">
        <v>1426.25</v>
      </c>
      <c r="AA10" s="9">
        <v>0</v>
      </c>
      <c r="AB10" s="9">
        <v>0</v>
      </c>
      <c r="AC10" s="7">
        <v>46064</v>
      </c>
      <c r="AD10" s="9">
        <v>1426.25</v>
      </c>
      <c r="AE10" s="5">
        <v>199</v>
      </c>
      <c r="AF10" s="6" t="s">
        <v>93</v>
      </c>
      <c r="AG10" s="6"/>
      <c r="AH10" s="6"/>
      <c r="AI10" s="6"/>
      <c r="AJ10" s="5"/>
      <c r="AK10" s="6" t="s">
        <v>52</v>
      </c>
      <c r="AL10" s="6" t="s">
        <v>90</v>
      </c>
      <c r="AM10" s="7">
        <v>46057</v>
      </c>
      <c r="AN10" s="6" t="s">
        <v>54</v>
      </c>
    </row>
    <row r="11" spans="1:40" x14ac:dyDescent="0.25">
      <c r="A11" s="2" t="s">
        <v>55</v>
      </c>
      <c r="B11" s="2" t="s">
        <v>316</v>
      </c>
      <c r="C11" s="4">
        <v>46094</v>
      </c>
      <c r="D11" s="5">
        <v>547442681</v>
      </c>
      <c r="E11" s="6" t="s">
        <v>95</v>
      </c>
      <c r="F11" s="7">
        <v>46044</v>
      </c>
      <c r="G11" s="6" t="s">
        <v>96</v>
      </c>
      <c r="H11" s="6" t="s">
        <v>43</v>
      </c>
      <c r="I11" s="6" t="s">
        <v>96</v>
      </c>
      <c r="J11" s="6" t="s">
        <v>58</v>
      </c>
      <c r="K11" s="4">
        <v>46304</v>
      </c>
      <c r="L11" s="14">
        <f t="shared" ca="1" si="0"/>
        <v>-170</v>
      </c>
      <c r="M11" s="14">
        <f ca="1">IF($F11="","",$F11+90-TODAY())</f>
        <v>-170</v>
      </c>
      <c r="N11" s="14">
        <f t="shared" ca="1" si="1"/>
        <v>155</v>
      </c>
      <c r="O11" s="7">
        <v>46134</v>
      </c>
      <c r="P11" s="6" t="s">
        <v>78</v>
      </c>
      <c r="Q11" s="6" t="s">
        <v>82</v>
      </c>
      <c r="R11" s="6" t="s">
        <v>78</v>
      </c>
      <c r="S11" s="6" t="s">
        <v>124</v>
      </c>
      <c r="T11" s="6" t="s">
        <v>46</v>
      </c>
      <c r="U11" s="6" t="s">
        <v>48</v>
      </c>
      <c r="V11" s="6"/>
      <c r="W11" s="6"/>
      <c r="X11" s="6"/>
      <c r="Y11" s="6" t="s">
        <v>59</v>
      </c>
      <c r="Z11" s="9">
        <v>976.64</v>
      </c>
      <c r="AA11" s="9">
        <v>840.66</v>
      </c>
      <c r="AB11" s="9">
        <v>0</v>
      </c>
      <c r="AC11" s="7">
        <v>46094</v>
      </c>
      <c r="AD11" s="9">
        <v>135.97999999999999</v>
      </c>
      <c r="AE11" s="5">
        <v>198</v>
      </c>
      <c r="AF11" s="6" t="s">
        <v>71</v>
      </c>
      <c r="AG11" s="6"/>
      <c r="AH11" s="6"/>
      <c r="AI11" s="6"/>
      <c r="AJ11" s="5">
        <v>556556161</v>
      </c>
      <c r="AK11" s="6" t="s">
        <v>52</v>
      </c>
      <c r="AL11" s="6" t="s">
        <v>62</v>
      </c>
      <c r="AM11" s="7">
        <v>46056</v>
      </c>
      <c r="AN11" s="6" t="s">
        <v>54</v>
      </c>
    </row>
    <row r="12" spans="1:40" x14ac:dyDescent="0.25">
      <c r="A12" s="2" t="s">
        <v>97</v>
      </c>
      <c r="B12" s="2" t="s">
        <v>98</v>
      </c>
      <c r="C12" s="4">
        <v>46128</v>
      </c>
      <c r="D12" s="5">
        <v>555599776</v>
      </c>
      <c r="E12" s="6" t="s">
        <v>99</v>
      </c>
      <c r="F12" s="7">
        <v>46049</v>
      </c>
      <c r="G12" s="6" t="s">
        <v>43</v>
      </c>
      <c r="H12" s="6" t="s">
        <v>43</v>
      </c>
      <c r="I12" s="6" t="s">
        <v>76</v>
      </c>
      <c r="J12" s="6" t="s">
        <v>100</v>
      </c>
      <c r="K12" s="4">
        <v>46122</v>
      </c>
      <c r="L12" s="14">
        <f t="shared" ca="1" si="0"/>
        <v>-165</v>
      </c>
      <c r="M12" s="14">
        <f ca="1">IF($F12="","",$F12+90-TODAY())</f>
        <v>-165</v>
      </c>
      <c r="N12" s="14">
        <f t="shared" ca="1" si="1"/>
        <v>189</v>
      </c>
      <c r="O12" s="7">
        <v>46139</v>
      </c>
      <c r="P12" s="6" t="s">
        <v>78</v>
      </c>
      <c r="Q12" s="6" t="s">
        <v>82</v>
      </c>
      <c r="R12" s="6" t="s">
        <v>78</v>
      </c>
      <c r="S12" s="6" t="s">
        <v>124</v>
      </c>
      <c r="T12" s="6" t="s">
        <v>46</v>
      </c>
      <c r="U12" s="6" t="s">
        <v>48</v>
      </c>
      <c r="V12" s="6"/>
      <c r="W12" s="6"/>
      <c r="X12" s="6"/>
      <c r="Y12" s="6" t="s">
        <v>59</v>
      </c>
      <c r="Z12" s="9">
        <v>1426.25</v>
      </c>
      <c r="AA12" s="9">
        <v>0</v>
      </c>
      <c r="AB12" s="9">
        <v>0</v>
      </c>
      <c r="AC12" s="7">
        <v>46128</v>
      </c>
      <c r="AD12" s="9">
        <v>1426.25</v>
      </c>
      <c r="AE12" s="5">
        <v>193</v>
      </c>
      <c r="AF12" s="6" t="s">
        <v>51</v>
      </c>
      <c r="AG12" s="6"/>
      <c r="AH12" s="6"/>
      <c r="AI12" s="6"/>
      <c r="AJ12" s="5"/>
      <c r="AK12" s="6" t="s">
        <v>101</v>
      </c>
      <c r="AL12" s="6" t="s">
        <v>53</v>
      </c>
      <c r="AM12" s="7">
        <v>46057</v>
      </c>
      <c r="AN12" s="6" t="s">
        <v>54</v>
      </c>
    </row>
    <row r="13" spans="1:40" x14ac:dyDescent="0.25">
      <c r="A13" s="2" t="s">
        <v>63</v>
      </c>
      <c r="B13" s="2" t="s">
        <v>308</v>
      </c>
      <c r="C13" s="4">
        <v>46287</v>
      </c>
      <c r="D13" s="5">
        <v>556349314</v>
      </c>
      <c r="E13" s="6" t="s">
        <v>102</v>
      </c>
      <c r="F13" s="7">
        <v>46049</v>
      </c>
      <c r="G13" s="6" t="s">
        <v>87</v>
      </c>
      <c r="H13" s="6" t="s">
        <v>87</v>
      </c>
      <c r="I13" s="6" t="s">
        <v>76</v>
      </c>
      <c r="J13" s="6" t="s">
        <v>58</v>
      </c>
      <c r="K13" s="4">
        <v>46300</v>
      </c>
      <c r="L13" s="14">
        <f t="shared" ca="1" si="0"/>
        <v>-165</v>
      </c>
      <c r="M13" s="14">
        <f ca="1">IF($C13="","",$C13+365-TODAY())</f>
        <v>348</v>
      </c>
      <c r="N13" s="14">
        <f t="shared" ca="1" si="1"/>
        <v>348</v>
      </c>
      <c r="O13" s="7">
        <v>46139</v>
      </c>
      <c r="P13" s="6" t="s">
        <v>78</v>
      </c>
      <c r="Q13" s="6" t="s">
        <v>88</v>
      </c>
      <c r="R13" s="6" t="s">
        <v>46</v>
      </c>
      <c r="S13" s="6" t="s">
        <v>48</v>
      </c>
      <c r="T13" s="6" t="s">
        <v>46</v>
      </c>
      <c r="U13" s="6" t="s">
        <v>48</v>
      </c>
      <c r="V13" s="6"/>
      <c r="W13" s="6"/>
      <c r="X13" s="6"/>
      <c r="Y13" s="6" t="s">
        <v>59</v>
      </c>
      <c r="Z13" s="9">
        <v>976.64</v>
      </c>
      <c r="AA13" s="9">
        <v>0</v>
      </c>
      <c r="AB13" s="9">
        <v>0</v>
      </c>
      <c r="AC13" s="7">
        <v>46133</v>
      </c>
      <c r="AD13" s="9">
        <v>976.64</v>
      </c>
      <c r="AE13" s="5">
        <v>193</v>
      </c>
      <c r="AF13" s="6" t="s">
        <v>103</v>
      </c>
      <c r="AG13" s="6" t="s">
        <v>71</v>
      </c>
      <c r="AH13" s="6"/>
      <c r="AI13" s="6"/>
      <c r="AJ13" s="5"/>
      <c r="AK13" s="6" t="s">
        <v>101</v>
      </c>
      <c r="AL13" s="6" t="s">
        <v>104</v>
      </c>
      <c r="AM13" s="7">
        <v>46056</v>
      </c>
      <c r="AN13" s="6" t="s">
        <v>54</v>
      </c>
    </row>
    <row r="14" spans="1:40" x14ac:dyDescent="0.25">
      <c r="A14" s="2" t="s">
        <v>55</v>
      </c>
      <c r="B14" s="2" t="s">
        <v>105</v>
      </c>
      <c r="C14" s="4">
        <v>46066</v>
      </c>
      <c r="D14" s="5">
        <v>547976909</v>
      </c>
      <c r="E14" s="6" t="s">
        <v>106</v>
      </c>
      <c r="F14" s="7">
        <v>46051</v>
      </c>
      <c r="G14" s="6" t="s">
        <v>43</v>
      </c>
      <c r="H14" s="6" t="s">
        <v>43</v>
      </c>
      <c r="I14" s="6" t="s">
        <v>107</v>
      </c>
      <c r="J14" s="6" t="s">
        <v>58</v>
      </c>
      <c r="K14" s="4">
        <v>46245</v>
      </c>
      <c r="L14" s="14">
        <f t="shared" ca="1" si="0"/>
        <v>-163</v>
      </c>
      <c r="M14" s="14">
        <f ca="1">IF($F14="","",$F14+90-TODAY())</f>
        <v>-163</v>
      </c>
      <c r="N14" s="14">
        <f t="shared" ca="1" si="1"/>
        <v>127</v>
      </c>
      <c r="O14" s="7">
        <v>46141</v>
      </c>
      <c r="P14" s="6" t="s">
        <v>78</v>
      </c>
      <c r="Q14" s="6" t="s">
        <v>82</v>
      </c>
      <c r="R14" s="6" t="s">
        <v>78</v>
      </c>
      <c r="S14" s="6" t="s">
        <v>124</v>
      </c>
      <c r="T14" s="6" t="s">
        <v>46</v>
      </c>
      <c r="U14" s="6" t="s">
        <v>48</v>
      </c>
      <c r="V14" s="6"/>
      <c r="W14" s="6"/>
      <c r="X14" s="6"/>
      <c r="Y14" s="6" t="s">
        <v>59</v>
      </c>
      <c r="Z14" s="9">
        <v>976.64</v>
      </c>
      <c r="AA14" s="9">
        <v>0</v>
      </c>
      <c r="AB14" s="9">
        <v>0</v>
      </c>
      <c r="AC14" s="7">
        <v>46066</v>
      </c>
      <c r="AD14" s="9">
        <v>976.64</v>
      </c>
      <c r="AE14" s="5">
        <v>191</v>
      </c>
      <c r="AF14" s="6" t="s">
        <v>108</v>
      </c>
      <c r="AG14" s="6"/>
      <c r="AH14" s="6"/>
      <c r="AI14" s="6"/>
      <c r="AJ14" s="5"/>
      <c r="AK14" s="6" t="s">
        <v>61</v>
      </c>
      <c r="AL14" s="6" t="s">
        <v>62</v>
      </c>
      <c r="AM14" s="7">
        <v>46056</v>
      </c>
      <c r="AN14" s="6" t="s">
        <v>54</v>
      </c>
    </row>
    <row r="15" spans="1:40" x14ac:dyDescent="0.25">
      <c r="A15" s="2" t="s">
        <v>109</v>
      </c>
      <c r="B15" s="2" t="s">
        <v>110</v>
      </c>
      <c r="C15" s="4">
        <v>46098</v>
      </c>
      <c r="D15" s="5">
        <v>557090486</v>
      </c>
      <c r="E15" s="6" t="s">
        <v>111</v>
      </c>
      <c r="F15" s="7">
        <v>46036</v>
      </c>
      <c r="G15" s="6" t="s">
        <v>112</v>
      </c>
      <c r="H15" s="6" t="s">
        <v>112</v>
      </c>
      <c r="I15" s="6" t="s">
        <v>76</v>
      </c>
      <c r="J15" s="6" t="s">
        <v>113</v>
      </c>
      <c r="K15" s="4">
        <v>46135</v>
      </c>
      <c r="L15" s="14">
        <f t="shared" ca="1" si="0"/>
        <v>-148</v>
      </c>
      <c r="M15" s="14">
        <f ca="1">IF($C15="","",$C15+365-TODAY())</f>
        <v>159</v>
      </c>
      <c r="N15" s="14">
        <f ca="1">IF($C15="","",$C15+90-TODAY())</f>
        <v>-116</v>
      </c>
      <c r="O15" s="7">
        <v>46156</v>
      </c>
      <c r="P15" s="6" t="s">
        <v>49</v>
      </c>
      <c r="Q15" s="6" t="s">
        <v>114</v>
      </c>
      <c r="R15" s="6" t="s">
        <v>46</v>
      </c>
      <c r="S15" s="6" t="s">
        <v>48</v>
      </c>
      <c r="T15" s="6" t="s">
        <v>78</v>
      </c>
      <c r="U15" s="6" t="s">
        <v>48</v>
      </c>
      <c r="V15" s="6"/>
      <c r="W15" s="6"/>
      <c r="X15" s="6"/>
      <c r="Y15" s="6" t="s">
        <v>115</v>
      </c>
      <c r="Z15" s="9">
        <v>1769.18</v>
      </c>
      <c r="AA15" s="9">
        <v>0</v>
      </c>
      <c r="AB15" s="9">
        <v>0</v>
      </c>
      <c r="AC15" s="7">
        <v>46098</v>
      </c>
      <c r="AD15" s="9">
        <v>1769.18</v>
      </c>
      <c r="AE15" s="5">
        <v>206</v>
      </c>
      <c r="AF15" s="6" t="s">
        <v>116</v>
      </c>
      <c r="AG15" s="6"/>
      <c r="AH15" s="6"/>
      <c r="AI15" s="6"/>
      <c r="AJ15" s="5"/>
      <c r="AK15" s="6" t="s">
        <v>61</v>
      </c>
      <c r="AL15" s="6" t="s">
        <v>62</v>
      </c>
      <c r="AM15" s="7">
        <v>46056</v>
      </c>
      <c r="AN15" s="6" t="s">
        <v>54</v>
      </c>
    </row>
    <row r="16" spans="1:40" x14ac:dyDescent="0.25">
      <c r="A16" s="2" t="s">
        <v>109</v>
      </c>
      <c r="B16" s="15" t="s">
        <v>315</v>
      </c>
      <c r="C16" s="4">
        <v>46070</v>
      </c>
      <c r="D16" s="5">
        <v>565238310</v>
      </c>
      <c r="E16" s="6" t="s">
        <v>117</v>
      </c>
      <c r="F16" s="7">
        <v>46045</v>
      </c>
      <c r="G16" s="6" t="s">
        <v>118</v>
      </c>
      <c r="H16" s="6" t="s">
        <v>118</v>
      </c>
      <c r="I16" s="6" t="s">
        <v>76</v>
      </c>
      <c r="J16" s="6" t="s">
        <v>100</v>
      </c>
      <c r="K16" s="4">
        <v>46289</v>
      </c>
      <c r="L16" s="14">
        <f t="shared" ca="1" si="0"/>
        <v>-79</v>
      </c>
      <c r="M16" s="14">
        <f ca="1">IF($C16="","",$C16+365-TODAY())</f>
        <v>131</v>
      </c>
      <c r="N16" s="14">
        <f ca="1">IF($C16="","",$C16+365-TODAY())</f>
        <v>131</v>
      </c>
      <c r="O16" s="7">
        <v>46225</v>
      </c>
      <c r="P16" s="6" t="s">
        <v>80</v>
      </c>
      <c r="Q16" s="6" t="s">
        <v>119</v>
      </c>
      <c r="R16" s="6" t="s">
        <v>46</v>
      </c>
      <c r="S16" s="6" t="s">
        <v>48</v>
      </c>
      <c r="T16" s="6" t="s">
        <v>46</v>
      </c>
      <c r="U16" s="6" t="s">
        <v>48</v>
      </c>
      <c r="V16" s="6"/>
      <c r="W16" s="6"/>
      <c r="X16" s="6"/>
      <c r="Y16" s="6" t="s">
        <v>59</v>
      </c>
      <c r="Z16" s="9">
        <v>1426.25</v>
      </c>
      <c r="AA16" s="9">
        <v>0</v>
      </c>
      <c r="AB16" s="9">
        <v>0</v>
      </c>
      <c r="AC16" s="7">
        <v>46070</v>
      </c>
      <c r="AD16" s="9">
        <v>1426.25</v>
      </c>
      <c r="AE16" s="5">
        <v>197</v>
      </c>
      <c r="AF16" s="6" t="s">
        <v>71</v>
      </c>
      <c r="AG16" s="6"/>
      <c r="AH16" s="6"/>
      <c r="AI16" s="6"/>
      <c r="AJ16" s="5"/>
      <c r="AK16" s="6" t="s">
        <v>67</v>
      </c>
      <c r="AL16" s="6" t="s">
        <v>90</v>
      </c>
      <c r="AM16" s="7">
        <v>46057</v>
      </c>
      <c r="AN16" s="6" t="s">
        <v>54</v>
      </c>
    </row>
    <row r="17" spans="1:40" x14ac:dyDescent="0.25">
      <c r="A17" s="2" t="s">
        <v>63</v>
      </c>
      <c r="B17" s="15" t="s">
        <v>309</v>
      </c>
      <c r="C17" s="4">
        <v>46198</v>
      </c>
      <c r="D17" s="5">
        <v>566830437</v>
      </c>
      <c r="E17" s="6" t="s">
        <v>120</v>
      </c>
      <c r="F17" s="7">
        <v>46050</v>
      </c>
      <c r="G17" s="6" t="s">
        <v>121</v>
      </c>
      <c r="H17" s="6" t="s">
        <v>121</v>
      </c>
      <c r="I17" s="6" t="s">
        <v>76</v>
      </c>
      <c r="J17" s="6" t="s">
        <v>122</v>
      </c>
      <c r="K17" s="4">
        <v>46300</v>
      </c>
      <c r="L17" s="14">
        <f t="shared" ca="1" si="0"/>
        <v>-74</v>
      </c>
      <c r="M17" s="14">
        <f ca="1">IF($F17="","",$F17+365-TODAY())</f>
        <v>111</v>
      </c>
      <c r="N17" s="14">
        <f ca="1">IF($F17="","",$F17+365-TODAY())</f>
        <v>111</v>
      </c>
      <c r="O17" s="7">
        <v>46230</v>
      </c>
      <c r="P17" s="6" t="s">
        <v>80</v>
      </c>
      <c r="Q17" s="6" t="s">
        <v>123</v>
      </c>
      <c r="R17" s="6" t="s">
        <v>46</v>
      </c>
      <c r="S17" s="6" t="s">
        <v>124</v>
      </c>
      <c r="T17" s="6" t="s">
        <v>46</v>
      </c>
      <c r="U17" s="6" t="s">
        <v>124</v>
      </c>
      <c r="V17" s="6"/>
      <c r="W17" s="6"/>
      <c r="X17" s="6"/>
      <c r="Y17" s="6" t="s">
        <v>59</v>
      </c>
      <c r="Z17" s="9">
        <v>1372.91</v>
      </c>
      <c r="AA17" s="9">
        <v>0</v>
      </c>
      <c r="AB17" s="9">
        <v>0</v>
      </c>
      <c r="AC17" s="7">
        <v>46198</v>
      </c>
      <c r="AD17" s="9">
        <v>1372.91</v>
      </c>
      <c r="AE17" s="5">
        <v>192</v>
      </c>
      <c r="AF17" s="6" t="s">
        <v>71</v>
      </c>
      <c r="AG17" s="6"/>
      <c r="AH17" s="6"/>
      <c r="AI17" s="6"/>
      <c r="AJ17" s="5"/>
      <c r="AK17" s="6" t="s">
        <v>52</v>
      </c>
      <c r="AL17" s="6" t="s">
        <v>90</v>
      </c>
      <c r="AM17" s="7">
        <v>46188</v>
      </c>
      <c r="AN17" s="6" t="s">
        <v>54</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t="shared" ref="L2:L8" ca="1" si="0">IF($O2="","",$O2-TODAY())</f>
        <v>92</v>
      </c>
      <c r="M2" s="5">
        <f ca="1">IF($C2="","",$C2+365-TODAY())</f>
        <v>209</v>
      </c>
      <c r="N2" s="5">
        <f ca="1">IF($C2="","",$C2+120-TODAY())</f>
        <v>-36</v>
      </c>
      <c r="O2" s="7">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94</v>
      </c>
      <c r="B3" s="2" t="s">
        <v>311</v>
      </c>
      <c r="C3" s="4">
        <v>46160</v>
      </c>
      <c r="D3" s="5">
        <v>557650217</v>
      </c>
      <c r="E3" s="6" t="s">
        <v>137</v>
      </c>
      <c r="F3" s="7">
        <v>46031</v>
      </c>
      <c r="G3" s="6" t="s">
        <v>127</v>
      </c>
      <c r="H3" s="6" t="s">
        <v>127</v>
      </c>
      <c r="I3" s="6" t="s">
        <v>138</v>
      </c>
      <c r="J3" s="6" t="s">
        <v>139</v>
      </c>
      <c r="K3" s="4">
        <v>46261</v>
      </c>
      <c r="L3" s="5">
        <f t="shared" ca="1" si="0"/>
        <v>92</v>
      </c>
      <c r="M3" s="5">
        <f ca="1">IF($C3="","",$C3+365-TODAY())</f>
        <v>221</v>
      </c>
      <c r="N3" s="5">
        <f ca="1">IF($C3="","",$C3+120-TODAY())</f>
        <v>-24</v>
      </c>
      <c r="O3" s="7">
        <v>46396</v>
      </c>
      <c r="P3" s="6" t="s">
        <v>46</v>
      </c>
      <c r="Q3" s="6" t="s">
        <v>47</v>
      </c>
      <c r="R3" s="6" t="s">
        <v>46</v>
      </c>
      <c r="S3" s="6" t="s">
        <v>48</v>
      </c>
      <c r="T3" s="6" t="s">
        <v>49</v>
      </c>
      <c r="U3" s="6" t="s">
        <v>48</v>
      </c>
      <c r="V3" s="6" t="s">
        <v>140</v>
      </c>
      <c r="W3" s="6"/>
      <c r="X3" s="6"/>
      <c r="Y3" s="6" t="s">
        <v>59</v>
      </c>
      <c r="Z3" s="9">
        <v>5492.55</v>
      </c>
      <c r="AA3" s="9">
        <v>0</v>
      </c>
      <c r="AB3" s="9">
        <v>135.05000000000001</v>
      </c>
      <c r="AC3" s="7">
        <v>46160</v>
      </c>
      <c r="AD3" s="9">
        <v>5357.5</v>
      </c>
      <c r="AE3" s="5">
        <v>211</v>
      </c>
      <c r="AF3" s="6" t="s">
        <v>141</v>
      </c>
      <c r="AG3" s="6"/>
      <c r="AH3" s="6"/>
      <c r="AI3" s="6"/>
      <c r="AJ3" s="5"/>
      <c r="AK3" s="6" t="s">
        <v>142</v>
      </c>
      <c r="AL3" s="6" t="s">
        <v>143</v>
      </c>
      <c r="AM3" s="7">
        <v>46036</v>
      </c>
      <c r="AN3" s="6" t="s">
        <v>136</v>
      </c>
    </row>
    <row r="4" spans="1:40" x14ac:dyDescent="0.25">
      <c r="A4" s="2" t="s">
        <v>94</v>
      </c>
      <c r="B4" s="2" t="s">
        <v>311</v>
      </c>
      <c r="C4" s="4">
        <v>46086</v>
      </c>
      <c r="D4" s="5">
        <v>546883608</v>
      </c>
      <c r="E4" s="6" t="s">
        <v>144</v>
      </c>
      <c r="F4" s="7">
        <v>46041</v>
      </c>
      <c r="G4" s="6" t="s">
        <v>127</v>
      </c>
      <c r="H4" s="6" t="s">
        <v>127</v>
      </c>
      <c r="I4" s="6" t="s">
        <v>145</v>
      </c>
      <c r="J4" s="6" t="s">
        <v>129</v>
      </c>
      <c r="K4" s="4">
        <v>46261</v>
      </c>
      <c r="L4" s="5">
        <f t="shared" ca="1" si="0"/>
        <v>102</v>
      </c>
      <c r="M4" s="5">
        <f ca="1">IF($C4="","",$C4+365-TODAY())</f>
        <v>147</v>
      </c>
      <c r="N4" s="5">
        <f ca="1">IF($C4="","",$C4+120-TODAY())</f>
        <v>-98</v>
      </c>
      <c r="O4" s="7">
        <v>46406</v>
      </c>
      <c r="P4" s="6" t="s">
        <v>46</v>
      </c>
      <c r="Q4" s="6" t="s">
        <v>47</v>
      </c>
      <c r="R4" s="6" t="s">
        <v>46</v>
      </c>
      <c r="S4" s="6" t="s">
        <v>48</v>
      </c>
      <c r="T4" s="6" t="s">
        <v>49</v>
      </c>
      <c r="U4" s="6" t="s">
        <v>48</v>
      </c>
      <c r="V4" s="6" t="s">
        <v>130</v>
      </c>
      <c r="W4" s="6"/>
      <c r="X4" s="6"/>
      <c r="Y4" s="6" t="s">
        <v>131</v>
      </c>
      <c r="Z4" s="9">
        <v>2958.2</v>
      </c>
      <c r="AA4" s="9">
        <v>0</v>
      </c>
      <c r="AB4" s="9">
        <v>31.68</v>
      </c>
      <c r="AC4" s="7">
        <v>46086</v>
      </c>
      <c r="AD4" s="9">
        <v>2926.52</v>
      </c>
      <c r="AE4" s="5">
        <v>201</v>
      </c>
      <c r="AF4" s="6" t="s">
        <v>132</v>
      </c>
      <c r="AG4" s="6" t="s">
        <v>133</v>
      </c>
      <c r="AH4" s="6"/>
      <c r="AI4" s="6"/>
      <c r="AJ4" s="5"/>
      <c r="AK4" s="6" t="s">
        <v>142</v>
      </c>
      <c r="AL4" s="6" t="s">
        <v>143</v>
      </c>
      <c r="AM4" s="7">
        <v>46043</v>
      </c>
      <c r="AN4" s="6" t="s">
        <v>136</v>
      </c>
    </row>
    <row r="5" spans="1:40" x14ac:dyDescent="0.25">
      <c r="A5" s="2" t="s">
        <v>94</v>
      </c>
      <c r="B5" s="2" t="s">
        <v>311</v>
      </c>
      <c r="C5" s="4">
        <v>46071</v>
      </c>
      <c r="D5" s="5">
        <v>546884583</v>
      </c>
      <c r="E5" s="6" t="s">
        <v>146</v>
      </c>
      <c r="F5" s="7">
        <v>46041</v>
      </c>
      <c r="G5" s="6" t="s">
        <v>127</v>
      </c>
      <c r="H5" s="6" t="s">
        <v>127</v>
      </c>
      <c r="I5" s="6" t="s">
        <v>43</v>
      </c>
      <c r="J5" s="6" t="s">
        <v>129</v>
      </c>
      <c r="K5" s="4">
        <v>46261</v>
      </c>
      <c r="L5" s="5">
        <f t="shared" ca="1" si="0"/>
        <v>102</v>
      </c>
      <c r="M5" s="5">
        <f ca="1">IF($C5="","",$C5+365-TODAY())</f>
        <v>132</v>
      </c>
      <c r="N5" s="5">
        <f ca="1">IF($C5="","",$C5+120-TODAY())</f>
        <v>-113</v>
      </c>
      <c r="O5" s="7">
        <v>46406</v>
      </c>
      <c r="P5" s="6" t="s">
        <v>46</v>
      </c>
      <c r="Q5" s="6" t="s">
        <v>47</v>
      </c>
      <c r="R5" s="6" t="s">
        <v>46</v>
      </c>
      <c r="S5" s="6" t="s">
        <v>48</v>
      </c>
      <c r="T5" s="6" t="s">
        <v>49</v>
      </c>
      <c r="U5" s="6" t="s">
        <v>48</v>
      </c>
      <c r="V5" s="6" t="s">
        <v>130</v>
      </c>
      <c r="W5" s="6"/>
      <c r="X5" s="6"/>
      <c r="Y5" s="6" t="s">
        <v>131</v>
      </c>
      <c r="Z5" s="9">
        <v>2958.2</v>
      </c>
      <c r="AA5" s="9">
        <v>0</v>
      </c>
      <c r="AB5" s="9">
        <v>80.84</v>
      </c>
      <c r="AC5" s="7">
        <v>46071</v>
      </c>
      <c r="AD5" s="9">
        <v>2877.36</v>
      </c>
      <c r="AE5" s="5">
        <v>201</v>
      </c>
      <c r="AF5" s="6" t="s">
        <v>132</v>
      </c>
      <c r="AG5" s="6" t="s">
        <v>147</v>
      </c>
      <c r="AH5" s="6"/>
      <c r="AI5" s="6"/>
      <c r="AJ5" s="5"/>
      <c r="AK5" s="6" t="s">
        <v>142</v>
      </c>
      <c r="AL5" s="6" t="s">
        <v>143</v>
      </c>
      <c r="AM5" s="7">
        <v>46043</v>
      </c>
      <c r="AN5" s="6" t="s">
        <v>136</v>
      </c>
    </row>
    <row r="6" spans="1:40" x14ac:dyDescent="0.25">
      <c r="A6" s="2" t="s">
        <v>63</v>
      </c>
      <c r="B6" s="2" t="s">
        <v>312</v>
      </c>
      <c r="C6" s="4">
        <v>46196</v>
      </c>
      <c r="D6" s="5">
        <v>561884409</v>
      </c>
      <c r="E6" s="6" t="s">
        <v>148</v>
      </c>
      <c r="F6" s="7">
        <v>46051</v>
      </c>
      <c r="G6" s="6" t="s">
        <v>127</v>
      </c>
      <c r="H6" s="6" t="s">
        <v>127</v>
      </c>
      <c r="I6" s="6" t="s">
        <v>149</v>
      </c>
      <c r="J6" s="6" t="s">
        <v>150</v>
      </c>
      <c r="K6" s="4">
        <v>46300</v>
      </c>
      <c r="L6" s="5">
        <f t="shared" ca="1" si="0"/>
        <v>112</v>
      </c>
      <c r="M6" s="5">
        <f ca="1">IF($C6="","",$C6+365-TODAY())</f>
        <v>257</v>
      </c>
      <c r="N6" s="5">
        <f ca="1">IF($C6="","",$C6+120-TODAY())</f>
        <v>12</v>
      </c>
      <c r="O6" s="7">
        <v>46416</v>
      </c>
      <c r="P6" s="6" t="s">
        <v>46</v>
      </c>
      <c r="Q6" s="6" t="s">
        <v>47</v>
      </c>
      <c r="R6" s="6" t="s">
        <v>46</v>
      </c>
      <c r="S6" s="6" t="s">
        <v>48</v>
      </c>
      <c r="T6" s="6" t="s">
        <v>49</v>
      </c>
      <c r="U6" s="6" t="s">
        <v>48</v>
      </c>
      <c r="V6" s="6" t="s">
        <v>130</v>
      </c>
      <c r="W6" s="6"/>
      <c r="X6" s="6"/>
      <c r="Y6" s="6" t="s">
        <v>151</v>
      </c>
      <c r="Z6" s="9">
        <v>5857</v>
      </c>
      <c r="AA6" s="9">
        <v>0</v>
      </c>
      <c r="AB6" s="9">
        <v>0</v>
      </c>
      <c r="AC6" s="7">
        <v>46196</v>
      </c>
      <c r="AD6" s="9">
        <v>5857</v>
      </c>
      <c r="AE6" s="5">
        <v>191</v>
      </c>
      <c r="AF6" s="6" t="s">
        <v>132</v>
      </c>
      <c r="AG6" s="6" t="s">
        <v>141</v>
      </c>
      <c r="AH6" s="6" t="s">
        <v>152</v>
      </c>
      <c r="AI6" s="6"/>
      <c r="AJ6" s="5"/>
      <c r="AK6" s="6" t="s">
        <v>134</v>
      </c>
      <c r="AL6" s="6" t="s">
        <v>135</v>
      </c>
      <c r="AM6" s="7">
        <v>46183</v>
      </c>
      <c r="AN6" s="6" t="s">
        <v>136</v>
      </c>
    </row>
    <row r="7" spans="1:40" x14ac:dyDescent="0.25">
      <c r="A7" s="2" t="s">
        <v>55</v>
      </c>
      <c r="B7" s="15" t="s">
        <v>313</v>
      </c>
      <c r="C7" s="4">
        <v>46089</v>
      </c>
      <c r="D7" s="5">
        <v>546184427</v>
      </c>
      <c r="E7" s="6" t="s">
        <v>153</v>
      </c>
      <c r="F7" s="7">
        <v>46027</v>
      </c>
      <c r="G7" s="6" t="s">
        <v>138</v>
      </c>
      <c r="H7" s="6" t="s">
        <v>154</v>
      </c>
      <c r="I7" s="6" t="s">
        <v>138</v>
      </c>
      <c r="J7" s="6" t="s">
        <v>155</v>
      </c>
      <c r="K7" s="4">
        <v>46141</v>
      </c>
      <c r="L7" s="5">
        <f t="shared" ca="1" si="0"/>
        <v>-187</v>
      </c>
      <c r="M7" s="5">
        <f ca="1">IF($F7="","",$F7+90-TODAY())</f>
        <v>-187</v>
      </c>
      <c r="N7" s="5">
        <f ca="1">IF($C7="","",$C7+60-TODAY())</f>
        <v>-155</v>
      </c>
      <c r="O7" s="7">
        <v>46117</v>
      </c>
      <c r="P7" s="6" t="s">
        <v>78</v>
      </c>
      <c r="Q7" s="6" t="s">
        <v>156</v>
      </c>
      <c r="R7" s="6" t="s">
        <v>78</v>
      </c>
      <c r="S7" s="6" t="s">
        <v>124</v>
      </c>
      <c r="T7" s="6" t="s">
        <v>157</v>
      </c>
      <c r="U7" s="6" t="s">
        <v>48</v>
      </c>
      <c r="V7" s="6" t="s">
        <v>158</v>
      </c>
      <c r="W7" s="6"/>
      <c r="X7" s="6"/>
      <c r="Y7" s="6" t="s">
        <v>151</v>
      </c>
      <c r="Z7" s="9">
        <v>36353.800000000003</v>
      </c>
      <c r="AA7" s="9">
        <v>33154.53</v>
      </c>
      <c r="AB7" s="9">
        <v>2833.13</v>
      </c>
      <c r="AC7" s="7">
        <v>46089</v>
      </c>
      <c r="AD7" s="9">
        <v>366.14</v>
      </c>
      <c r="AE7" s="5">
        <v>215</v>
      </c>
      <c r="AF7" s="6" t="s">
        <v>132</v>
      </c>
      <c r="AG7" s="6" t="s">
        <v>159</v>
      </c>
      <c r="AH7" s="6" t="s">
        <v>160</v>
      </c>
      <c r="AI7" s="6"/>
      <c r="AJ7" s="5">
        <v>557644876</v>
      </c>
      <c r="AK7" s="6" t="s">
        <v>161</v>
      </c>
      <c r="AL7" s="6" t="s">
        <v>162</v>
      </c>
      <c r="AM7" s="7">
        <v>46036</v>
      </c>
      <c r="AN7" s="6" t="s">
        <v>136</v>
      </c>
    </row>
    <row r="8" spans="1:40" x14ac:dyDescent="0.25">
      <c r="A8" s="2" t="s">
        <v>55</v>
      </c>
      <c r="B8" s="15" t="s">
        <v>314</v>
      </c>
      <c r="C8" s="4">
        <v>46156</v>
      </c>
      <c r="D8" s="5">
        <v>557162806</v>
      </c>
      <c r="E8" s="6" t="s">
        <v>163</v>
      </c>
      <c r="F8" s="7">
        <v>46041</v>
      </c>
      <c r="G8" s="6" t="s">
        <v>65</v>
      </c>
      <c r="H8" s="6" t="s">
        <v>164</v>
      </c>
      <c r="I8" s="6" t="s">
        <v>65</v>
      </c>
      <c r="J8" s="6" t="s">
        <v>165</v>
      </c>
      <c r="K8" s="4">
        <v>46136</v>
      </c>
      <c r="L8" s="5">
        <f t="shared" ca="1" si="0"/>
        <v>-168</v>
      </c>
      <c r="M8" s="5">
        <f ca="1">IF($C8="","",$C8+90-TODAY())</f>
        <v>-58</v>
      </c>
      <c r="N8" s="5">
        <f ca="1">IF($C8="","",$C8+90-TODAY())</f>
        <v>-58</v>
      </c>
      <c r="O8" s="7">
        <v>46136</v>
      </c>
      <c r="P8" s="6" t="s">
        <v>166</v>
      </c>
      <c r="Q8" s="6" t="s">
        <v>167</v>
      </c>
      <c r="R8" s="6" t="s">
        <v>78</v>
      </c>
      <c r="S8" s="6" t="s">
        <v>48</v>
      </c>
      <c r="T8" s="6" t="s">
        <v>78</v>
      </c>
      <c r="U8" s="6" t="s">
        <v>48</v>
      </c>
      <c r="V8" s="6" t="s">
        <v>158</v>
      </c>
      <c r="W8" s="6"/>
      <c r="X8" s="6"/>
      <c r="Y8" s="6" t="s">
        <v>131</v>
      </c>
      <c r="Z8" s="9">
        <v>18176.900000000001</v>
      </c>
      <c r="AA8" s="9">
        <v>16142.75</v>
      </c>
      <c r="AB8" s="9">
        <v>1627.48</v>
      </c>
      <c r="AC8" s="7">
        <v>46156</v>
      </c>
      <c r="AD8" s="9">
        <v>406.67</v>
      </c>
      <c r="AE8" s="5">
        <v>201</v>
      </c>
      <c r="AF8" s="6" t="s">
        <v>132</v>
      </c>
      <c r="AG8" s="6" t="s">
        <v>160</v>
      </c>
      <c r="AH8" s="6" t="s">
        <v>133</v>
      </c>
      <c r="AI8" s="6"/>
      <c r="AJ8" s="5">
        <v>551367817</v>
      </c>
      <c r="AK8" s="6" t="s">
        <v>168</v>
      </c>
      <c r="AL8" s="6" t="s">
        <v>169</v>
      </c>
      <c r="AM8" s="7">
        <v>46063</v>
      </c>
      <c r="AN8" s="6" t="s">
        <v>136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t="shared" ref="L2:L12" ca="1" si="0">IF($O2="","",$O2-TODAY())</f>
        <v>95</v>
      </c>
      <c r="M2" s="5">
        <f t="shared" ref="M2:M7" ca="1" si="1">IF($C2="","",$C2+365-TODAY())</f>
        <v>196</v>
      </c>
      <c r="N2" s="5">
        <f t="shared" ref="N2:N7" ca="1" si="2">IF($C2="","",$C2+120-TODAY())</f>
        <v>-49</v>
      </c>
      <c r="O2" s="7">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t="shared" ca="1" si="0"/>
        <v>102</v>
      </c>
      <c r="M3" s="5">
        <f t="shared" ca="1" si="1"/>
        <v>208</v>
      </c>
      <c r="N3" s="5">
        <f t="shared" ca="1" si="2"/>
        <v>-37</v>
      </c>
      <c r="O3" s="7">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t="shared" ca="1" si="0"/>
        <v>102</v>
      </c>
      <c r="M4" s="5">
        <f t="shared" ca="1" si="1"/>
        <v>196</v>
      </c>
      <c r="N4" s="5">
        <f t="shared" ca="1" si="2"/>
        <v>-49</v>
      </c>
      <c r="O4" s="7">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t="shared" ca="1" si="0"/>
        <v>102</v>
      </c>
      <c r="M5" s="5">
        <f t="shared" ca="1" si="1"/>
        <v>181</v>
      </c>
      <c r="N5" s="5">
        <f t="shared" ca="1" si="2"/>
        <v>-64</v>
      </c>
      <c r="O5" s="7">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t="shared" ca="1" si="0"/>
        <v>109</v>
      </c>
      <c r="M6" s="5">
        <f t="shared" ca="1" si="1"/>
        <v>181</v>
      </c>
      <c r="N6" s="5">
        <f t="shared" ca="1" si="2"/>
        <v>-64</v>
      </c>
      <c r="O6" s="7">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t="shared" ca="1" si="0"/>
        <v>109</v>
      </c>
      <c r="M7" s="5">
        <f t="shared" ca="1" si="1"/>
        <v>160</v>
      </c>
      <c r="N7" s="5">
        <f t="shared" ca="1" si="2"/>
        <v>-85</v>
      </c>
      <c r="O7" s="7">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t="shared" ca="1" si="0"/>
        <v>-187</v>
      </c>
      <c r="M8" s="5">
        <f ca="1">IF($F8="","",$F8+90-TODAY())</f>
        <v>-187</v>
      </c>
      <c r="N8" s="5">
        <f ca="1">IF($C8="","",$C8+540-TODAY())</f>
        <v>357</v>
      </c>
      <c r="O8" s="7">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t="shared" ca="1" si="0"/>
        <v>-187</v>
      </c>
      <c r="M9" s="5">
        <f ca="1">IF($F9="","",$F9+90-TODAY())</f>
        <v>-187</v>
      </c>
      <c r="N9" s="5">
        <f ca="1">IF($C9="","",$C9+540-TODAY())</f>
        <v>378</v>
      </c>
      <c r="O9" s="7">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t="shared" ca="1" si="0"/>
        <v>-166</v>
      </c>
      <c r="M10" s="5">
        <f ca="1">IF($F10="","",$F10+90-TODAY())</f>
        <v>-166</v>
      </c>
      <c r="N10" s="5">
        <f ca="1">IF($C10="","",$C10+540-TODAY())</f>
        <v>347</v>
      </c>
      <c r="O10" s="7">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t="shared" ca="1" si="0"/>
        <v>-157</v>
      </c>
      <c r="M11" s="5">
        <f ca="1">IF($C11="","",$C11+180-TODAY())</f>
        <v>3</v>
      </c>
      <c r="N11" s="5">
        <f ca="1">IF($C11="","",$C11+180-TODAY())</f>
        <v>3</v>
      </c>
      <c r="O11" s="7">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t="shared" ca="1" si="0"/>
        <v/>
      </c>
      <c r="M12" s="5"/>
      <c r="N12" s="5">
        <f ca="1">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t="shared" ref="L2:L10" ca="1" si="0">IF($O2="","",$O2-TODAY())</f>
        <v>-207</v>
      </c>
      <c r="M2" s="5" t="str">
        <f ca="1">IF($C2="","",$C2+365-TODAY())</f>
        <v/>
      </c>
      <c r="N2" s="5" t="str">
        <f ca="1">IF($C2="","",$C2+365-TODAY())</f>
        <v/>
      </c>
      <c r="O2" s="7">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t="shared" ca="1" si="0"/>
        <v>-183</v>
      </c>
      <c r="M3" s="5">
        <f ca="1">IF($F3="","",$F3+90-TODAY())</f>
        <v>-183</v>
      </c>
      <c r="N3" s="5">
        <f ca="1">IF($C3="","",$C3+180-TODAY())</f>
        <v>-12</v>
      </c>
      <c r="O3" s="7">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t="shared" ca="1" si="0"/>
        <v>-183</v>
      </c>
      <c r="M4" s="5">
        <f ca="1">IF($C4="","",$C4+180-TODAY())</f>
        <v>32</v>
      </c>
      <c r="N4" s="5">
        <f ca="1">IF($C4="","",$C4+365-TODAY())</f>
        <v>217</v>
      </c>
      <c r="O4" s="7">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t="shared" ca="1" si="0"/>
        <v>-179</v>
      </c>
      <c r="M5" s="5">
        <f ca="1">IF($C5="","",$C5+180-TODAY())</f>
        <v>-79</v>
      </c>
      <c r="N5" s="5">
        <f ca="1">IF($C5="","",$C5+365-TODAY())</f>
        <v>106</v>
      </c>
      <c r="O5" s="7">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t="shared" ca="1" si="0"/>
        <v>-178</v>
      </c>
      <c r="M6" s="5">
        <f ca="1">IF($F6="","",$F6+90-TODAY())</f>
        <v>-178</v>
      </c>
      <c r="N6" s="5" t="str">
        <f ca="1">IF($C6="","",$C6+365-TODAY())</f>
        <v/>
      </c>
      <c r="O6" s="7">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t="shared" ca="1" si="0"/>
        <v>-169</v>
      </c>
      <c r="M7" s="5">
        <f ca="1">IF($F7="","",$F7+90-TODAY())</f>
        <v>-169</v>
      </c>
      <c r="N7" s="5">
        <f ca="1">IF($C7="","",$C7+365-TODAY())</f>
        <v>224</v>
      </c>
      <c r="O7" s="7">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t="shared" ca="1" si="0"/>
        <v>-169</v>
      </c>
      <c r="M8" s="5">
        <f ca="1">IF($F8="","",$F8+90-TODAY())</f>
        <v>-169</v>
      </c>
      <c r="N8" s="5">
        <f ca="1">IF($C8="","",$C8+365-TODAY())</f>
        <v>113</v>
      </c>
      <c r="O8" s="7">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c r="B9" s="3"/>
      <c r="C9" s="4">
        <v>46111</v>
      </c>
      <c r="D9" s="5">
        <v>549178846</v>
      </c>
      <c r="E9" s="6" t="s">
        <v>247</v>
      </c>
      <c r="F9" s="7">
        <v>46045</v>
      </c>
      <c r="G9" s="6" t="s">
        <v>248</v>
      </c>
      <c r="H9" s="6" t="s">
        <v>248</v>
      </c>
      <c r="I9" s="6" t="s">
        <v>76</v>
      </c>
      <c r="J9" s="8" t="s">
        <v>249</v>
      </c>
      <c r="K9" s="4"/>
      <c r="L9" s="5" t="str">
        <f t="shared" ca="1" si="0"/>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t="shared" ca="1" si="0"/>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t="shared" ref="L2:L8" ca="1" si="0">IF($O2="","",$O2-TODAY())</f>
        <v>-184</v>
      </c>
      <c r="M2" s="5">
        <f ca="1">IF($F2="","",$F2+90-TODAY())</f>
        <v>-184</v>
      </c>
      <c r="N2" s="5">
        <f ca="1">IF($C2="","",$C2+540-TODAY())</f>
        <v>435</v>
      </c>
      <c r="O2" s="7">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t="shared" ca="1" si="0"/>
        <v>-184</v>
      </c>
      <c r="M3" s="5" t="str">
        <f ca="1">IF($C3="","",$C3+365-TODAY())</f>
        <v/>
      </c>
      <c r="N3" s="5" t="str">
        <f ca="1">IF($C3="","",$C3+365-TODAY())</f>
        <v/>
      </c>
      <c r="O3" s="7">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t="shared" ca="1" si="0"/>
        <v>-179</v>
      </c>
      <c r="M4" s="5">
        <f ca="1">IF($F4="","",$F4+90-TODAY())</f>
        <v>-179</v>
      </c>
      <c r="N4" s="5">
        <f ca="1">IF($C4="","",$C4+180-TODAY())</f>
        <v>-55</v>
      </c>
      <c r="O4" s="7">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t="shared" ca="1" si="0"/>
        <v>-178</v>
      </c>
      <c r="M5" s="5">
        <f ca="1">IF($F5="","",$F5+90-TODAY())</f>
        <v>-178</v>
      </c>
      <c r="N5" s="5">
        <f ca="1">IF($C5="","",$C5+180-TODAY())</f>
        <v>36</v>
      </c>
      <c r="O5" s="7">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t="shared" ca="1" si="0"/>
        <v>-177</v>
      </c>
      <c r="M6" s="5">
        <f ca="1">IF($C6="","",$C6+180-TODAY())</f>
        <v>39</v>
      </c>
      <c r="N6" s="5">
        <f ca="1">IF($C6="","",$C6+365-TODAY())</f>
        <v>224</v>
      </c>
      <c r="O6" s="7">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t="shared" ca="1" si="0"/>
        <v>-171</v>
      </c>
      <c r="M7" s="5">
        <f ca="1">IF($F7="","",$F7+90-TODAY())</f>
        <v>-171</v>
      </c>
      <c r="N7" s="5">
        <f ca="1">IF($C7="","",$C7+180-TODAY())</f>
        <v>36</v>
      </c>
      <c r="O7" s="7">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t="shared" ca="1" si="0"/>
        <v>-163</v>
      </c>
      <c r="M8" s="5">
        <f ca="1">IF($C8="","",$C8+180-TODAY())</f>
        <v>32</v>
      </c>
      <c r="N8" s="5">
        <f ca="1">IF($C8="","",$C8+365-TODAY())</f>
        <v>217</v>
      </c>
      <c r="O8" s="7">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
        <v>304</v>
      </c>
    </row>
    <row r="4" spans="1:1" x14ac:dyDescent="0.25">
      <c r="A4" s="11"/>
    </row>
    <row r="5" spans="1:1" x14ac:dyDescent="0.25">
      <c r="A5" s="12" t="s">
        <v>279</v>
      </c>
    </row>
    <row r="6" spans="1:1" ht="45" x14ac:dyDescent="0.25">
      <c r="A6" s="11" t="s">
        <v>305</v>
      </c>
    </row>
    <row r="7" spans="1:1" x14ac:dyDescent="0.25">
      <c r="A7" s="11" t="s">
        <v>306</v>
      </c>
    </row>
    <row r="8" spans="1:1" x14ac:dyDescent="0.25">
      <c r="A8" s="11" t="s">
        <v>280</v>
      </c>
    </row>
    <row r="9" spans="1:1" x14ac:dyDescent="0.25">
      <c r="A9" s="11" t="s">
        <v>281</v>
      </c>
    </row>
    <row r="10" spans="1:1" x14ac:dyDescent="0.25">
      <c r="A10" s="11" t="s">
        <v>282</v>
      </c>
    </row>
    <row r="11" spans="1:1" x14ac:dyDescent="0.25">
      <c r="A11" s="11" t="s">
        <v>283</v>
      </c>
    </row>
    <row r="12" spans="1:1" x14ac:dyDescent="0.25">
      <c r="A12" s="11" t="s">
        <v>284</v>
      </c>
    </row>
    <row r="13" spans="1:1" x14ac:dyDescent="0.25">
      <c r="A13" s="11"/>
    </row>
    <row r="14" spans="1:1" ht="30" x14ac:dyDescent="0.25">
      <c r="A14" s="11" t="s">
        <v>285</v>
      </c>
    </row>
    <row r="15" spans="1:1" ht="45"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