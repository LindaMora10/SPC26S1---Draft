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DME!$A$1:$AO$11</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<sst xmlns="http://schemas.openxmlformats.org/spreadsheetml/2006/main" count="981" uniqueCount="313">
  <si>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</si>
  <si>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</si>
  <si>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</si>
  <si>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</si>
  <si>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</si>
  <si>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</si>
  <si>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</si>
  <si>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</si>
  <si>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</si>
  <si>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</si>
  <si>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</si>
  <si>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</si>
  <si>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</si>
  <si>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</si>
  <si>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</si>
  <si>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</si>
  <si>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</si>
  <si>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</si>
  <si>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</si>
  <si>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</si>
  <si>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</si>
  <si>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</si>
  <si>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</si>
  <si>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</si>
  <si>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</si>
  <si>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</si>
  <si>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</si>
  <si>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</si>
  <si>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</si>
  <si>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</si>
  <si>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</si>
  <si>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</si>
  <si>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</si>
  <si>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</si>
  <si>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</si>
  <si>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</si>
  <si>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</si>
  <si>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</si>
  <si>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</si>
  <si>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</si>
  <si>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</si>
  <si>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</si>
  <si>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</si>
  <si>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</si>
  <si>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</si>
  <si>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</si>
  <si>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</si>
  <si>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</si>
  <si>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</si>
  <si>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</si>
  <si>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</si>
  <si>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</si>
  <si>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</si>
  <si>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</si>
  <si>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</si>
  <si>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</si>
  <si>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</si>
  <si>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</si>
  <si>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</si>
  <si>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</si>
  <si>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</si>
  <si>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</si>
  <si>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</si>
  <si>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</si>
  <si>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</si>
  <si>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</si>
  <si>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</si>
  <si>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</si>
  <si>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</si>
  <si>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</si>
  <si>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</si>
  <si>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</si>
  <si>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</si>
  <si>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</si>
  <si>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</si>
  <si>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</si>
  <si>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</si>
  <si>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</si>
  <si>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</si>
  <si>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</si>
  <si>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</si>
  <si>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</si>
  <si>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</si>
  <si>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</si>
  <si>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</si>
  <si>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</si>
  <si>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</si>
  <si>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</si>
  <si>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</si>
  <si>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</si>
  <si>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</si>
  <si>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</si>
  <si>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</si>
  <si>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</si>
  <si>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</si>
  <si>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</si>
  <si>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</si>
  <si>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</si>
  <si>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</si>
  <si>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</si>
  <si>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</si>
  <si>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</si>
  <si>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</si>
  <si>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</si>
  <si>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</si>
  <si>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</si>
  <si>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</si>
  <si>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</si>
  <si>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</si>
  <si>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</si>
  <si>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</si>
  <si>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</si>
  <si>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</si>
  <si>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</si>
  <si>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</si>
  <si>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</si>
  <si>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</si>
  <si>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</si>
  <si>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</si>
  <si>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</si>
  <si>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</si>
  <si>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</si>
  <si>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</si>
  <si>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</si>
  <si>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</si>
  <si>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</si>
  <si>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</si>
  <si>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</si>
  <si>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</si>
  <si>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</si>
  <si>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</si>
  <si>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</si>
  <si>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</si>
  <si>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</si>
  <si>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</si>
  <si>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</si>
  <si>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</si>
  <si>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</si>
  <si>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</si>
  <si>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</si>
  <si>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</si>
  <si>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</si>
  <si>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</si>
  <si>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</si>
  <si>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</si>
  <si>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</si>
  <si>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</si>
  <si>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</si>
  <si>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</si>
  <si>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</si>
  <si>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</si>
  <si>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</si>
  <si>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</si>
  <si>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</si>
  <si>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</si>
  <si>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</si>
  <si>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</si>
  <si>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</si>
  <si>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</si>
  <si>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</si>
  <si>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</si>
  <si>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</si>
  <si>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</si>
  <si>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</si>
  <si>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</si>
  <si>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</si>
  <si>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</si>
  <si>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</si>
  <si>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</si>
  <si>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</si>
  <si>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</si>
  <si>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</si>
  <si>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</si>
  <si>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</si>
  <si>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</si>
  <si>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</si>
  <si>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</si>
  <si>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</si>
  <si>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</si>
  <si>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</si>
  <si>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</si>
  <si>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</si>
  <si>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</si>
  <si>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</si>
  <si>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</si>
  <si>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</si>
  <si>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</si>
  <si>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</si>
  <si>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</si>
  <si>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</si>
  <si>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</si>
  <si>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</si>
  <si>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</si>
  <si>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</si>
  <si>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</si>
  <si>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</si>
  <si>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</si>
  <si>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</si>
  <si>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</si>
  <si>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</si>
  <si>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</si>
  <si>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</si>
  <si>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</si>
  <si>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</si>
  <si>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</si>
  <si>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</si>
  <si>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</si>
  <si>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</si>
  <si>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</si>
  <si>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</si>
  <si>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</si>
  <si>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</si>
  <si>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</si>
  <si>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</si>
  <si>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</si>
  <si>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</si>
  <si>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</si>
  <si>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</si>
  <si>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</si>
  <si>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</si>
  <si>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</si>
  <si>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</si>
  <si>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</si>
  <si>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</si>
  <si>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</si>
  <si>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</si>
  <si>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</si>
  <si>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</si>
  <si>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</si>
  <si>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</si>
  <si>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</si>
  <si>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</si>
  <si>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</si>
  <si>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</si>
  <si>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</si>
  <si>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</si>
  <si>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</si>
  <si>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</si>
  <si>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</si>
  <si>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</si>
  <si>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</si>
  <si>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</si>
  <si>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</si>
  <si>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</si>
  <si>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</si>
  <si>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</si>
  <si>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</si>
  <si>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</si>
  <si>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</si>
  <si>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</si>
  <si>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</si>
  <si>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</si>
  <si>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</si>
  <si>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</si>
  <si>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</si>
  <si>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</si>
  <si>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</si>
  <si>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</si>
  <si>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</si>
  <si>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</si>
  <si>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</si>
  <si>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</si>
  <si>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</si>
  <si>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</si>
  <si>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</si>
  <si>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</si>
  <si>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</si>
  <si>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</si>
  <si>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</si>
  <si>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</si>
  <si>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</si>
  <si>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</si>
  <si>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</si>
  <si>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</si>
  <si>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</si>
  <si>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</si>
  <si>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</si>
  <si>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38 claims with a date of service in 2026-02 February, split into one sheet per specialty: BH, DME, GAE, ORTHO, US.</t>
  </si>
  <si>
    <t>Row order - work queue, then timely filing deadline</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</si>
  <si>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</si>
  <si>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</si>
  <si>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 xml:space="preserve">    1 - Due in 5 days or less: 0</t>
  </si>
  <si>
    <t xml:space="preserve">    2 - Due in 6-30 days: 0</t>
  </si>
  <si>
    <t xml:space="preserve">    3 - Due in 31+ days: 18</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</si>
  <si>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</si>
  <si>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</si>
  <si>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</si>
  <si>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</si>
  <si>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</si>
  <si>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</si>
  <si>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</si>
  <si>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</si>
  <si>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Statuses on the drop-down: Denied, Finalized, Not found,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</si>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</sst>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IF($F2="","",$F2+90-TODAY())</f>
        <v>-145</v>
      </c>
      <c r="N2" s="12">
        <f ca="1">IF($C2="","",$C2+365-TODAY())</f>
        <v>184</v>
      </c>
      <c r="O2" s="6">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IF($F3="","",$F3+90-TODAY())</f>
        <v>-154</v>
      </c>
      <c r="N3" s="12">
        <f ca="1">IF($C3="","",$C3+365-TODAY())</f>
        <v>163</v>
      </c>
      <c r="O3" s="6">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IF($F4="","",$F4+90-TODAY())</f>
        <v>-148</v>
      </c>
      <c r="N4" s="12">
        <f ca="1">IF($C4="","",$C4+365-TODAY())</f>
        <v>213</v>
      </c>
      <c r="O4" s="6">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IF($C5="","",$C5+365-TODAY())</f>
        <v>212</v>
      </c>
      <c r="N5" s="12">
        <f ca="1">IF($C5="","",$C5+365-TODAY())</f>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IF($C6="","",$C6+365-TODAY())</f>
        <v>212</v>
      </c>
      <c r="N6" s="12">
        <f ca="1">IF($C6="","",$C6+365-TODAY())</f>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IF($F7="","",$F7+90-TODAY())</f>
        <v>-139</v>
      </c>
      <c r="N7" s="12">
        <f ca="1">IF($C7="","",$C7+365-TODAY())</f>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IF($C9="","",$C9+365-TODAY())</f>
        <v>212</v>
      </c>
      <c r="N9" s="12">
        <f ca="1">IF($C9="","",$C9+365-TODAY())</f>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310</v>
      </c>
      <c r="C10" s="3">
        <v>46121</v>
      </c>
      <c r="D10" s="4">
        <v>553095408</v>
      </c>
      <c r="E10" s="5" t="s">
        <v>115</v>
      </c>
      <c r="F10" s="6">
        <v>46069</v>
      </c>
      <c r="G10" s="5" t="s">
        <v>116</v>
      </c>
      <c r="H10" s="5" t="s">
        <v>88</v>
      </c>
      <c r="I10" s="5" t="s">
        <v>116</v>
      </c>
      <c r="J10" s="5" t="s">
        <v>117</v>
      </c>
      <c r="K10" s="3">
        <v>46246</v>
      </c>
      <c r="L10" s="12">
        <f ca="1">IF($O10="","",$O10-TODAY())</f>
        <v>134</v>
      </c>
      <c r="M10" s="12">
        <f ca="1">IF($C10="","",$C10+365-TODAY())</f>
        <v>186</v>
      </c>
      <c r="N10" s="12">
        <f ca="1">IF($C10="","",$C10+120-TODAY())</f>
        <v>-59</v>
      </c>
      <c r="O10" s="6">
        <v>46434</v>
      </c>
      <c r="P10" s="5" t="s">
        <v>49</v>
      </c>
      <c r="Q10" s="5" t="s">
        <v>90</v>
      </c>
      <c r="R10" s="5" t="s">
        <v>49</v>
      </c>
      <c r="S10" s="5" t="s">
        <v>50</v>
      </c>
      <c r="T10" s="5" t="s">
        <v>91</v>
      </c>
      <c r="U10" s="5" t="s">
        <v>50</v>
      </c>
      <c r="V10" s="5" t="s">
        <v>100</v>
      </c>
      <c r="W10" s="5"/>
      <c r="X10" s="5"/>
      <c r="Y10" s="5" t="s">
        <v>118</v>
      </c>
      <c r="Z10" s="7">
        <v>18176.900000000001</v>
      </c>
      <c r="AA10" s="7">
        <v>15508.1</v>
      </c>
      <c r="AB10" s="7">
        <v>542.44000000000005</v>
      </c>
      <c r="AC10" s="6">
        <v>46121</v>
      </c>
      <c r="AD10" s="7">
        <v>2126.36</v>
      </c>
      <c r="AE10" s="4">
        <v>173</v>
      </c>
      <c r="AF10" s="5" t="s">
        <v>94</v>
      </c>
      <c r="AG10" s="5" t="s">
        <v>105</v>
      </c>
      <c r="AH10" s="5"/>
      <c r="AI10" s="5"/>
      <c r="AJ10" s="4">
        <v>557144068</v>
      </c>
      <c r="AK10" s="5" t="s">
        <v>119</v>
      </c>
      <c r="AL10" s="5" t="s">
        <v>120</v>
      </c>
      <c r="AM10" s="6">
        <v>46099</v>
      </c>
      <c r="AN10" s="5" t="s">
        <v>97</v>
      </c>
    </row>
    <row r="11" spans="1:40" x14ac:dyDescent="0.25">
      <c r="A11" s="2" t="s">
        <v>61</v>
      </c>
      <c r="B11" s="2" t="s">
        <v>311</v>
      </c>
      <c r="C11" s="3">
        <v>46101</v>
      </c>
      <c r="D11" s="4">
        <v>550127169</v>
      </c>
      <c r="E11" s="5" t="s">
        <v>121</v>
      </c>
      <c r="F11" s="6">
        <v>46071</v>
      </c>
      <c r="G11" s="5" t="s">
        <v>88</v>
      </c>
      <c r="H11" s="5" t="s">
        <v>88</v>
      </c>
      <c r="I11" s="5" t="s">
        <v>122</v>
      </c>
      <c r="J11" s="5" t="s">
        <v>123</v>
      </c>
      <c r="K11" s="3">
        <v>46300</v>
      </c>
      <c r="L11" s="12">
        <f ca="1">IF($O11="","",$O11-TODAY())</f>
        <v>136</v>
      </c>
      <c r="M11" s="12">
        <f ca="1">IF($C11="","",$C11+365-TODAY())</f>
        <v>166</v>
      </c>
      <c r="N11" s="12">
        <f ca="1">IF($C11="","",$C11+120-TODAY())</f>
        <v>-79</v>
      </c>
      <c r="O11" s="6">
        <v>46436</v>
      </c>
      <c r="P11" s="5" t="s">
        <v>49</v>
      </c>
      <c r="Q11" s="5" t="s">
        <v>90</v>
      </c>
      <c r="R11" s="5" t="s">
        <v>49</v>
      </c>
      <c r="S11" s="5" t="s">
        <v>50</v>
      </c>
      <c r="T11" s="5" t="s">
        <v>91</v>
      </c>
      <c r="U11" s="5" t="s">
        <v>50</v>
      </c>
      <c r="V11" s="5" t="s">
        <v>109</v>
      </c>
      <c r="W11" s="5"/>
      <c r="X11" s="5"/>
      <c r="Y11" s="5" t="s">
        <v>51</v>
      </c>
      <c r="Z11" s="7">
        <v>6392.96</v>
      </c>
      <c r="AA11" s="7">
        <v>0</v>
      </c>
      <c r="AB11" s="7">
        <v>0</v>
      </c>
      <c r="AC11" s="6">
        <v>46101</v>
      </c>
      <c r="AD11" s="7">
        <v>6392.96</v>
      </c>
      <c r="AE11" s="4">
        <v>171</v>
      </c>
      <c r="AF11" s="5" t="s">
        <v>124</v>
      </c>
      <c r="AG11" s="5"/>
      <c r="AH11" s="5"/>
      <c r="AI11" s="5"/>
      <c r="AJ11" s="4"/>
      <c r="AK11" s="5" t="s">
        <v>125</v>
      </c>
      <c r="AL11" s="5" t="s">
        <v>126</v>
      </c>
      <c r="AM11" s="6">
        <v>46093</v>
      </c>
      <c r="AN11" s="5" t="s">
        <v>97</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IF($F3="","",$F3+90-TODAY())</f>
        <v>-131</v>
      </c>
      <c r="N3" s="12">
        <f ca="1">IF($C3="","",$C3+365-TODAY())</f>
        <v>277</v>
      </c>
      <c r="O3" s="6">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IF($C4="","",$C4+365-TODAY())</f>
        <v>156</v>
      </c>
      <c r="N4" s="12">
        <f ca="1">IF($C4="","",$C4+120-TODAY())</f>
        <v>-89</v>
      </c>
      <c r="O4" s="6">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IF($C5="","",$C5+365-TODAY())</f>
        <v>267</v>
      </c>
      <c r="N5" s="12">
        <f ca="1">IF($C5="","",$C5+120-TODAY())</f>
        <v>22</v>
      </c>
      <c r="O5" s="6">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IF($F6="","",$F6+90-TODAY())</f>
        <v>-151</v>
      </c>
      <c r="N6" s="12">
        <f ca="1">IF($C6="","",$C6+540-TODAY())</f>
        <v>387</v>
      </c>
      <c r="O6" s="6">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IF($C7="","",$C7+365-TODAY())</f>
        <v>254</v>
      </c>
      <c r="N7" s="12">
        <f ca="1">IF($C7="","",$C7+365-TODAY())</f>
        <v>254</v>
      </c>
      <c r="O7" s="6">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IF($F8="","",$F8+365-TODAY())</f>
        <v>122</v>
      </c>
      <c r="N8" s="12">
        <f ca="1">IF($F8="","",$F8+365-TODAY())</f>
        <v>122</v>
      </c>
      <c r="O8" s="6">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tr">
        <f>COUNTA(BH!$D$2:$D$1000,DME!$D$2:$D$1000,GAE!$D$2:$D$1000,ORTHO!$D$2:$D$1000,US!$D$2:$D$1000)&amp;" claims with a date of service in 2026-02 February, split into one sheet per specialty: BH, DME, GAE, ORTHO, US."</f>
        <v>38 claims with a date of service in 2026-02 February, split into one sheet per specialty: BH, DME, GAE, ORTHO, US.</v>
      </c>
    </row>
    <row r="4" spans="1:1" x14ac:dyDescent="0.25">
      <c r="A4" s="9"/>
    </row>
    <row r="5" spans="1:1" x14ac:dyDescent="0.25">
      <c r="A5" s="10" t="s">
        <v>278</v>
      </c>
    </row>
    <row r="6" spans="1:1" ht="90" x14ac:dyDescent="0.25">
      <c r="A6" s="9" t="s">
        <v>279</v>
      </c>
    </row>
    <row r="7" spans="1:1" x14ac:dyDescent="0.25">
      <c r="A7" s="9" t="s">
        <v>280</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9" t="str">
        <f>"    3 - Due in 31+ days: "&amp;SUM(COUNTIFS(BH!$L$2:$L$1000,"&gt;30"),COUNTIFS(DME!$L$2:$L$1000,"&gt;30"),COUNTIFS(GAE!$L$2:$L$1000,"&gt;30"),COUNTIFS(ORTHO!$L$2:$L$1000,"&gt;30"),COUNTIFS(US!$L$2:$L$1000,"&gt;30"))</f>
        <v>    3 - Due in 31+ days: 18</v>
      </c>
    </row>
    <row r="11" spans="1:1" x14ac:dyDescent="0.25">
      <c r="A11" s="9" t="str">
        <f>"    4 - Past deadline: "&amp;SUM(COUNTIFS(BH!$L$2:$L$1000,"&lt;0"),COUNTIFS(DME!$L$2:$L$1000,"&lt;0"),COUNTIFS(GAE!$L$2:$L$1000,"&lt;0"),COUNTIFS(ORTHO!$L$2:$L$1000,"&lt;0"),COUNTIFS(US!$L$2:$L$1000,"&lt;0"))</f>
        <v>    4 - Past deadline: 17</v>
      </c>
    </row>
    <row r="12" spans="1:1" x14ac:dyDescent="0.25">
      <c r="A12" s="9" t="str">
        <f>"    5 - No limit on file: "&amp;SUM(COUNTIFS(BH!$D$2:$D$1000,"&lt;&gt;",BH!$L$2:$L$1000,""),COUNTIFS(DME!$D$2:$D$1000,"&lt;&gt;",DME!$L$2:$L$1000,""),COUNTIFS(GAE!$D$2:$D$1000,"&lt;&gt;",GAE!$L$2:$L$1000,""),COUNTIFS(ORTHO!$D$2:$D$1000,"&lt;&gt;",ORTHO!$L$2:$L$1000,""),COUNTIFS(US!$D$2:$D$1000,"&lt;&gt;",US!$L$2:$L$1000,""))</f>
        <v>    5 - No limit on file: 3</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