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275" documentId="11_03DB6F9BF979F61BFC02BDBDA2AFBCEE1A17DC7F" xr6:coauthVersionLast="47" xr6:coauthVersionMax="47" xr10:uidLastSave="{EADD835E-DBEB-461B-827A-04DF377C6FC4}"/>
  <bookViews>
    <workbookView xWindow="-28920" yWindow="-1875" windowWidth="29040" windowHeight="15720" activeTab="1"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BH!$A$1:$AO$9</definedName>
    <definedName name="_xlnm._FilterDatabase" localSheetId="1" hidden="1">DME!$A$1:$AO$11</definedName>
    <definedName name="_xlnm._FilterDatabase" localSheetId="2" hidden="1">GAE!$A$1:$AO$6</definedName>
    <definedName name="_xlnm._FilterDatabase" localSheetId="3" hidden="1">ORTHO!$A$1:$AO$11</definedName>
    <definedName name="_xlnm._FilterDatabase" localSheetId="4" hidden="1">US!$A$1:$AO$6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7A04E042-B6CD-44A4-B670-16D33F984B59}">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FB8DC1F8-ECF0-4851-B313-1669057B6BD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6413749E-1DC1-4C69-A485-74B035E66748}">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57D2F582-EF28-4314-90C2-673038635B7E}">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<sst xmlns="http://schemas.openxmlformats.org/spreadsheetml/2006/main" count="981" uniqueCount="313">
  <si>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</si>
  <si>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</si>
  <si>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</si>
  <si>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</si>
  <si>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</si>
  <si>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</si>
  <si>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</si>
  <si>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</si>
  <si>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</si>
  <si>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</si>
  <si>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</si>
  <si>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</si>
  <si>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</si>
  <si>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</si>
  <si>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</si>
  <si>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</si>
  <si>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</si>
  <si>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</si>
  <si>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</si>
  <si>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</si>
  <si>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</si>
  <si>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</si>
  <si>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</si>
  <si>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</si>
  <si>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</si>
  <si>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</si>
  <si>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</si>
  <si>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</si>
  <si>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</si>
  <si>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</si>
  <si>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</si>
  <si>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</si>
  <si>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</si>
  <si>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</si>
  <si>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</si>
  <si>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</si>
  <si>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</si>
  <si>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</si>
  <si>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</si>
  <si>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</si>
  <si>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Denied</t>
  </si>
  <si>
    <t>Rep Briana - Jarrett Leathem is not contracted with member's Focus Network - Reference number 11216220</t>
  </si>
  <si>
    <t>HF499806568</t>
  </si>
  <si>
    <t>Blue Cross Blue Shield of Arizona (BCBS AZ)</t>
  </si>
  <si>
    <t>No Payer</t>
  </si>
  <si>
    <t>99494 x1; 99493 x1</t>
  </si>
  <si>
    <t>90 days</t>
  </si>
  <si>
    <t>BCBS</t>
  </si>
  <si>
    <t>Date of service</t>
  </si>
  <si>
    <t>365 days</t>
  </si>
  <si>
    <t>Processed date</t>
  </si>
  <si>
    <t>1</t>
  </si>
  <si>
    <t>F4320</t>
  </si>
  <si>
    <t>LEATHEM, JARRETT</t>
  </si>
  <si>
    <t>ASAP - Goodyear</t>
  </si>
  <si>
    <t>BH</t>
  </si>
  <si>
    <t>DND - Non contracted provider</t>
  </si>
  <si>
    <t>HF527306886</t>
  </si>
  <si>
    <t>99493 x1; 99494 x1</t>
  </si>
  <si>
    <t>KALLGREN, MARK</t>
  </si>
  <si>
    <t>ASAP Peoria</t>
  </si>
  <si>
    <t>Finalized</t>
  </si>
  <si>
    <t>HF359780591</t>
  </si>
  <si>
    <t>TRIADA GAP BENEFITS</t>
  </si>
  <si>
    <t>F411</t>
  </si>
  <si>
    <t>ASAP - DEER VALLEY</t>
  </si>
  <si>
    <t>Added Date of Current Illness, claim note, and resubmitted</t>
  </si>
  <si>
    <t>HF434792716</t>
  </si>
  <si>
    <t>Optum Care Medical Network of Arizona, Utah, &amp; Washington (LifePrint)</t>
  </si>
  <si>
    <t>99493 x1</t>
  </si>
  <si>
    <t>OPTUM</t>
  </si>
  <si>
    <t>F1190</t>
  </si>
  <si>
    <t>ASAP - Gilbert</t>
  </si>
  <si>
    <t>HF431164004</t>
  </si>
  <si>
    <t>F331</t>
  </si>
  <si>
    <t>O'NEIL, ROY</t>
  </si>
  <si>
    <t>Rep Muthamma - Under review - Ref # 11253575</t>
  </si>
  <si>
    <t>HF331718997</t>
  </si>
  <si>
    <t>99494 x2; 99492 x1</t>
  </si>
  <si>
    <t>2, 1</t>
  </si>
  <si>
    <t>F4323</t>
  </si>
  <si>
    <t>SARKAR, AWNIK</t>
  </si>
  <si>
    <t>Edited service line 1 - Used cpt 99492, and resubmitted - The reconsideration option is unavailable on portal because the claim has already been adjusted - 99493 paid on claim 26A074466600, DOS 12/12/2025, under prior member ID 1718676 - current claim was billed with member ID 906162197 currently active - DND Subsequent psychiatric CoCM code 99493 is reported on 02/20/2026 and there is no line within the previous 6 months history with psychiatric CoCM codes 99492 or 99493 - Added Date of Current Illness, claim note, and resubmitted</t>
  </si>
  <si>
    <t>HF443112560</t>
  </si>
  <si>
    <t>Changed primary code - Used 99492, and resubmitted</t>
  </si>
  <si>
    <t>HF460603685</t>
  </si>
  <si>
    <t>HF540630932</t>
  </si>
  <si>
    <t>Tricare for Life (All Regions)</t>
  </si>
  <si>
    <t>DME Region D</t>
  </si>
  <si>
    <t>A6010+A1 x20</t>
  </si>
  <si>
    <t>MEDICARE</t>
  </si>
  <si>
    <t>120 days</t>
  </si>
  <si>
    <t>A1</t>
  </si>
  <si>
    <t>20</t>
  </si>
  <si>
    <t>G894</t>
  </si>
  <si>
    <t>Advanced Spine and Pain LLC DME PEO</t>
  </si>
  <si>
    <t>Advanced Spine and Pain LLC DME - Peoria</t>
  </si>
  <si>
    <t>DME</t>
  </si>
  <si>
    <t>HF537353546</t>
  </si>
  <si>
    <t>A6010+A2 x20</t>
  </si>
  <si>
    <t>A2</t>
  </si>
  <si>
    <t>HF497918792</t>
  </si>
  <si>
    <t>A6023+A2 x40</t>
  </si>
  <si>
    <t>40</t>
  </si>
  <si>
    <t>M5417</t>
  </si>
  <si>
    <t>M961</t>
  </si>
  <si>
    <t>HF499790971</t>
  </si>
  <si>
    <t>AARP United Healthcare</t>
  </si>
  <si>
    <t>L3916+KX+RT x1; L3916+KX+LT x1</t>
  </si>
  <si>
    <t>KX</t>
  </si>
  <si>
    <t>RT, LT</t>
  </si>
  <si>
    <t>G5601, G5602</t>
  </si>
  <si>
    <t>M25531, G589</t>
  </si>
  <si>
    <t>G589</t>
  </si>
  <si>
    <t>PAID</t>
  </si>
  <si>
    <t>HF435406148</t>
  </si>
  <si>
    <t>SILAC INSURANCE</t>
  </si>
  <si>
    <t>A6023+A2 x10</t>
  </si>
  <si>
    <t>10</t>
  </si>
  <si>
    <t>Advanced Spine and Pain LLC DME SUR</t>
  </si>
  <si>
    <t>Advanced Spine and Pain LLC DME - Surprise Reems</t>
  </si>
  <si>
    <t>HF433355246</t>
  </si>
  <si>
    <t>Mercy Care RBHA</t>
  </si>
  <si>
    <t>L0650+KX x1</t>
  </si>
  <si>
    <t>M4306</t>
  </si>
  <si>
    <t>Advanced Spine and Pain LLC DME GWY</t>
  </si>
  <si>
    <t>Advanced Spine and Pain LLC DME - Greenway</t>
  </si>
  <si>
    <t>HF498304433</t>
  </si>
  <si>
    <t>DME Region C</t>
  </si>
  <si>
    <t>Advanced Spine and Pain LLC DME GIL</t>
  </si>
  <si>
    <t>Advanced Spine and Pain LLC DME - Gilbert</t>
  </si>
  <si>
    <t>Under Review</t>
  </si>
  <si>
    <t xml:space="preserve">Auth issue - Denied payment again - Bri resubmitted - Provider TAX ID/NPI Combination is not on file with BCBS AZ. </t>
  </si>
  <si>
    <t>HF513477727</t>
  </si>
  <si>
    <t>L0648+KX x1</t>
  </si>
  <si>
    <t>M4316</t>
  </si>
  <si>
    <t>M51362</t>
  </si>
  <si>
    <t>MAYURAN, VIKRAM</t>
  </si>
  <si>
    <t>ASAP - Mesa</t>
  </si>
  <si>
    <t>No authorization found or requested - Checking if we need auth on Curo portal # 19801266 - Pending - Review</t>
  </si>
  <si>
    <t>HF544828362</t>
  </si>
  <si>
    <t>UHC Group Medicare Advantage</t>
  </si>
  <si>
    <t>UHC MA</t>
  </si>
  <si>
    <t>180 days</t>
  </si>
  <si>
    <t>L97529</t>
  </si>
  <si>
    <t>MEARS, CHAD</t>
  </si>
  <si>
    <t>Denied again - Edited charges per unit to 271.22 based on cms fee schedule 2026</t>
  </si>
  <si>
    <t>HF539993491</t>
  </si>
  <si>
    <t>Alignment Health Care</t>
  </si>
  <si>
    <t>A6023+A2 x20</t>
  </si>
  <si>
    <t>Not on reference list</t>
  </si>
  <si>
    <t>TONDINI, JENISE</t>
  </si>
  <si>
    <t>Rep Keran - Escalate claim - Call ref # REQ0679770 - TAT 30 days</t>
  </si>
  <si>
    <t>HF548333203</t>
  </si>
  <si>
    <t>A6023+A1 x10</t>
  </si>
  <si>
    <t>M4326</t>
  </si>
  <si>
    <t>MCMURDIE, TODD</t>
  </si>
  <si>
    <t>ASAP - Surprise - Reems</t>
  </si>
  <si>
    <t>Received</t>
  </si>
  <si>
    <t>HF455471322</t>
  </si>
  <si>
    <t>COMBINED INSURANCE CO OF AMERICA</t>
  </si>
  <si>
    <t>Medicare Part B Arizona *</t>
  </si>
  <si>
    <t>75774+26+XU x3; 76937+26 x1; 36248+59 x1; 37242 x1; 36245+59 x1; 36246+59+LT x1; 75710+26+XU+LT x1</t>
  </si>
  <si>
    <t>26, 59</t>
  </si>
  <si>
    <t>XU, LT</t>
  </si>
  <si>
    <t>LT</t>
  </si>
  <si>
    <t>3, 1</t>
  </si>
  <si>
    <t>M1712</t>
  </si>
  <si>
    <t>I798</t>
  </si>
  <si>
    <t>M25562</t>
  </si>
  <si>
    <t>HUNTER, DREW</t>
  </si>
  <si>
    <t>ASAP Surgery Centers North Valley LLC</t>
  </si>
  <si>
    <t>GAE</t>
  </si>
  <si>
    <t>Uploaded MR - PIQ-83274799</t>
  </si>
  <si>
    <t>HF460854286</t>
  </si>
  <si>
    <t>United HealthCare Dual Complete</t>
  </si>
  <si>
    <t>Mercy Care Health Plan Advantage (AHCCCS)</t>
  </si>
  <si>
    <t>75710+26+XU+LT x1; 76937+26 x1; 75774+26+XU x4; 36245+59 x1; 36248+59 x3</t>
  </si>
  <si>
    <t>UHC DUAL COMPLETE</t>
  </si>
  <si>
    <t>XU</t>
  </si>
  <si>
    <t>1, 4, 3</t>
  </si>
  <si>
    <t xml:space="preserve">Corrected units from 3 to 2 on portal - Confirmation Number: 4726236494120 - 76937 Medicare MUE is 2 per DOS - DND 76937 - Payer deems the information submitted does not support this many/frequency of services - Pending secondary claim correction for when medicare pays </t>
  </si>
  <si>
    <t>HF538917701</t>
  </si>
  <si>
    <t>76937+26 x3</t>
  </si>
  <si>
    <t>26</t>
  </si>
  <si>
    <t>3</t>
  </si>
  <si>
    <t>Premier Endoscopy Center, LLC</t>
  </si>
  <si>
    <t>Uploaded MR - PIQ-83275318</t>
  </si>
  <si>
    <t>75774+26+XU x5; 75710+26+XU+RT x1; 36245+59 x1</t>
  </si>
  <si>
    <t>RT</t>
  </si>
  <si>
    <t>5, 1</t>
  </si>
  <si>
    <t>M1711</t>
  </si>
  <si>
    <t>M25561</t>
  </si>
  <si>
    <t>Provider active, resubmitted</t>
  </si>
  <si>
    <t>HF489558936</t>
  </si>
  <si>
    <t>36246+59+RT x1; 75710+XU+RT x1; 76937 x1; 75774+XU x4; 36248+59 x3; 37242 x1</t>
  </si>
  <si>
    <t>59, XU</t>
  </si>
  <si>
    <t>HF546941796</t>
  </si>
  <si>
    <t>Physicians Mutual Insurance Company - ENS</t>
  </si>
  <si>
    <t>63685 x1</t>
  </si>
  <si>
    <t>G90523</t>
  </si>
  <si>
    <t>KRAUSE, JEFFREY</t>
  </si>
  <si>
    <t>ORTHO</t>
  </si>
  <si>
    <t>Pending</t>
  </si>
  <si>
    <t>secondary - Added primary claim ID and submitted electronically</t>
  </si>
  <si>
    <t>HF444976688</t>
  </si>
  <si>
    <t>CURRIE, DAVID</t>
  </si>
  <si>
    <t>Added service line with 63030 - Split bilateral service with mod RT and LT, and resubmitted</t>
  </si>
  <si>
    <t>HF544045379</t>
  </si>
  <si>
    <t>Mutual of Omaha Medicare Advantage OFAP</t>
  </si>
  <si>
    <t>63030+LT x1; 63047 x1; 63030+RT x1</t>
  </si>
  <si>
    <t>LT, RT</t>
  </si>
  <si>
    <t>M48062</t>
  </si>
  <si>
    <t>M5416</t>
  </si>
  <si>
    <t>M5126</t>
  </si>
  <si>
    <t>LUKE, TIMOTHY</t>
  </si>
  <si>
    <t>Deanne is reviewing this one - Rep Jessie - Claim contains a non anesthesia service, and rendering is listed as an anesthesiologist on ins end</t>
  </si>
  <si>
    <t>HF540909294</t>
  </si>
  <si>
    <t>Humana Gold Plus HMO</t>
  </si>
  <si>
    <t>63048 x1; 63047 x1</t>
  </si>
  <si>
    <t>HUMANA MA</t>
  </si>
  <si>
    <t>540 days</t>
  </si>
  <si>
    <t>Uploaded MR - PIQ-86018866</t>
  </si>
  <si>
    <t>HF500464709</t>
  </si>
  <si>
    <t>63030+50 x1</t>
  </si>
  <si>
    <t>50</t>
  </si>
  <si>
    <t>Provider TAX ID/NPI Combination is not on file with BCBS AZ.</t>
  </si>
  <si>
    <t>22845+59 x1; 22853 x1</t>
  </si>
  <si>
    <t>59</t>
  </si>
  <si>
    <t>M4807</t>
  </si>
  <si>
    <t>Banner Desert Medical Center</t>
  </si>
  <si>
    <t>We need to reprocess when claim 568613230 gets adjusted - Added mod 58, and resubmitted</t>
  </si>
  <si>
    <t>HF334213960</t>
  </si>
  <si>
    <t>63047+58 x1</t>
  </si>
  <si>
    <t>58</t>
  </si>
  <si>
    <t>HF496014369</t>
  </si>
  <si>
    <t>Arizona Complete Health (Centene)</t>
  </si>
  <si>
    <t>63048 x1</t>
  </si>
  <si>
    <t>AZ COMPLETE</t>
  </si>
  <si>
    <t>M51370</t>
  </si>
  <si>
    <t>MCCUNNIFF, PETER</t>
  </si>
  <si>
    <t>Uploaded MR - PIQ-86126921</t>
  </si>
  <si>
    <t>HF349133597</t>
  </si>
  <si>
    <t>AARP MedicareComplete (SecureHorizons &amp; Oxford Network)</t>
  </si>
  <si>
    <t>63048 x1; 63047 x1; 64708 x1</t>
  </si>
  <si>
    <t>AARP MA CHOICE / MEDICARE COMPLETE</t>
  </si>
  <si>
    <t>M4696, G59</t>
  </si>
  <si>
    <t>Sent mailed auth appeal request to PO Box 64 Huntingdon Valley, PA 19006 - Auth # 20260114-002504 Denied</t>
  </si>
  <si>
    <t>HF532203609</t>
  </si>
  <si>
    <t>UMR Wausau / UHIS</t>
  </si>
  <si>
    <t>22853 x1</t>
  </si>
  <si>
    <t>UMR / WAUSAU</t>
  </si>
  <si>
    <t>M21371</t>
  </si>
  <si>
    <t>secondary - pending posting - Primary paid - Edited referring provider, and resubmitted</t>
  </si>
  <si>
    <t>HF544172142</t>
  </si>
  <si>
    <t>93970 x1</t>
  </si>
  <si>
    <t>R600</t>
  </si>
  <si>
    <t>M79672</t>
  </si>
  <si>
    <t>Z86718</t>
  </si>
  <si>
    <t>Z8781</t>
  </si>
  <si>
    <t>BURGHER, ABRAM</t>
  </si>
  <si>
    <t>US</t>
  </si>
  <si>
    <t>HF467995431</t>
  </si>
  <si>
    <t>93970 x1; 93925 x1</t>
  </si>
  <si>
    <t>I872, I70213</t>
  </si>
  <si>
    <t>TURLEY, TODD</t>
  </si>
  <si>
    <t>HF497596195</t>
  </si>
  <si>
    <t>I872</t>
  </si>
  <si>
    <t>93923 x1</t>
  </si>
  <si>
    <t>I739</t>
  </si>
  <si>
    <t>secondary - Added primary claim ID and submitted electronically - Medicare paid as primary - Resubmitted to Medicare</t>
  </si>
  <si>
    <t>HF548452117</t>
  </si>
  <si>
    <t>Humana</t>
  </si>
  <si>
    <t>E785</t>
  </si>
  <si>
    <t>G9050</t>
  </si>
  <si>
    <t>I10</t>
  </si>
  <si>
    <t>2026-02 February - Specialty Claims</t>
  </si>
  <si>
    <t>38 claims with a date of service in 2026-02 February, split into one sheet per specialty: BH, DME, GAE, ORTHO, US.</t>
  </si>
  <si>
    <t>Row order - work queue, then timely filing deadline</t>
  </si>
  <si>
    <t>Every specialty sheet is sorted in four groups: Rejected claims at the very top, then claims with an empty Latest Date Worked (column K), then the other open claims, and Finalized and PAID claims at the bottom (a Finalized or PAID claim with an empty Latest Date Worked stays in the empty Latest Date Worked group). Within each group, rows are ordered by how close the claim is to its primary payer's timely filing deadline. Days Until Deadline (column L) carries the count: five days or less left is shaded red, a negative number means the filing window has already closed, and a blank means no limit is on file for that payer.</t>
  </si>
  <si>
    <t>Deadline order within each group, with the colour band each row gets (these counts update automatically):</t>
  </si>
  <si>
    <t xml:space="preserve">    1 - Due in 5 days or less: 0</t>
  </si>
  <si>
    <t xml:space="preserve">    2 - Due in 6-30 days: 0</t>
  </si>
  <si>
    <t xml:space="preserve">    3 - Due in 31+ days: 18</t>
  </si>
  <si>
    <t xml:space="preserve">    4 - Past deadline: 17</t>
  </si>
  <si>
    <t xml:space="preserve">    5 - No limit on file: 3</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</si>
  <si>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</si>
  <si>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Sorting on Days Until Deadline alone would mix the four groups above back together, so when you re-sort keep the Rejected rows first, then the empty Latest Date Worked rows, and the Finalized and PAID rows last.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</si>
  <si>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</si>
  <si>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</si>
  <si>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</si>
  <si>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list, and anything not on the list is rejected so a typo cannot slip in. To add a new status, edit the list under Data &gt; Data Validation.</t>
  </si>
  <si>
    <t>Statuses on the drop-down: Denied, Finalized, Not found, PAID, Pending, Received, Rejected, Under Review.</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</si>
  <si>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</si>
  <si>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</si>
  <si>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</si>
  <si>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</si>
  <si>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</si>
  <si>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</si>
  <si>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</si>
  <si>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</si>
  <si>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</si>
  <si>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'SPC26S1 - 00 Master v2.xlsx' (same folder) holds every claim for 2026 S1. Its Claim Status and Notes columns are formulas that read this file, so anything you type in columns A and B here shows up there. Keep both files in the same folder, keep the file name unchanged, and save this file before opening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</si>
  <si>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</si>
  <si>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</si>
  <si>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Awaiting resolution on claim #556349314 (DOS 01/27/2026) before reprocessing DND 99493 This non-payable code is for required reporting only - Added Date of Current Illness, claim note, and resubmitted</t>
  </si>
  <si>
    <t xml:space="preserve">Filed appeal # Z264AZW09999 on portal - Basis: add-on to auth'd/paid 63047, intraop findings. Op note attached - Add-on 63048 requires auth according to medicaid auth tool - Auth # OP4987640976 didn't include 63048 - DND 63048 due to missing auth </t>
  </si>
  <si>
    <t xml:space="preserve">secondary - waiting for posting to crossover to secondary - primary paid </t>
  </si>
  <si>
    <t>Adjusted balance - DND Bundling with Home Health (NPI 1154898542) claim - Inpatient from 02/06/2026 till 03/07/2026</t>
  </si>
  <si>
    <t xml:space="preserve">secondary - we need to crossover to secondary - primary paid </t>
  </si>
  <si>
    <t xml:space="preserve">PAID - Surprise Reems - Pending check secondary - Waiting on PTAN issue to be solved - Payment on hold </t>
  </si>
  <si>
    <t>Shifted to PT - ABN signed - L0637 dispensed on 01/16/2023 supplier ARIZONA SPINE AND PAIN SPECIALISTS LLC - DND L0650 - Remark M3 Equipment is the same or similar to equipment already being used.</t>
  </si>
  <si>
    <t>Gilbert - jurisdiction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</si>
</sst>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1"/>
      <color rgb="FFFFFFFF"/>
      <name val="Calibri"/>
      <family val="2"/>
    </font>
    <font>
      <sz val="11"/>
      <name val="Calibri"/>
      <family val="2"/>
    </font>
    <font>
      <b/>
      <sz val="14"/>
      <color rgb="FF1F4E79"/>
      <name val="Calibri"/>
      <family val="2"/>
    </font>
    <font>
      <b/>
      <sz val="11"/>
      <color rgb="FF1F4E79"/>
      <name val="Calibri"/>
      <family val="2"/>
    </font>
    <font>
      <sz val="11"/>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xf numFmtId="0" fontId="5" fillId="3" borderId="1" xfId="0" applyFont="1" applyFill="1" applyBorder="1" applyAlignment="1">
      <alignment vertical="top"/>
    </xf>
  </cellXfs>
  <cellStyles count="1">
    <cellStyle name="Normal" xfId="0" builtinId="0"/>
  </cellStyles>
  <dxfs count="109">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C6E0B4"/>
        </patternFill>
      </fill>
    </dxf>
    <dxf>
      <fill>
        <patternFill patternType="solid">
          <bgColor rgb="FFBDD7EE"/>
        </patternFill>
      </fill>
    </dxf>
    <dxf>
      <fill>
        <patternFill patternType="solid">
          <bgColor rgb="FFD9D2E9"/>
        </patternFill>
      </fill>
    </dxf>
    <dxf>
      <fill>
        <patternFill patternType="solid">
          <bgColor rgb="FFFFE699"/>
        </patternFill>
      </fill>
    </dxf>
    <dxf>
      <font>
        <b/>
        <color rgb="FF000000"/>
      </font>
      <fill>
        <patternFill patternType="solid">
          <bgColor rgb="FFFF9933"/>
        </patternFill>
      </fill>
    </dxf>
    <dxf>
      <fill>
        <patternFill patternType="solid">
          <bgColor rgb="FFFF9F9F"/>
        </patternFill>
      </fill>
    </dxf>
    <dxf>
      <fill>
        <patternFill patternType="solid">
          <bgColor rgb="FFE4A0C8"/>
        </patternFill>
      </fill>
    </dxf>
    <dxf>
      <fill>
        <patternFill patternType="solid">
          <bgColor rgb="FFBFBFBF"/>
        </patternFill>
      </fill>
    </dxf>
    <dxf>
      <fill>
        <patternFill patternType="solid">
          <bgColor rgb="FFFCE4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
  <sheetViews>
    <sheetView zoomScale="90" workbookViewId="0">
      <pane xSplit="2" ySplit="1" topLeftCell="C2" activePane="bottomRight" state="frozen"/>
      <selection pane="topRight"/>
      <selection pane="bottomLeft"/>
      <selection pane="bottomRight" activeCell="D21" sqref="D21"/>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8" width="40.42578125" customWidth="1"/>
    <col min="9" max="9" width="40" hidden="1" customWidth="1"/>
    <col min="10" max="10" width="22.42578125" customWidth="1"/>
    <col min="11" max="11" width="13.28515625" customWidth="1"/>
    <col min="12" max="12" width="12" customWidth="1"/>
    <col min="13" max="13" width="19.42578125" customWidth="1"/>
    <col min="14" max="14" width="16"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61</v>
      </c>
      <c r="B2" s="2"/>
      <c r="C2" s="3">
        <v>46119</v>
      </c>
      <c r="D2" s="4">
        <v>549765437</v>
      </c>
      <c r="E2" s="5" t="s">
        <v>62</v>
      </c>
      <c r="F2" s="6">
        <v>46065</v>
      </c>
      <c r="G2" s="5" t="s">
        <v>63</v>
      </c>
      <c r="H2" s="5" t="s">
        <v>43</v>
      </c>
      <c r="I2" s="5" t="s">
        <v>63</v>
      </c>
      <c r="J2" s="5" t="s">
        <v>58</v>
      </c>
      <c r="K2" s="3"/>
      <c r="L2" s="12">
        <f ca="1">IF($O2="","",$O2-TODAY())</f>
        <v>-145</v>
      </c>
      <c r="M2" s="12">
        <f ca="1">IF($F2="","",$F2+90-TODAY())</f>
        <v>-145</v>
      </c>
      <c r="N2" s="12">
        <f ca="1">IF($C2="","",$C2+365-TODAY())</f>
        <v>184</v>
      </c>
      <c r="O2" s="6">
        <v>46155</v>
      </c>
      <c r="P2" s="5" t="s">
        <v>46</v>
      </c>
      <c r="Q2" s="5" t="s">
        <v>47</v>
      </c>
      <c r="R2" s="5" t="s">
        <v>46</v>
      </c>
      <c r="S2" s="5" t="s">
        <v>48</v>
      </c>
      <c r="T2" s="5" t="s">
        <v>49</v>
      </c>
      <c r="U2" s="5" t="s">
        <v>50</v>
      </c>
      <c r="V2" s="5"/>
      <c r="W2" s="5"/>
      <c r="X2" s="5"/>
      <c r="Y2" s="5" t="s">
        <v>51</v>
      </c>
      <c r="Z2" s="7">
        <v>1372.91</v>
      </c>
      <c r="AA2" s="7">
        <v>1179.8900000000001</v>
      </c>
      <c r="AB2" s="7">
        <v>0</v>
      </c>
      <c r="AC2" s="6">
        <v>46119</v>
      </c>
      <c r="AD2" s="7">
        <v>193.02</v>
      </c>
      <c r="AE2" s="4">
        <v>177</v>
      </c>
      <c r="AF2" s="5" t="s">
        <v>64</v>
      </c>
      <c r="AG2" s="5"/>
      <c r="AH2" s="5"/>
      <c r="AI2" s="5"/>
      <c r="AJ2" s="4">
        <v>558453526</v>
      </c>
      <c r="AK2" s="5" t="s">
        <v>53</v>
      </c>
      <c r="AL2" s="5" t="s">
        <v>65</v>
      </c>
      <c r="AM2" s="6">
        <v>46086</v>
      </c>
      <c r="AN2" s="5" t="s">
        <v>55</v>
      </c>
    </row>
    <row r="3" spans="1:40" x14ac:dyDescent="0.25">
      <c r="A3" s="2" t="s">
        <v>40</v>
      </c>
      <c r="B3" s="2" t="s">
        <v>41</v>
      </c>
      <c r="C3" s="3">
        <v>46098</v>
      </c>
      <c r="D3" s="4">
        <v>548676737</v>
      </c>
      <c r="E3" s="5" t="s">
        <v>42</v>
      </c>
      <c r="F3" s="6">
        <v>46056</v>
      </c>
      <c r="G3" s="5" t="s">
        <v>43</v>
      </c>
      <c r="H3" s="5" t="s">
        <v>43</v>
      </c>
      <c r="I3" s="5" t="s">
        <v>44</v>
      </c>
      <c r="J3" s="5" t="s">
        <v>45</v>
      </c>
      <c r="K3" s="3">
        <v>46183</v>
      </c>
      <c r="L3" s="12">
        <f ca="1">IF($O3="","",$O3-TODAY())</f>
        <v>-154</v>
      </c>
      <c r="M3" s="12">
        <f ca="1">IF($F3="","",$F3+90-TODAY())</f>
        <v>-154</v>
      </c>
      <c r="N3" s="12">
        <f ca="1">IF($C3="","",$C3+365-TODAY())</f>
        <v>163</v>
      </c>
      <c r="O3" s="6">
        <v>46146</v>
      </c>
      <c r="P3" s="5" t="s">
        <v>46</v>
      </c>
      <c r="Q3" s="5" t="s">
        <v>47</v>
      </c>
      <c r="R3" s="5" t="s">
        <v>46</v>
      </c>
      <c r="S3" s="5" t="s">
        <v>48</v>
      </c>
      <c r="T3" s="5" t="s">
        <v>49</v>
      </c>
      <c r="U3" s="5" t="s">
        <v>50</v>
      </c>
      <c r="V3" s="5"/>
      <c r="W3" s="5"/>
      <c r="X3" s="5"/>
      <c r="Y3" s="5" t="s">
        <v>51</v>
      </c>
      <c r="Z3" s="7">
        <v>1372.91</v>
      </c>
      <c r="AA3" s="7">
        <v>0</v>
      </c>
      <c r="AB3" s="7">
        <v>0</v>
      </c>
      <c r="AC3" s="6">
        <v>46098</v>
      </c>
      <c r="AD3" s="7">
        <v>1372.91</v>
      </c>
      <c r="AE3" s="4">
        <v>186</v>
      </c>
      <c r="AF3" s="5" t="s">
        <v>52</v>
      </c>
      <c r="AG3" s="5"/>
      <c r="AH3" s="5"/>
      <c r="AI3" s="5"/>
      <c r="AJ3" s="4"/>
      <c r="AK3" s="5" t="s">
        <v>53</v>
      </c>
      <c r="AL3" s="5" t="s">
        <v>54</v>
      </c>
      <c r="AM3" s="6">
        <v>46086</v>
      </c>
      <c r="AN3" s="5" t="s">
        <v>55</v>
      </c>
    </row>
    <row r="4" spans="1:40" x14ac:dyDescent="0.25">
      <c r="A4" s="2" t="s">
        <v>40</v>
      </c>
      <c r="B4" s="2" t="s">
        <v>56</v>
      </c>
      <c r="C4" s="3">
        <v>46148</v>
      </c>
      <c r="D4" s="4">
        <v>548979329</v>
      </c>
      <c r="E4" s="5" t="s">
        <v>57</v>
      </c>
      <c r="F4" s="6">
        <v>46062</v>
      </c>
      <c r="G4" s="5" t="s">
        <v>43</v>
      </c>
      <c r="H4" s="5" t="s">
        <v>43</v>
      </c>
      <c r="I4" s="5" t="s">
        <v>44</v>
      </c>
      <c r="J4" s="5" t="s">
        <v>58</v>
      </c>
      <c r="K4" s="3">
        <v>46183</v>
      </c>
      <c r="L4" s="12">
        <f ca="1">IF($O4="","",$O4-TODAY())</f>
        <v>-148</v>
      </c>
      <c r="M4" s="12">
        <f ca="1">IF($F4="","",$F4+90-TODAY())</f>
        <v>-148</v>
      </c>
      <c r="N4" s="12">
        <f ca="1">IF($C4="","",$C4+365-TODAY())</f>
        <v>213</v>
      </c>
      <c r="O4" s="6">
        <v>46152</v>
      </c>
      <c r="P4" s="5" t="s">
        <v>46</v>
      </c>
      <c r="Q4" s="5" t="s">
        <v>47</v>
      </c>
      <c r="R4" s="5" t="s">
        <v>46</v>
      </c>
      <c r="S4" s="5" t="s">
        <v>48</v>
      </c>
      <c r="T4" s="5" t="s">
        <v>49</v>
      </c>
      <c r="U4" s="5" t="s">
        <v>50</v>
      </c>
      <c r="V4" s="5"/>
      <c r="W4" s="5"/>
      <c r="X4" s="5"/>
      <c r="Y4" s="5" t="s">
        <v>51</v>
      </c>
      <c r="Z4" s="7">
        <v>1372.91</v>
      </c>
      <c r="AA4" s="7">
        <v>0</v>
      </c>
      <c r="AB4" s="7">
        <v>0</v>
      </c>
      <c r="AC4" s="6">
        <v>46148</v>
      </c>
      <c r="AD4" s="7">
        <v>1372.91</v>
      </c>
      <c r="AE4" s="4">
        <v>180</v>
      </c>
      <c r="AF4" s="5" t="s">
        <v>52</v>
      </c>
      <c r="AG4" s="5"/>
      <c r="AH4" s="5"/>
      <c r="AI4" s="5"/>
      <c r="AJ4" s="4"/>
      <c r="AK4" s="5" t="s">
        <v>59</v>
      </c>
      <c r="AL4" s="5" t="s">
        <v>60</v>
      </c>
      <c r="AM4" s="6">
        <v>46090</v>
      </c>
      <c r="AN4" s="5" t="s">
        <v>55</v>
      </c>
    </row>
    <row r="5" spans="1:40" x14ac:dyDescent="0.25">
      <c r="A5" s="2" t="s">
        <v>40</v>
      </c>
      <c r="B5" s="2" t="s">
        <v>66</v>
      </c>
      <c r="C5" s="3">
        <v>46147</v>
      </c>
      <c r="D5" s="4">
        <v>557794433</v>
      </c>
      <c r="E5" s="5" t="s">
        <v>67</v>
      </c>
      <c r="F5" s="6">
        <v>46066</v>
      </c>
      <c r="G5" s="5" t="s">
        <v>68</v>
      </c>
      <c r="H5" s="5" t="s">
        <v>68</v>
      </c>
      <c r="I5" s="5" t="s">
        <v>44</v>
      </c>
      <c r="J5" s="5" t="s">
        <v>69</v>
      </c>
      <c r="K5" s="3">
        <v>46142</v>
      </c>
      <c r="L5" s="12">
        <f ca="1">IF($O5="","",$O5-TODAY())</f>
        <v>-144</v>
      </c>
      <c r="M5" s="12">
        <f ca="1">IF($C5="","",$C5+365-TODAY())</f>
        <v>212</v>
      </c>
      <c r="N5" s="12">
        <f ca="1">IF($C5="","",$C5+365-TODAY())</f>
        <v>212</v>
      </c>
      <c r="O5" s="6">
        <v>46156</v>
      </c>
      <c r="P5" s="5" t="s">
        <v>46</v>
      </c>
      <c r="Q5" s="5" t="s">
        <v>70</v>
      </c>
      <c r="R5" s="5" t="s">
        <v>49</v>
      </c>
      <c r="S5" s="5" t="s">
        <v>50</v>
      </c>
      <c r="T5" s="5" t="s">
        <v>49</v>
      </c>
      <c r="U5" s="5" t="s">
        <v>50</v>
      </c>
      <c r="V5" s="5"/>
      <c r="W5" s="5"/>
      <c r="X5" s="5"/>
      <c r="Y5" s="5" t="s">
        <v>51</v>
      </c>
      <c r="Z5" s="7">
        <v>976.64</v>
      </c>
      <c r="AA5" s="7">
        <v>0</v>
      </c>
      <c r="AB5" s="7">
        <v>0</v>
      </c>
      <c r="AC5" s="6">
        <v>46147</v>
      </c>
      <c r="AD5" s="7">
        <v>976.64</v>
      </c>
      <c r="AE5" s="4">
        <v>176</v>
      </c>
      <c r="AF5" s="5" t="s">
        <v>71</v>
      </c>
      <c r="AG5" s="5"/>
      <c r="AH5" s="5"/>
      <c r="AI5" s="5"/>
      <c r="AJ5" s="4"/>
      <c r="AK5" s="5" t="s">
        <v>53</v>
      </c>
      <c r="AL5" s="5" t="s">
        <v>72</v>
      </c>
      <c r="AM5" s="6">
        <v>46086</v>
      </c>
      <c r="AN5" s="5" t="s">
        <v>55</v>
      </c>
    </row>
    <row r="6" spans="1:40" x14ac:dyDescent="0.25">
      <c r="A6" s="2" t="s">
        <v>40</v>
      </c>
      <c r="B6" s="13" t="s">
        <v>305</v>
      </c>
      <c r="C6" s="3">
        <v>46147</v>
      </c>
      <c r="D6" s="4">
        <v>557794882</v>
      </c>
      <c r="E6" s="5" t="s">
        <v>73</v>
      </c>
      <c r="F6" s="6">
        <v>46070</v>
      </c>
      <c r="G6" s="5" t="s">
        <v>68</v>
      </c>
      <c r="H6" s="5" t="s">
        <v>68</v>
      </c>
      <c r="I6" s="5" t="s">
        <v>44</v>
      </c>
      <c r="J6" s="5" t="s">
        <v>69</v>
      </c>
      <c r="K6" s="3">
        <v>46284</v>
      </c>
      <c r="L6" s="12">
        <f ca="1">IF($O6="","",$O6-TODAY())</f>
        <v>-140</v>
      </c>
      <c r="M6" s="12">
        <f ca="1">IF($C6="","",$C6+365-TODAY())</f>
        <v>212</v>
      </c>
      <c r="N6" s="12">
        <f ca="1">IF($C6="","",$C6+365-TODAY())</f>
        <v>212</v>
      </c>
      <c r="O6" s="6">
        <v>46160</v>
      </c>
      <c r="P6" s="5" t="s">
        <v>46</v>
      </c>
      <c r="Q6" s="5" t="s">
        <v>70</v>
      </c>
      <c r="R6" s="5" t="s">
        <v>49</v>
      </c>
      <c r="S6" s="5" t="s">
        <v>50</v>
      </c>
      <c r="T6" s="5" t="s">
        <v>49</v>
      </c>
      <c r="U6" s="5" t="s">
        <v>50</v>
      </c>
      <c r="V6" s="5"/>
      <c r="W6" s="5"/>
      <c r="X6" s="5"/>
      <c r="Y6" s="5" t="s">
        <v>51</v>
      </c>
      <c r="Z6" s="7">
        <v>976.64</v>
      </c>
      <c r="AA6" s="7">
        <v>0</v>
      </c>
      <c r="AB6" s="7">
        <v>0</v>
      </c>
      <c r="AC6" s="6">
        <v>46147</v>
      </c>
      <c r="AD6" s="7">
        <v>976.64</v>
      </c>
      <c r="AE6" s="4">
        <v>172</v>
      </c>
      <c r="AF6" s="5" t="s">
        <v>74</v>
      </c>
      <c r="AG6" s="5" t="s">
        <v>64</v>
      </c>
      <c r="AH6" s="5"/>
      <c r="AI6" s="5"/>
      <c r="AJ6" s="4"/>
      <c r="AK6" s="5" t="s">
        <v>75</v>
      </c>
      <c r="AL6" s="5" t="s">
        <v>54</v>
      </c>
      <c r="AM6" s="6">
        <v>46086</v>
      </c>
      <c r="AN6" s="5" t="s">
        <v>55</v>
      </c>
    </row>
    <row r="7" spans="1:40" x14ac:dyDescent="0.25">
      <c r="A7" s="2" t="s">
        <v>40</v>
      </c>
      <c r="B7" s="2" t="s">
        <v>76</v>
      </c>
      <c r="C7" s="3">
        <v>46101</v>
      </c>
      <c r="D7" s="4">
        <v>550288006</v>
      </c>
      <c r="E7" s="5" t="s">
        <v>77</v>
      </c>
      <c r="F7" s="6">
        <v>46071</v>
      </c>
      <c r="G7" s="5" t="s">
        <v>43</v>
      </c>
      <c r="H7" s="5" t="s">
        <v>43</v>
      </c>
      <c r="I7" s="5" t="s">
        <v>44</v>
      </c>
      <c r="J7" s="5" t="s">
        <v>78</v>
      </c>
      <c r="K7" s="3">
        <v>46183</v>
      </c>
      <c r="L7" s="12">
        <f ca="1">IF($O7="","",$O7-TODAY())</f>
        <v>-139</v>
      </c>
      <c r="M7" s="12">
        <f ca="1">IF($F7="","",$F7+90-TODAY())</f>
        <v>-139</v>
      </c>
      <c r="N7" s="12">
        <f ca="1">IF($C7="","",$C7+365-TODAY())</f>
        <v>166</v>
      </c>
      <c r="O7" s="6">
        <v>46161</v>
      </c>
      <c r="P7" s="5" t="s">
        <v>46</v>
      </c>
      <c r="Q7" s="5" t="s">
        <v>47</v>
      </c>
      <c r="R7" s="5" t="s">
        <v>46</v>
      </c>
      <c r="S7" s="5" t="s">
        <v>48</v>
      </c>
      <c r="T7" s="5" t="s">
        <v>49</v>
      </c>
      <c r="U7" s="5" t="s">
        <v>50</v>
      </c>
      <c r="V7" s="5"/>
      <c r="W7" s="5"/>
      <c r="X7" s="5"/>
      <c r="Y7" s="5" t="s">
        <v>79</v>
      </c>
      <c r="Z7" s="7">
        <v>1822.52</v>
      </c>
      <c r="AA7" s="7">
        <v>0</v>
      </c>
      <c r="AB7" s="7">
        <v>0</v>
      </c>
      <c r="AC7" s="6">
        <v>46101</v>
      </c>
      <c r="AD7" s="7">
        <v>1822.52</v>
      </c>
      <c r="AE7" s="4">
        <v>171</v>
      </c>
      <c r="AF7" s="5" t="s">
        <v>80</v>
      </c>
      <c r="AG7" s="5"/>
      <c r="AH7" s="5"/>
      <c r="AI7" s="5"/>
      <c r="AJ7" s="4"/>
      <c r="AK7" s="5" t="s">
        <v>81</v>
      </c>
      <c r="AL7" s="5" t="s">
        <v>65</v>
      </c>
      <c r="AM7" s="6">
        <v>46086</v>
      </c>
      <c r="AN7" s="5" t="s">
        <v>55</v>
      </c>
    </row>
    <row r="8" spans="1:40" x14ac:dyDescent="0.25">
      <c r="A8" s="2" t="s">
        <v>40</v>
      </c>
      <c r="B8" s="2" t="s">
        <v>82</v>
      </c>
      <c r="C8" s="3">
        <v>46147</v>
      </c>
      <c r="D8" s="4">
        <v>557793858</v>
      </c>
      <c r="E8" s="5" t="s">
        <v>83</v>
      </c>
      <c r="F8" s="6">
        <v>46073</v>
      </c>
      <c r="G8" s="5" t="s">
        <v>68</v>
      </c>
      <c r="H8" s="5" t="s">
        <v>68</v>
      </c>
      <c r="I8" s="5" t="s">
        <v>44</v>
      </c>
      <c r="J8" s="5" t="s">
        <v>69</v>
      </c>
      <c r="K8" s="3">
        <v>46266</v>
      </c>
      <c r="L8" s="12">
        <f ca="1">IF($O8="","",$O8-TODAY())</f>
        <v>-137</v>
      </c>
      <c r="M8" s="12">
        <f ca="1">IF($C8="","",$C8+365-TODAY())</f>
        <v>212</v>
      </c>
      <c r="N8" s="12">
        <f ca="1">IF($C8="","",$C8+365-TODAY())</f>
        <v>212</v>
      </c>
      <c r="O8" s="6">
        <v>46163</v>
      </c>
      <c r="P8" s="5" t="s">
        <v>46</v>
      </c>
      <c r="Q8" s="5" t="s">
        <v>70</v>
      </c>
      <c r="R8" s="5" t="s">
        <v>49</v>
      </c>
      <c r="S8" s="5" t="s">
        <v>50</v>
      </c>
      <c r="T8" s="5" t="s">
        <v>49</v>
      </c>
      <c r="U8" s="5" t="s">
        <v>50</v>
      </c>
      <c r="V8" s="5"/>
      <c r="W8" s="5"/>
      <c r="X8" s="5"/>
      <c r="Y8" s="5" t="s">
        <v>51</v>
      </c>
      <c r="Z8" s="7">
        <v>976.64</v>
      </c>
      <c r="AA8" s="7">
        <v>0</v>
      </c>
      <c r="AB8" s="7">
        <v>0</v>
      </c>
      <c r="AC8" s="6">
        <v>46147</v>
      </c>
      <c r="AD8" s="7">
        <v>976.64</v>
      </c>
      <c r="AE8" s="4">
        <v>169</v>
      </c>
      <c r="AF8" s="5" t="s">
        <v>71</v>
      </c>
      <c r="AG8" s="5"/>
      <c r="AH8" s="5"/>
      <c r="AI8" s="5"/>
      <c r="AJ8" s="4"/>
      <c r="AK8" s="5" t="s">
        <v>53</v>
      </c>
      <c r="AL8" s="5" t="s">
        <v>72</v>
      </c>
      <c r="AM8" s="6">
        <v>46086</v>
      </c>
      <c r="AN8" s="5" t="s">
        <v>55</v>
      </c>
    </row>
    <row r="9" spans="1:40" x14ac:dyDescent="0.25">
      <c r="A9" s="2" t="s">
        <v>40</v>
      </c>
      <c r="B9" s="2" t="s">
        <v>84</v>
      </c>
      <c r="C9" s="3">
        <v>46147</v>
      </c>
      <c r="D9" s="4">
        <v>557794229</v>
      </c>
      <c r="E9" s="5" t="s">
        <v>85</v>
      </c>
      <c r="F9" s="6">
        <v>46073</v>
      </c>
      <c r="G9" s="5" t="s">
        <v>68</v>
      </c>
      <c r="H9" s="5" t="s">
        <v>68</v>
      </c>
      <c r="I9" s="5" t="s">
        <v>44</v>
      </c>
      <c r="J9" s="5" t="s">
        <v>69</v>
      </c>
      <c r="K9" s="3">
        <v>46247</v>
      </c>
      <c r="L9" s="12">
        <f ca="1">IF($O9="","",$O9-TODAY())</f>
        <v>-137</v>
      </c>
      <c r="M9" s="12">
        <f ca="1">IF($C9="","",$C9+365-TODAY())</f>
        <v>212</v>
      </c>
      <c r="N9" s="12">
        <f ca="1">IF($C9="","",$C9+365-TODAY())</f>
        <v>212</v>
      </c>
      <c r="O9" s="6">
        <v>46163</v>
      </c>
      <c r="P9" s="5" t="s">
        <v>46</v>
      </c>
      <c r="Q9" s="5" t="s">
        <v>70</v>
      </c>
      <c r="R9" s="5" t="s">
        <v>49</v>
      </c>
      <c r="S9" s="5" t="s">
        <v>50</v>
      </c>
      <c r="T9" s="5" t="s">
        <v>49</v>
      </c>
      <c r="U9" s="5" t="s">
        <v>50</v>
      </c>
      <c r="V9" s="5"/>
      <c r="W9" s="5"/>
      <c r="X9" s="5"/>
      <c r="Y9" s="5" t="s">
        <v>51</v>
      </c>
      <c r="Z9" s="7">
        <v>976.64</v>
      </c>
      <c r="AA9" s="7">
        <v>0</v>
      </c>
      <c r="AB9" s="7">
        <v>0</v>
      </c>
      <c r="AC9" s="6">
        <v>46147</v>
      </c>
      <c r="AD9" s="7">
        <v>976.64</v>
      </c>
      <c r="AE9" s="4">
        <v>169</v>
      </c>
      <c r="AF9" s="5" t="s">
        <v>71</v>
      </c>
      <c r="AG9" s="5"/>
      <c r="AH9" s="5"/>
      <c r="AI9" s="5"/>
      <c r="AJ9" s="4"/>
      <c r="AK9" s="5" t="s">
        <v>59</v>
      </c>
      <c r="AL9" s="5" t="s">
        <v>72</v>
      </c>
      <c r="AM9" s="6">
        <v>46086</v>
      </c>
      <c r="AN9" s="5" t="s">
        <v>55</v>
      </c>
    </row>
  </sheetData>
  <autoFilter ref="A1:AN9" xr:uid="{00000000-0009-0000-0000-000000000000}"/>
  <conditionalFormatting sqref="L2:L9">
    <cfRule type="expression" dxfId="99" priority="1">
      <formula>AND($L2&lt;&gt;"", $L2&gt;=0, $L2&lt;=5)</formula>
    </cfRule>
    <cfRule type="expression" dxfId="98" priority="2">
      <formula>AND($L2&lt;&gt;"", $L2&gt;5, $L2&lt;=30)</formula>
    </cfRule>
    <cfRule type="expression" dxfId="97" priority="3">
      <formula>AND($L2&lt;&gt;"", $L2&gt;30)</formula>
    </cfRule>
    <cfRule type="expression" dxfId="96" priority="4">
      <formula>AND($L2&lt;&gt;"", $L2&lt;0)</formula>
    </cfRule>
    <cfRule type="expression" dxfId="95" priority="5">
      <formula>$L2=""</formula>
    </cfRule>
  </conditionalFormatting>
  <conditionalFormatting sqref="M2:M9">
    <cfRule type="expression" dxfId="94" priority="6">
      <formula>AND($M2&lt;&gt;"", $M2&gt;=0, $M2&lt;=5)</formula>
    </cfRule>
    <cfRule type="expression" dxfId="93" priority="7">
      <formula>AND($M2&lt;&gt;"", $M2&gt;5, $M2&lt;=30)</formula>
    </cfRule>
    <cfRule type="expression" dxfId="92" priority="8">
      <formula>AND($M2&lt;&gt;"", $M2&gt;30)</formula>
    </cfRule>
    <cfRule type="expression" dxfId="91" priority="9">
      <formula>AND($M2&lt;&gt;"", $M2&lt;0)</formula>
    </cfRule>
    <cfRule type="expression" dxfId="90" priority="10">
      <formula>$M2=""</formula>
    </cfRule>
  </conditionalFormatting>
  <conditionalFormatting sqref="N2:N9">
    <cfRule type="expression" dxfId="89" priority="11">
      <formula>AND($N2&lt;&gt;"", $N2&gt;=0, $N2&lt;=5)</formula>
    </cfRule>
    <cfRule type="expression" dxfId="88" priority="12">
      <formula>AND($N2&lt;&gt;"", $N2&gt;5, $N2&lt;=30)</formula>
    </cfRule>
    <cfRule type="expression" dxfId="87" priority="13">
      <formula>AND($N2&lt;&gt;"", $N2&gt;30)</formula>
    </cfRule>
    <cfRule type="expression" dxfId="86" priority="14">
      <formula>AND($N2&lt;&gt;"", $N2&lt;0)</formula>
    </cfRule>
    <cfRule type="expression" dxfId="85" priority="15">
      <formula>$N2=""</formula>
    </cfRule>
  </conditionalFormatting>
  <conditionalFormatting sqref="O2:U9">
    <cfRule type="expression" dxfId="84" priority="16">
      <formula>AND($L2&lt;&gt;"", $L2&gt;=0, $L2&lt;=5)</formula>
    </cfRule>
    <cfRule type="expression" dxfId="83" priority="17">
      <formula>AND($L2&lt;&gt;"", $L2&gt;5, $L2&lt;=30)</formula>
    </cfRule>
    <cfRule type="expression" dxfId="82" priority="18">
      <formula>AND($L2&lt;&gt;"", $L2&gt;30)</formula>
    </cfRule>
    <cfRule type="expression" dxfId="81" priority="19">
      <formula>AND($L2&lt;&gt;"", $L2&lt;0)</formula>
    </cfRule>
    <cfRule type="expression" dxfId="8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AND(TRIM($A2)="Denied",$K2="")</formula>
    </cfRule>
    <cfRule type="expression" dxfId="108" priority="29">
      <formula>AND(TRIM($A2)="Denied",$K2&lt;&gt;"")</formula>
    </cfRule>
    <cfRule type="expression" dxfId="106" priority="27">
      <formula>TRIM($A2)="Rejected"</formula>
    </cfRule>
    <cfRule type="expression" dxfId="107"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1"/>
  <sheetViews>
    <sheetView tabSelected="1" zoomScale="90" workbookViewId="0">
      <pane xSplit="2" ySplit="1" topLeftCell="C2" activePane="bottomRight" state="frozen"/>
      <selection pane="topRight"/>
      <selection pane="bottomLeft"/>
      <selection pane="bottomRight" activeCell="H21" sqref="H21"/>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6.42578125" customWidth="1"/>
    <col min="11" max="11" width="14" customWidth="1"/>
    <col min="12" max="12" width="12" customWidth="1"/>
    <col min="13" max="13" width="19.140625" customWidth="1"/>
    <col min="14" max="14" width="18"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40</v>
      </c>
      <c r="B2" s="2" t="s">
        <v>312</v>
      </c>
      <c r="C2" s="3">
        <v>46147</v>
      </c>
      <c r="D2" s="4">
        <v>557715576</v>
      </c>
      <c r="E2" s="5" t="s">
        <v>127</v>
      </c>
      <c r="F2" s="6">
        <v>46076</v>
      </c>
      <c r="G2" s="5" t="s">
        <v>128</v>
      </c>
      <c r="H2" s="5" t="s">
        <v>128</v>
      </c>
      <c r="I2" s="5" t="s">
        <v>43</v>
      </c>
      <c r="J2" s="5" t="s">
        <v>102</v>
      </c>
      <c r="K2" s="3"/>
      <c r="L2" s="12">
        <f ca="1">IF($O2="","",$O2-TODAY())</f>
        <v>141</v>
      </c>
      <c r="M2" s="12">
        <f ca="1">IF($C2="","",$C2+365-TODAY())</f>
        <v>212</v>
      </c>
      <c r="N2" s="12">
        <f ca="1">IF($C2="","",$C2+120-TODAY())</f>
        <v>-33</v>
      </c>
      <c r="O2" s="6">
        <v>46441</v>
      </c>
      <c r="P2" s="5" t="s">
        <v>49</v>
      </c>
      <c r="Q2" s="5" t="s">
        <v>90</v>
      </c>
      <c r="R2" s="5" t="s">
        <v>49</v>
      </c>
      <c r="S2" s="5" t="s">
        <v>50</v>
      </c>
      <c r="T2" s="5" t="s">
        <v>91</v>
      </c>
      <c r="U2" s="5" t="s">
        <v>50</v>
      </c>
      <c r="V2" s="5" t="s">
        <v>100</v>
      </c>
      <c r="W2" s="5"/>
      <c r="X2" s="5"/>
      <c r="Y2" s="5" t="s">
        <v>103</v>
      </c>
      <c r="Z2" s="7">
        <v>72707.600000000006</v>
      </c>
      <c r="AA2" s="7">
        <v>0</v>
      </c>
      <c r="AB2" s="7">
        <v>0</v>
      </c>
      <c r="AC2" s="6">
        <v>46147</v>
      </c>
      <c r="AD2" s="7">
        <v>72707.600000000006</v>
      </c>
      <c r="AE2" s="4">
        <v>166</v>
      </c>
      <c r="AF2" s="5" t="s">
        <v>94</v>
      </c>
      <c r="AG2" s="5" t="s">
        <v>105</v>
      </c>
      <c r="AH2" s="5"/>
      <c r="AI2" s="5"/>
      <c r="AJ2" s="4"/>
      <c r="AK2" s="5" t="s">
        <v>129</v>
      </c>
      <c r="AL2" s="5" t="s">
        <v>130</v>
      </c>
      <c r="AM2" s="6">
        <v>46085</v>
      </c>
      <c r="AN2" s="5" t="s">
        <v>97</v>
      </c>
    </row>
    <row r="3" spans="1:40" x14ac:dyDescent="0.25">
      <c r="A3" s="2" t="s">
        <v>203</v>
      </c>
      <c r="B3" s="2" t="s">
        <v>307</v>
      </c>
      <c r="C3" s="3">
        <v>46105</v>
      </c>
      <c r="D3" s="4">
        <v>553137846</v>
      </c>
      <c r="E3" s="5" t="s">
        <v>86</v>
      </c>
      <c r="F3" s="6">
        <v>46063</v>
      </c>
      <c r="G3" s="5" t="s">
        <v>87</v>
      </c>
      <c r="H3" s="5" t="s">
        <v>88</v>
      </c>
      <c r="I3" s="5" t="s">
        <v>87</v>
      </c>
      <c r="J3" s="5" t="s">
        <v>89</v>
      </c>
      <c r="K3" s="3">
        <v>46300</v>
      </c>
      <c r="L3" s="12">
        <f ca="1">IF($O3="","",$O3-TODAY())</f>
        <v>128</v>
      </c>
      <c r="M3" s="12">
        <f ca="1">IF($C3="","",$C3+365-TODAY())</f>
        <v>170</v>
      </c>
      <c r="N3" s="12">
        <f ca="1">IF($C3="","",$C3+120-TODAY())</f>
        <v>-75</v>
      </c>
      <c r="O3" s="6">
        <v>46428</v>
      </c>
      <c r="P3" s="5" t="s">
        <v>49</v>
      </c>
      <c r="Q3" s="5" t="s">
        <v>90</v>
      </c>
      <c r="R3" s="5" t="s">
        <v>49</v>
      </c>
      <c r="S3" s="5" t="s">
        <v>50</v>
      </c>
      <c r="T3" s="5" t="s">
        <v>91</v>
      </c>
      <c r="U3" s="5" t="s">
        <v>50</v>
      </c>
      <c r="V3" s="5" t="s">
        <v>92</v>
      </c>
      <c r="W3" s="5"/>
      <c r="X3" s="5"/>
      <c r="Y3" s="5" t="s">
        <v>93</v>
      </c>
      <c r="Z3" s="7">
        <v>5916.4</v>
      </c>
      <c r="AA3" s="7">
        <v>5047.72</v>
      </c>
      <c r="AB3" s="7">
        <v>692.12</v>
      </c>
      <c r="AC3" s="6">
        <v>46105</v>
      </c>
      <c r="AD3" s="7">
        <v>176.56</v>
      </c>
      <c r="AE3" s="4">
        <v>179</v>
      </c>
      <c r="AF3" s="5" t="s">
        <v>94</v>
      </c>
      <c r="AG3" s="5"/>
      <c r="AH3" s="5"/>
      <c r="AI3" s="5"/>
      <c r="AJ3" s="4">
        <v>564731184</v>
      </c>
      <c r="AK3" s="5" t="s">
        <v>95</v>
      </c>
      <c r="AL3" s="5" t="s">
        <v>96</v>
      </c>
      <c r="AM3" s="6">
        <v>46099</v>
      </c>
      <c r="AN3" s="5" t="s">
        <v>97</v>
      </c>
    </row>
    <row r="4" spans="1:40" x14ac:dyDescent="0.25">
      <c r="A4" s="2" t="s">
        <v>203</v>
      </c>
      <c r="B4" s="2" t="s">
        <v>309</v>
      </c>
      <c r="C4" s="3">
        <v>46133</v>
      </c>
      <c r="D4" s="4">
        <v>550531610</v>
      </c>
      <c r="E4" s="5" t="s">
        <v>101</v>
      </c>
      <c r="F4" s="6">
        <v>46066</v>
      </c>
      <c r="G4" s="5" t="s">
        <v>87</v>
      </c>
      <c r="H4" s="5" t="s">
        <v>88</v>
      </c>
      <c r="I4" s="5" t="s">
        <v>87</v>
      </c>
      <c r="J4" s="5" t="s">
        <v>102</v>
      </c>
      <c r="K4" s="3">
        <v>46300</v>
      </c>
      <c r="L4" s="12">
        <f ca="1">IF($O4="","",$O4-TODAY())</f>
        <v>131</v>
      </c>
      <c r="M4" s="12">
        <f ca="1">IF($C4="","",$C4+365-TODAY())</f>
        <v>198</v>
      </c>
      <c r="N4" s="12">
        <f ca="1">IF($C4="","",$C4+120-TODAY())</f>
        <v>-47</v>
      </c>
      <c r="O4" s="6">
        <v>46431</v>
      </c>
      <c r="P4" s="5" t="s">
        <v>49</v>
      </c>
      <c r="Q4" s="5" t="s">
        <v>90</v>
      </c>
      <c r="R4" s="5" t="s">
        <v>49</v>
      </c>
      <c r="S4" s="5" t="s">
        <v>50</v>
      </c>
      <c r="T4" s="5" t="s">
        <v>91</v>
      </c>
      <c r="U4" s="5" t="s">
        <v>50</v>
      </c>
      <c r="V4" s="5" t="s">
        <v>100</v>
      </c>
      <c r="W4" s="5"/>
      <c r="X4" s="5"/>
      <c r="Y4" s="5" t="s">
        <v>103</v>
      </c>
      <c r="Z4" s="7">
        <v>72707.600000000006</v>
      </c>
      <c r="AA4" s="7">
        <v>62032.38</v>
      </c>
      <c r="AB4" s="7">
        <v>8505.4599999999991</v>
      </c>
      <c r="AC4" s="6">
        <v>46133</v>
      </c>
      <c r="AD4" s="7">
        <v>2169.7600000000002</v>
      </c>
      <c r="AE4" s="4">
        <v>176</v>
      </c>
      <c r="AF4" s="5" t="s">
        <v>94</v>
      </c>
      <c r="AG4" s="5" t="s">
        <v>104</v>
      </c>
      <c r="AH4" s="5" t="s">
        <v>105</v>
      </c>
      <c r="AI4" s="5"/>
      <c r="AJ4" s="4">
        <v>563428910</v>
      </c>
      <c r="AK4" s="5" t="s">
        <v>95</v>
      </c>
      <c r="AL4" s="5" t="s">
        <v>96</v>
      </c>
      <c r="AM4" s="6">
        <v>46077</v>
      </c>
      <c r="AN4" s="5" t="s">
        <v>97</v>
      </c>
    </row>
    <row r="5" spans="1:40" x14ac:dyDescent="0.25">
      <c r="A5" s="2" t="s">
        <v>131</v>
      </c>
      <c r="B5" s="2" t="s">
        <v>132</v>
      </c>
      <c r="C5" s="3">
        <v>46227</v>
      </c>
      <c r="D5" s="4">
        <v>565140993</v>
      </c>
      <c r="E5" s="5" t="s">
        <v>133</v>
      </c>
      <c r="F5" s="6">
        <v>46069</v>
      </c>
      <c r="G5" s="5" t="s">
        <v>43</v>
      </c>
      <c r="H5" s="5" t="s">
        <v>43</v>
      </c>
      <c r="I5" s="5" t="s">
        <v>44</v>
      </c>
      <c r="J5" s="5" t="s">
        <v>134</v>
      </c>
      <c r="K5" s="3">
        <v>46196</v>
      </c>
      <c r="L5" s="12">
        <f ca="1">IF($O5="","",$O5-TODAY())</f>
        <v>-141</v>
      </c>
      <c r="M5" s="12">
        <f ca="1">IF($F5="","",$F5+90-TODAY())</f>
        <v>-141</v>
      </c>
      <c r="N5" s="12">
        <f ca="1">IF($C5="","",$C5+365-TODAY())</f>
        <v>292</v>
      </c>
      <c r="O5" s="6">
        <v>46159</v>
      </c>
      <c r="P5" s="5" t="s">
        <v>46</v>
      </c>
      <c r="Q5" s="5" t="s">
        <v>47</v>
      </c>
      <c r="R5" s="5" t="s">
        <v>46</v>
      </c>
      <c r="S5" s="5" t="s">
        <v>48</v>
      </c>
      <c r="T5" s="5" t="s">
        <v>49</v>
      </c>
      <c r="U5" s="5" t="s">
        <v>50</v>
      </c>
      <c r="V5" s="5" t="s">
        <v>109</v>
      </c>
      <c r="W5" s="5"/>
      <c r="X5" s="5"/>
      <c r="Y5" s="5" t="s">
        <v>51</v>
      </c>
      <c r="Z5" s="7">
        <v>5492.55</v>
      </c>
      <c r="AA5" s="7">
        <v>0</v>
      </c>
      <c r="AB5" s="7">
        <v>0</v>
      </c>
      <c r="AC5" s="6"/>
      <c r="AD5" s="7">
        <v>5492.55</v>
      </c>
      <c r="AE5" s="4">
        <v>173</v>
      </c>
      <c r="AF5" s="5" t="s">
        <v>135</v>
      </c>
      <c r="AG5" s="5" t="s">
        <v>136</v>
      </c>
      <c r="AH5" s="5"/>
      <c r="AI5" s="5"/>
      <c r="AJ5" s="4"/>
      <c r="AK5" s="5" t="s">
        <v>137</v>
      </c>
      <c r="AL5" s="5" t="s">
        <v>138</v>
      </c>
      <c r="AM5" s="6">
        <v>46080</v>
      </c>
      <c r="AN5" s="5" t="s">
        <v>97</v>
      </c>
    </row>
    <row r="6" spans="1:40" x14ac:dyDescent="0.25">
      <c r="A6" s="2" t="s">
        <v>40</v>
      </c>
      <c r="B6" s="2" t="s">
        <v>139</v>
      </c>
      <c r="C6" s="3">
        <v>46106</v>
      </c>
      <c r="D6" s="4">
        <v>550530483</v>
      </c>
      <c r="E6" s="5" t="s">
        <v>140</v>
      </c>
      <c r="F6" s="6">
        <v>46072</v>
      </c>
      <c r="G6" s="5" t="s">
        <v>141</v>
      </c>
      <c r="H6" s="5" t="s">
        <v>141</v>
      </c>
      <c r="I6" s="5" t="s">
        <v>44</v>
      </c>
      <c r="J6" s="5" t="s">
        <v>89</v>
      </c>
      <c r="K6" s="3">
        <v>46197</v>
      </c>
      <c r="L6" s="12">
        <f ca="1">IF($O6="","",$O6-TODAY())</f>
        <v>-138</v>
      </c>
      <c r="M6" s="12">
        <f ca="1">IF($C6="","",$C6+180-TODAY())</f>
        <v>-14</v>
      </c>
      <c r="N6" s="12">
        <f ca="1">IF($C6="","",$C6+365-TODAY())</f>
        <v>171</v>
      </c>
      <c r="O6" s="6">
        <v>46162</v>
      </c>
      <c r="P6" s="5" t="s">
        <v>46</v>
      </c>
      <c r="Q6" s="5" t="s">
        <v>142</v>
      </c>
      <c r="R6" s="5" t="s">
        <v>143</v>
      </c>
      <c r="S6" s="5" t="s">
        <v>50</v>
      </c>
      <c r="T6" s="5" t="s">
        <v>49</v>
      </c>
      <c r="U6" s="5" t="s">
        <v>50</v>
      </c>
      <c r="V6" s="5" t="s">
        <v>92</v>
      </c>
      <c r="W6" s="5"/>
      <c r="X6" s="5"/>
      <c r="Y6" s="5" t="s">
        <v>93</v>
      </c>
      <c r="Z6" s="7">
        <v>5916.4</v>
      </c>
      <c r="AA6" s="7">
        <v>0</v>
      </c>
      <c r="AB6" s="7">
        <v>0</v>
      </c>
      <c r="AC6" s="6">
        <v>46106</v>
      </c>
      <c r="AD6" s="7">
        <v>5916.4</v>
      </c>
      <c r="AE6" s="4">
        <v>170</v>
      </c>
      <c r="AF6" s="5" t="s">
        <v>94</v>
      </c>
      <c r="AG6" s="5" t="s">
        <v>144</v>
      </c>
      <c r="AH6" s="5"/>
      <c r="AI6" s="5"/>
      <c r="AJ6" s="4"/>
      <c r="AK6" s="5" t="s">
        <v>145</v>
      </c>
      <c r="AL6" s="5" t="s">
        <v>60</v>
      </c>
      <c r="AM6" s="6">
        <v>46077</v>
      </c>
      <c r="AN6" s="5" t="s">
        <v>97</v>
      </c>
    </row>
    <row r="7" spans="1:40" x14ac:dyDescent="0.25">
      <c r="A7" s="2" t="s">
        <v>40</v>
      </c>
      <c r="B7" s="2" t="s">
        <v>146</v>
      </c>
      <c r="C7" s="3">
        <v>46149</v>
      </c>
      <c r="D7" s="4">
        <v>556897081</v>
      </c>
      <c r="E7" s="5" t="s">
        <v>147</v>
      </c>
      <c r="F7" s="6">
        <v>46062</v>
      </c>
      <c r="G7" s="5" t="s">
        <v>148</v>
      </c>
      <c r="H7" s="5" t="s">
        <v>148</v>
      </c>
      <c r="I7" s="5" t="s">
        <v>44</v>
      </c>
      <c r="J7" s="5" t="s">
        <v>149</v>
      </c>
      <c r="K7" s="3">
        <v>46134</v>
      </c>
      <c r="L7" s="12" t="str">
        <f ca="1">IF($O7="","",$O7-TODAY())</f>
        <v/>
      </c>
      <c r="M7" s="12"/>
      <c r="N7" s="12"/>
      <c r="O7" s="6"/>
      <c r="P7" s="5"/>
      <c r="Q7" s="5" t="s">
        <v>150</v>
      </c>
      <c r="R7" s="5"/>
      <c r="S7" s="5"/>
      <c r="T7" s="5"/>
      <c r="U7" s="5"/>
      <c r="V7" s="5" t="s">
        <v>100</v>
      </c>
      <c r="W7" s="5"/>
      <c r="X7" s="5"/>
      <c r="Y7" s="5" t="s">
        <v>93</v>
      </c>
      <c r="Z7" s="7">
        <v>5424.4</v>
      </c>
      <c r="AA7" s="7">
        <v>0</v>
      </c>
      <c r="AB7" s="7">
        <v>0</v>
      </c>
      <c r="AC7" s="6">
        <v>46149</v>
      </c>
      <c r="AD7" s="7">
        <v>5424.4</v>
      </c>
      <c r="AE7" s="4">
        <v>180</v>
      </c>
      <c r="AF7" s="5" t="s">
        <v>94</v>
      </c>
      <c r="AG7" s="5"/>
      <c r="AH7" s="5"/>
      <c r="AI7" s="5"/>
      <c r="AJ7" s="4"/>
      <c r="AK7" s="5" t="s">
        <v>151</v>
      </c>
      <c r="AL7" s="5" t="s">
        <v>54</v>
      </c>
      <c r="AM7" s="6">
        <v>46063</v>
      </c>
      <c r="AN7" s="5" t="s">
        <v>97</v>
      </c>
    </row>
    <row r="8" spans="1:40" x14ac:dyDescent="0.25">
      <c r="A8" s="2" t="s">
        <v>40</v>
      </c>
      <c r="B8" s="2" t="s">
        <v>152</v>
      </c>
      <c r="C8" s="3">
        <v>46112</v>
      </c>
      <c r="D8" s="4">
        <v>553079628</v>
      </c>
      <c r="E8" s="5" t="s">
        <v>153</v>
      </c>
      <c r="F8" s="6">
        <v>46064</v>
      </c>
      <c r="G8" s="5" t="s">
        <v>148</v>
      </c>
      <c r="H8" s="5" t="s">
        <v>148</v>
      </c>
      <c r="I8" s="5" t="s">
        <v>44</v>
      </c>
      <c r="J8" s="5" t="s">
        <v>154</v>
      </c>
      <c r="K8" s="3">
        <v>46244</v>
      </c>
      <c r="L8" s="12" t="str">
        <f ca="1">IF($O8="","",$O8-TODAY())</f>
        <v/>
      </c>
      <c r="M8" s="12"/>
      <c r="N8" s="12"/>
      <c r="O8" s="6"/>
      <c r="P8" s="5"/>
      <c r="Q8" s="5" t="s">
        <v>150</v>
      </c>
      <c r="R8" s="5"/>
      <c r="S8" s="5"/>
      <c r="T8" s="5"/>
      <c r="U8" s="5"/>
      <c r="V8" s="5" t="s">
        <v>92</v>
      </c>
      <c r="W8" s="5"/>
      <c r="X8" s="5"/>
      <c r="Y8" s="5" t="s">
        <v>118</v>
      </c>
      <c r="Z8" s="7">
        <v>18176.900000000001</v>
      </c>
      <c r="AA8" s="7">
        <v>0</v>
      </c>
      <c r="AB8" s="7">
        <v>0</v>
      </c>
      <c r="AC8" s="6">
        <v>46112</v>
      </c>
      <c r="AD8" s="7">
        <v>18176.900000000001</v>
      </c>
      <c r="AE8" s="4">
        <v>178</v>
      </c>
      <c r="AF8" s="5" t="s">
        <v>94</v>
      </c>
      <c r="AG8" s="5" t="s">
        <v>155</v>
      </c>
      <c r="AH8" s="5"/>
      <c r="AI8" s="5"/>
      <c r="AJ8" s="4"/>
      <c r="AK8" s="5" t="s">
        <v>156</v>
      </c>
      <c r="AL8" s="5" t="s">
        <v>157</v>
      </c>
      <c r="AM8" s="6">
        <v>46099</v>
      </c>
      <c r="AN8" s="5" t="s">
        <v>97</v>
      </c>
    </row>
    <row r="9" spans="1:40" x14ac:dyDescent="0.25">
      <c r="A9" s="2" t="s">
        <v>61</v>
      </c>
      <c r="B9" s="2" t="s">
        <v>308</v>
      </c>
      <c r="C9" s="3">
        <v>46133</v>
      </c>
      <c r="D9" s="4">
        <v>553677900</v>
      </c>
      <c r="E9" s="5" t="s">
        <v>98</v>
      </c>
      <c r="F9" s="6">
        <v>46063</v>
      </c>
      <c r="G9" s="5" t="s">
        <v>88</v>
      </c>
      <c r="H9" s="5" t="s">
        <v>88</v>
      </c>
      <c r="I9" s="5" t="s">
        <v>43</v>
      </c>
      <c r="J9" s="5" t="s">
        <v>99</v>
      </c>
      <c r="K9" s="3">
        <v>46300</v>
      </c>
      <c r="L9" s="12">
        <f ca="1">IF($O9="","",$O9-TODAY())</f>
        <v>128</v>
      </c>
      <c r="M9" s="12">
        <f ca="1">IF($C9="","",$C9+365-TODAY())</f>
        <v>198</v>
      </c>
      <c r="N9" s="12">
        <f ca="1">IF($C9="","",$C9+120-TODAY())</f>
        <v>-47</v>
      </c>
      <c r="O9" s="6">
        <v>46428</v>
      </c>
      <c r="P9" s="5" t="s">
        <v>49</v>
      </c>
      <c r="Q9" s="5" t="s">
        <v>90</v>
      </c>
      <c r="R9" s="5" t="s">
        <v>49</v>
      </c>
      <c r="S9" s="5" t="s">
        <v>50</v>
      </c>
      <c r="T9" s="5" t="s">
        <v>91</v>
      </c>
      <c r="U9" s="5" t="s">
        <v>50</v>
      </c>
      <c r="V9" s="5" t="s">
        <v>100</v>
      </c>
      <c r="W9" s="5"/>
      <c r="X9" s="5"/>
      <c r="Y9" s="5" t="s">
        <v>93</v>
      </c>
      <c r="Z9" s="7">
        <v>5916.4</v>
      </c>
      <c r="AA9" s="7">
        <v>0</v>
      </c>
      <c r="AB9" s="7">
        <v>0</v>
      </c>
      <c r="AC9" s="6">
        <v>46133</v>
      </c>
      <c r="AD9" s="7">
        <v>5916.4</v>
      </c>
      <c r="AE9" s="4">
        <v>179</v>
      </c>
      <c r="AF9" s="5" t="s">
        <v>94</v>
      </c>
      <c r="AG9" s="5"/>
      <c r="AH9" s="5"/>
      <c r="AI9" s="5"/>
      <c r="AJ9" s="4"/>
      <c r="AK9" s="5" t="s">
        <v>95</v>
      </c>
      <c r="AL9" s="5" t="s">
        <v>96</v>
      </c>
      <c r="AM9" s="6">
        <v>46105</v>
      </c>
      <c r="AN9" s="5" t="s">
        <v>97</v>
      </c>
    </row>
    <row r="10" spans="1:40" x14ac:dyDescent="0.25">
      <c r="A10" s="2" t="s">
        <v>61</v>
      </c>
      <c r="B10" s="2" t="s">
        <v>310</v>
      </c>
      <c r="C10" s="3">
        <v>46121</v>
      </c>
      <c r="D10" s="4">
        <v>553095408</v>
      </c>
      <c r="E10" s="5" t="s">
        <v>115</v>
      </c>
      <c r="F10" s="6">
        <v>46069</v>
      </c>
      <c r="G10" s="5" t="s">
        <v>116</v>
      </c>
      <c r="H10" s="5" t="s">
        <v>88</v>
      </c>
      <c r="I10" s="5" t="s">
        <v>116</v>
      </c>
      <c r="J10" s="5" t="s">
        <v>117</v>
      </c>
      <c r="K10" s="3">
        <v>46246</v>
      </c>
      <c r="L10" s="12">
        <f ca="1">IF($O10="","",$O10-TODAY())</f>
        <v>134</v>
      </c>
      <c r="M10" s="12">
        <f ca="1">IF($C10="","",$C10+365-TODAY())</f>
        <v>186</v>
      </c>
      <c r="N10" s="12">
        <f ca="1">IF($C10="","",$C10+120-TODAY())</f>
        <v>-59</v>
      </c>
      <c r="O10" s="6">
        <v>46434</v>
      </c>
      <c r="P10" s="5" t="s">
        <v>49</v>
      </c>
      <c r="Q10" s="5" t="s">
        <v>90</v>
      </c>
      <c r="R10" s="5" t="s">
        <v>49</v>
      </c>
      <c r="S10" s="5" t="s">
        <v>50</v>
      </c>
      <c r="T10" s="5" t="s">
        <v>91</v>
      </c>
      <c r="U10" s="5" t="s">
        <v>50</v>
      </c>
      <c r="V10" s="5" t="s">
        <v>100</v>
      </c>
      <c r="W10" s="5"/>
      <c r="X10" s="5"/>
      <c r="Y10" s="5" t="s">
        <v>118</v>
      </c>
      <c r="Z10" s="7">
        <v>18176.900000000001</v>
      </c>
      <c r="AA10" s="7">
        <v>15508.1</v>
      </c>
      <c r="AB10" s="7">
        <v>542.44000000000005</v>
      </c>
      <c r="AC10" s="6">
        <v>46121</v>
      </c>
      <c r="AD10" s="7">
        <v>2126.36</v>
      </c>
      <c r="AE10" s="4">
        <v>173</v>
      </c>
      <c r="AF10" s="5" t="s">
        <v>94</v>
      </c>
      <c r="AG10" s="5" t="s">
        <v>105</v>
      </c>
      <c r="AH10" s="5"/>
      <c r="AI10" s="5"/>
      <c r="AJ10" s="4">
        <v>557144068</v>
      </c>
      <c r="AK10" s="5" t="s">
        <v>119</v>
      </c>
      <c r="AL10" s="5" t="s">
        <v>120</v>
      </c>
      <c r="AM10" s="6">
        <v>46099</v>
      </c>
      <c r="AN10" s="5" t="s">
        <v>97</v>
      </c>
    </row>
    <row r="11" spans="1:40" x14ac:dyDescent="0.25">
      <c r="A11" s="2" t="s">
        <v>61</v>
      </c>
      <c r="B11" s="2" t="s">
        <v>311</v>
      </c>
      <c r="C11" s="3">
        <v>46101</v>
      </c>
      <c r="D11" s="4">
        <v>550127169</v>
      </c>
      <c r="E11" s="5" t="s">
        <v>121</v>
      </c>
      <c r="F11" s="6">
        <v>46071</v>
      </c>
      <c r="G11" s="5" t="s">
        <v>88</v>
      </c>
      <c r="H11" s="5" t="s">
        <v>88</v>
      </c>
      <c r="I11" s="5" t="s">
        <v>122</v>
      </c>
      <c r="J11" s="5" t="s">
        <v>123</v>
      </c>
      <c r="K11" s="3">
        <v>46300</v>
      </c>
      <c r="L11" s="12">
        <f ca="1">IF($O11="","",$O11-TODAY())</f>
        <v>136</v>
      </c>
      <c r="M11" s="12">
        <f ca="1">IF($C11="","",$C11+365-TODAY())</f>
        <v>166</v>
      </c>
      <c r="N11" s="12">
        <f ca="1">IF($C11="","",$C11+120-TODAY())</f>
        <v>-79</v>
      </c>
      <c r="O11" s="6">
        <v>46436</v>
      </c>
      <c r="P11" s="5" t="s">
        <v>49</v>
      </c>
      <c r="Q11" s="5" t="s">
        <v>90</v>
      </c>
      <c r="R11" s="5" t="s">
        <v>49</v>
      </c>
      <c r="S11" s="5" t="s">
        <v>50</v>
      </c>
      <c r="T11" s="5" t="s">
        <v>91</v>
      </c>
      <c r="U11" s="5" t="s">
        <v>50</v>
      </c>
      <c r="V11" s="5" t="s">
        <v>109</v>
      </c>
      <c r="W11" s="5"/>
      <c r="X11" s="5"/>
      <c r="Y11" s="5" t="s">
        <v>51</v>
      </c>
      <c r="Z11" s="7">
        <v>6392.96</v>
      </c>
      <c r="AA11" s="7">
        <v>0</v>
      </c>
      <c r="AB11" s="7">
        <v>0</v>
      </c>
      <c r="AC11" s="6">
        <v>46101</v>
      </c>
      <c r="AD11" s="7">
        <v>6392.96</v>
      </c>
      <c r="AE11" s="4">
        <v>171</v>
      </c>
      <c r="AF11" s="5" t="s">
        <v>124</v>
      </c>
      <c r="AG11" s="5"/>
      <c r="AH11" s="5"/>
      <c r="AI11" s="5"/>
      <c r="AJ11" s="4"/>
      <c r="AK11" s="5" t="s">
        <v>125</v>
      </c>
      <c r="AL11" s="5" t="s">
        <v>126</v>
      </c>
      <c r="AM11" s="6">
        <v>46093</v>
      </c>
      <c r="AN11" s="5" t="s">
        <v>97</v>
      </c>
    </row>
  </sheetData>
  <autoFilter ref="A1:AN11" xr:uid="{00000000-0009-0000-0000-000001000000}"/>
  <conditionalFormatting sqref="L2:L11">
    <cfRule type="expression" dxfId="79" priority="1">
      <formula>AND($L2&lt;&gt;"", $L2&gt;=0, $L2&lt;=5)</formula>
    </cfRule>
    <cfRule type="expression" dxfId="78" priority="2">
      <formula>AND($L2&lt;&gt;"", $L2&gt;5, $L2&lt;=30)</formula>
    </cfRule>
    <cfRule type="expression" dxfId="77" priority="3">
      <formula>AND($L2&lt;&gt;"", $L2&gt;30)</formula>
    </cfRule>
    <cfRule type="expression" dxfId="76" priority="4">
      <formula>AND($L2&lt;&gt;"", $L2&lt;0)</formula>
    </cfRule>
    <cfRule type="expression" dxfId="75" priority="5">
      <formula>$L2=""</formula>
    </cfRule>
  </conditionalFormatting>
  <conditionalFormatting sqref="M2:M11">
    <cfRule type="expression" dxfId="74" priority="6">
      <formula>AND($M2&lt;&gt;"", $M2&gt;=0, $M2&lt;=5)</formula>
    </cfRule>
    <cfRule type="expression" dxfId="73" priority="7">
      <formula>AND($M2&lt;&gt;"", $M2&gt;5, $M2&lt;=30)</formula>
    </cfRule>
    <cfRule type="expression" dxfId="72" priority="8">
      <formula>AND($M2&lt;&gt;"", $M2&gt;30)</formula>
    </cfRule>
    <cfRule type="expression" dxfId="71" priority="9">
      <formula>AND($M2&lt;&gt;"", $M2&lt;0)</formula>
    </cfRule>
    <cfRule type="expression" dxfId="70" priority="10">
      <formula>$M2=""</formula>
    </cfRule>
  </conditionalFormatting>
  <conditionalFormatting sqref="N2:N11">
    <cfRule type="expression" dxfId="69" priority="11">
      <formula>AND($N2&lt;&gt;"", $N2&gt;=0, $N2&lt;=5)</formula>
    </cfRule>
    <cfRule type="expression" dxfId="68" priority="12">
      <formula>AND($N2&lt;&gt;"", $N2&gt;5, $N2&lt;=30)</formula>
    </cfRule>
    <cfRule type="expression" dxfId="67" priority="13">
      <formula>AND($N2&lt;&gt;"", $N2&gt;30)</formula>
    </cfRule>
    <cfRule type="expression" dxfId="66" priority="14">
      <formula>AND($N2&lt;&gt;"", $N2&lt;0)</formula>
    </cfRule>
    <cfRule type="expression" dxfId="65" priority="15">
      <formula>$N2=""</formula>
    </cfRule>
  </conditionalFormatting>
  <conditionalFormatting sqref="O2:U11">
    <cfRule type="expression" dxfId="64" priority="16">
      <formula>AND($L2&lt;&gt;"", $L2&gt;=0, $L2&lt;=5)</formula>
    </cfRule>
    <cfRule type="expression" dxfId="63" priority="17">
      <formula>AND($L2&lt;&gt;"", $L2&gt;5, $L2&lt;=30)</formula>
    </cfRule>
    <cfRule type="expression" dxfId="62" priority="18">
      <formula>AND($L2&lt;&gt;"", $L2&gt;30)</formula>
    </cfRule>
    <cfRule type="expression" dxfId="61" priority="19">
      <formula>AND($L2&lt;&gt;"", $L2&lt;0)</formula>
    </cfRule>
    <cfRule type="expression" dxfId="6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AND(TRIM($A2)="Denied",$K2="")</formula>
    </cfRule>
    <cfRule type="expression" dxfId="108" priority="29">
      <formula>AND(TRIM($A2)="Denied",$K2&lt;&gt;"")</formula>
    </cfRule>
    <cfRule type="expression" dxfId="106" priority="27">
      <formula>TRIM($A2)="Rejected"</formula>
    </cfRule>
    <cfRule type="expression" dxfId="107" priority="28">
      <formula>TRIM($A2)="Not found"</formula>
    </cfRule>
  </conditionalFormatting>
  <dataValidations disablePrompts="1"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6"/>
  <sheetViews>
    <sheetView zoomScale="90" workbookViewId="0">
      <pane xSplit="2" ySplit="1" topLeftCell="C2" activePane="bottomRight" state="frozen"/>
      <selection pane="topRight"/>
      <selection pane="bottomLeft"/>
      <selection pane="bottomRight"/>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31.28515625" customWidth="1"/>
    <col min="8" max="8" width="30.85546875" customWidth="1"/>
    <col min="9" max="9" width="40" hidden="1" customWidth="1"/>
    <col min="10" max="10" width="42" customWidth="1"/>
    <col min="11" max="11" width="14" customWidth="1"/>
    <col min="12" max="12" width="12" customWidth="1"/>
    <col min="13" max="13" width="18.5703125" customWidth="1"/>
    <col min="14" max="14" width="14.855468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158</v>
      </c>
      <c r="B2" s="2"/>
      <c r="C2" s="3">
        <v>46135</v>
      </c>
      <c r="D2" s="4">
        <v>549217008</v>
      </c>
      <c r="E2" s="5" t="s">
        <v>159</v>
      </c>
      <c r="F2" s="6">
        <v>46055</v>
      </c>
      <c r="G2" s="5" t="s">
        <v>160</v>
      </c>
      <c r="H2" s="5" t="s">
        <v>161</v>
      </c>
      <c r="I2" s="5" t="s">
        <v>160</v>
      </c>
      <c r="J2" s="5" t="s">
        <v>162</v>
      </c>
      <c r="K2" s="3"/>
      <c r="L2" s="12">
        <f ca="1">IF($O2="","",$O2-TODAY())</f>
        <v>120</v>
      </c>
      <c r="M2" s="12">
        <f ca="1">IF($C2="","",$C2+365-TODAY())</f>
        <v>200</v>
      </c>
      <c r="N2" s="12">
        <f ca="1">IF($C2="","",$C2+120-TODAY())</f>
        <v>-45</v>
      </c>
      <c r="O2" s="6">
        <v>46420</v>
      </c>
      <c r="P2" s="5" t="s">
        <v>49</v>
      </c>
      <c r="Q2" s="5" t="s">
        <v>90</v>
      </c>
      <c r="R2" s="5" t="s">
        <v>49</v>
      </c>
      <c r="S2" s="5" t="s">
        <v>50</v>
      </c>
      <c r="T2" s="5" t="s">
        <v>91</v>
      </c>
      <c r="U2" s="5" t="s">
        <v>50</v>
      </c>
      <c r="V2" s="5" t="s">
        <v>163</v>
      </c>
      <c r="W2" s="5" t="s">
        <v>164</v>
      </c>
      <c r="X2" s="5" t="s">
        <v>165</v>
      </c>
      <c r="Y2" s="5" t="s">
        <v>166</v>
      </c>
      <c r="Z2" s="7">
        <v>67599.91</v>
      </c>
      <c r="AA2" s="7">
        <v>66731.289999999994</v>
      </c>
      <c r="AB2" s="7">
        <v>867.75</v>
      </c>
      <c r="AC2" s="6">
        <v>46135</v>
      </c>
      <c r="AD2" s="7">
        <v>0.87</v>
      </c>
      <c r="AE2" s="4">
        <v>187</v>
      </c>
      <c r="AF2" s="5" t="s">
        <v>167</v>
      </c>
      <c r="AG2" s="5" t="s">
        <v>168</v>
      </c>
      <c r="AH2" s="5" t="s">
        <v>169</v>
      </c>
      <c r="AI2" s="5"/>
      <c r="AJ2" s="4">
        <v>551630132</v>
      </c>
      <c r="AK2" s="5" t="s">
        <v>170</v>
      </c>
      <c r="AL2" s="5" t="s">
        <v>171</v>
      </c>
      <c r="AM2" s="6">
        <v>46064</v>
      </c>
      <c r="AN2" s="5" t="s">
        <v>172</v>
      </c>
    </row>
    <row r="3" spans="1:40" x14ac:dyDescent="0.25">
      <c r="A3" s="2" t="s">
        <v>40</v>
      </c>
      <c r="B3" s="2" t="s">
        <v>173</v>
      </c>
      <c r="C3" s="3">
        <v>46155</v>
      </c>
      <c r="D3" s="4">
        <v>549217692</v>
      </c>
      <c r="E3" s="5" t="s">
        <v>174</v>
      </c>
      <c r="F3" s="6">
        <v>46055</v>
      </c>
      <c r="G3" s="5" t="s">
        <v>175</v>
      </c>
      <c r="H3" s="5" t="s">
        <v>175</v>
      </c>
      <c r="I3" s="5" t="s">
        <v>176</v>
      </c>
      <c r="J3" s="5" t="s">
        <v>177</v>
      </c>
      <c r="K3" s="3">
        <v>46142</v>
      </c>
      <c r="L3" s="12">
        <f ca="1">IF($O3="","",$O3-TODAY())</f>
        <v>120</v>
      </c>
      <c r="M3" s="12">
        <f ca="1">IF($C3="","",$C3+180-TODAY())</f>
        <v>35</v>
      </c>
      <c r="N3" s="12">
        <f ca="1">IF($C3="","",$C3+365-TODAY())</f>
        <v>220</v>
      </c>
      <c r="O3" s="6">
        <v>46420</v>
      </c>
      <c r="P3" s="5" t="s">
        <v>49</v>
      </c>
      <c r="Q3" s="5" t="s">
        <v>178</v>
      </c>
      <c r="R3" s="5" t="s">
        <v>143</v>
      </c>
      <c r="S3" s="5" t="s">
        <v>50</v>
      </c>
      <c r="T3" s="5" t="s">
        <v>49</v>
      </c>
      <c r="U3" s="5" t="s">
        <v>50</v>
      </c>
      <c r="V3" s="5" t="s">
        <v>163</v>
      </c>
      <c r="W3" s="5" t="s">
        <v>179</v>
      </c>
      <c r="X3" s="5" t="s">
        <v>165</v>
      </c>
      <c r="Y3" s="5" t="s">
        <v>180</v>
      </c>
      <c r="Z3" s="7">
        <v>14982.38</v>
      </c>
      <c r="AA3" s="7">
        <v>0</v>
      </c>
      <c r="AB3" s="7">
        <v>0</v>
      </c>
      <c r="AC3" s="6">
        <v>46155</v>
      </c>
      <c r="AD3" s="7">
        <v>14982.38</v>
      </c>
      <c r="AE3" s="4">
        <v>187</v>
      </c>
      <c r="AF3" s="5" t="s">
        <v>167</v>
      </c>
      <c r="AG3" s="5" t="s">
        <v>168</v>
      </c>
      <c r="AH3" s="5" t="s">
        <v>169</v>
      </c>
      <c r="AI3" s="5"/>
      <c r="AJ3" s="4"/>
      <c r="AK3" s="5" t="s">
        <v>170</v>
      </c>
      <c r="AL3" s="5" t="s">
        <v>171</v>
      </c>
      <c r="AM3" s="6">
        <v>46064</v>
      </c>
      <c r="AN3" s="5" t="s">
        <v>172</v>
      </c>
    </row>
    <row r="4" spans="1:40" x14ac:dyDescent="0.25">
      <c r="A4" s="2" t="s">
        <v>40</v>
      </c>
      <c r="B4" s="2" t="s">
        <v>181</v>
      </c>
      <c r="C4" s="3">
        <v>46126</v>
      </c>
      <c r="D4" s="4">
        <v>549219539</v>
      </c>
      <c r="E4" s="5" t="s">
        <v>182</v>
      </c>
      <c r="F4" s="6">
        <v>46062</v>
      </c>
      <c r="G4" s="5" t="s">
        <v>161</v>
      </c>
      <c r="H4" s="5" t="s">
        <v>161</v>
      </c>
      <c r="I4" s="5" t="s">
        <v>107</v>
      </c>
      <c r="J4" s="5" t="s">
        <v>183</v>
      </c>
      <c r="K4" s="3">
        <v>46258</v>
      </c>
      <c r="L4" s="12">
        <f ca="1">IF($O4="","",$O4-TODAY())</f>
        <v>127</v>
      </c>
      <c r="M4" s="12">
        <f ca="1">IF($C4="","",$C4+365-TODAY())</f>
        <v>191</v>
      </c>
      <c r="N4" s="12">
        <f ca="1">IF($C4="","",$C4+120-TODAY())</f>
        <v>-54</v>
      </c>
      <c r="O4" s="6">
        <v>46427</v>
      </c>
      <c r="P4" s="5" t="s">
        <v>49</v>
      </c>
      <c r="Q4" s="5" t="s">
        <v>90</v>
      </c>
      <c r="R4" s="5" t="s">
        <v>49</v>
      </c>
      <c r="S4" s="5" t="s">
        <v>50</v>
      </c>
      <c r="T4" s="5" t="s">
        <v>91</v>
      </c>
      <c r="U4" s="5" t="s">
        <v>50</v>
      </c>
      <c r="V4" s="5" t="s">
        <v>184</v>
      </c>
      <c r="W4" s="5"/>
      <c r="X4" s="5"/>
      <c r="Y4" s="5" t="s">
        <v>185</v>
      </c>
      <c r="Z4" s="7">
        <v>813.54</v>
      </c>
      <c r="AA4" s="7">
        <v>0</v>
      </c>
      <c r="AB4" s="7">
        <v>0</v>
      </c>
      <c r="AC4" s="6">
        <v>46126</v>
      </c>
      <c r="AD4" s="7">
        <v>813.54</v>
      </c>
      <c r="AE4" s="4">
        <v>180</v>
      </c>
      <c r="AF4" s="5" t="s">
        <v>169</v>
      </c>
      <c r="AG4" s="5" t="s">
        <v>168</v>
      </c>
      <c r="AH4" s="5"/>
      <c r="AI4" s="5"/>
      <c r="AJ4" s="4"/>
      <c r="AK4" s="5" t="s">
        <v>170</v>
      </c>
      <c r="AL4" s="5" t="s">
        <v>186</v>
      </c>
      <c r="AM4" s="6">
        <v>46065</v>
      </c>
      <c r="AN4" s="5" t="s">
        <v>172</v>
      </c>
    </row>
    <row r="5" spans="1:40" x14ac:dyDescent="0.25">
      <c r="A5" s="2" t="s">
        <v>40</v>
      </c>
      <c r="B5" s="2" t="s">
        <v>187</v>
      </c>
      <c r="C5" s="3">
        <v>46155</v>
      </c>
      <c r="D5" s="4">
        <v>551974048</v>
      </c>
      <c r="E5" s="5" t="s">
        <v>174</v>
      </c>
      <c r="F5" s="6">
        <v>46069</v>
      </c>
      <c r="G5" s="5" t="s">
        <v>175</v>
      </c>
      <c r="H5" s="5" t="s">
        <v>175</v>
      </c>
      <c r="I5" s="5" t="s">
        <v>176</v>
      </c>
      <c r="J5" s="5" t="s">
        <v>188</v>
      </c>
      <c r="K5" s="3">
        <v>46142</v>
      </c>
      <c r="L5" s="12">
        <f ca="1">IF($O5="","",$O5-TODAY())</f>
        <v>134</v>
      </c>
      <c r="M5" s="12">
        <f ca="1">IF($C5="","",$C5+180-TODAY())</f>
        <v>35</v>
      </c>
      <c r="N5" s="12">
        <f ca="1">IF($C5="","",$C5+365-TODAY())</f>
        <v>220</v>
      </c>
      <c r="O5" s="6">
        <v>46434</v>
      </c>
      <c r="P5" s="5" t="s">
        <v>49</v>
      </c>
      <c r="Q5" s="5" t="s">
        <v>178</v>
      </c>
      <c r="R5" s="5" t="s">
        <v>143</v>
      </c>
      <c r="S5" s="5" t="s">
        <v>50</v>
      </c>
      <c r="T5" s="5" t="s">
        <v>49</v>
      </c>
      <c r="U5" s="5" t="s">
        <v>50</v>
      </c>
      <c r="V5" s="5" t="s">
        <v>163</v>
      </c>
      <c r="W5" s="5" t="s">
        <v>179</v>
      </c>
      <c r="X5" s="5" t="s">
        <v>189</v>
      </c>
      <c r="Y5" s="5" t="s">
        <v>190</v>
      </c>
      <c r="Z5" s="7">
        <v>12959.73</v>
      </c>
      <c r="AA5" s="7">
        <v>0</v>
      </c>
      <c r="AB5" s="7">
        <v>0</v>
      </c>
      <c r="AC5" s="6">
        <v>46155</v>
      </c>
      <c r="AD5" s="7">
        <v>12959.73</v>
      </c>
      <c r="AE5" s="4">
        <v>173</v>
      </c>
      <c r="AF5" s="5" t="s">
        <v>191</v>
      </c>
      <c r="AG5" s="5" t="s">
        <v>168</v>
      </c>
      <c r="AH5" s="5" t="s">
        <v>192</v>
      </c>
      <c r="AI5" s="5"/>
      <c r="AJ5" s="4"/>
      <c r="AK5" s="5" t="s">
        <v>170</v>
      </c>
      <c r="AL5" s="5" t="s">
        <v>171</v>
      </c>
      <c r="AM5" s="6">
        <v>46090</v>
      </c>
      <c r="AN5" s="5" t="s">
        <v>172</v>
      </c>
    </row>
    <row r="6" spans="1:40" x14ac:dyDescent="0.25">
      <c r="A6" s="2" t="s">
        <v>40</v>
      </c>
      <c r="B6" s="2" t="s">
        <v>193</v>
      </c>
      <c r="C6" s="3">
        <v>46154</v>
      </c>
      <c r="D6" s="4">
        <v>557784595</v>
      </c>
      <c r="E6" s="5" t="s">
        <v>194</v>
      </c>
      <c r="F6" s="6">
        <v>46069</v>
      </c>
      <c r="G6" s="5" t="s">
        <v>43</v>
      </c>
      <c r="H6" s="5" t="s">
        <v>43</v>
      </c>
      <c r="I6" s="5" t="s">
        <v>44</v>
      </c>
      <c r="J6" s="5" t="s">
        <v>195</v>
      </c>
      <c r="K6" s="3">
        <v>46142</v>
      </c>
      <c r="L6" s="12">
        <f ca="1">IF($O6="","",$O6-TODAY())</f>
        <v>-141</v>
      </c>
      <c r="M6" s="12">
        <f ca="1">IF($F6="","",$F6+90-TODAY())</f>
        <v>-141</v>
      </c>
      <c r="N6" s="12">
        <f ca="1">IF($C6="","",$C6+365-TODAY())</f>
        <v>219</v>
      </c>
      <c r="O6" s="6">
        <v>46159</v>
      </c>
      <c r="P6" s="5" t="s">
        <v>46</v>
      </c>
      <c r="Q6" s="5" t="s">
        <v>47</v>
      </c>
      <c r="R6" s="5" t="s">
        <v>46</v>
      </c>
      <c r="S6" s="5" t="s">
        <v>48</v>
      </c>
      <c r="T6" s="5" t="s">
        <v>49</v>
      </c>
      <c r="U6" s="5" t="s">
        <v>50</v>
      </c>
      <c r="V6" s="5" t="s">
        <v>196</v>
      </c>
      <c r="W6" s="5" t="s">
        <v>189</v>
      </c>
      <c r="X6" s="5"/>
      <c r="Y6" s="5" t="s">
        <v>180</v>
      </c>
      <c r="Z6" s="7">
        <v>61320.35</v>
      </c>
      <c r="AA6" s="7">
        <v>0</v>
      </c>
      <c r="AB6" s="7">
        <v>0</v>
      </c>
      <c r="AC6" s="6">
        <v>46154</v>
      </c>
      <c r="AD6" s="7">
        <v>61320.35</v>
      </c>
      <c r="AE6" s="4">
        <v>173</v>
      </c>
      <c r="AF6" s="5" t="s">
        <v>191</v>
      </c>
      <c r="AG6" s="5" t="s">
        <v>168</v>
      </c>
      <c r="AH6" s="5" t="s">
        <v>192</v>
      </c>
      <c r="AI6" s="5"/>
      <c r="AJ6" s="4"/>
      <c r="AK6" s="5" t="s">
        <v>170</v>
      </c>
      <c r="AL6" s="5" t="s">
        <v>65</v>
      </c>
      <c r="AM6" s="6">
        <v>46090</v>
      </c>
      <c r="AN6" s="5" t="s">
        <v>172</v>
      </c>
    </row>
  </sheetData>
  <autoFilter ref="A1:AN6" xr:uid="{00000000-0009-0000-0000-000002000000}"/>
  <conditionalFormatting sqref="L2:L6">
    <cfRule type="expression" dxfId="59" priority="1">
      <formula>AND($L2&lt;&gt;"", $L2&gt;=0, $L2&lt;=5)</formula>
    </cfRule>
    <cfRule type="expression" dxfId="58" priority="2">
      <formula>AND($L2&lt;&gt;"", $L2&gt;5, $L2&lt;=30)</formula>
    </cfRule>
    <cfRule type="expression" dxfId="57" priority="3">
      <formula>AND($L2&lt;&gt;"", $L2&gt;30)</formula>
    </cfRule>
    <cfRule type="expression" dxfId="56" priority="4">
      <formula>AND($L2&lt;&gt;"", $L2&lt;0)</formula>
    </cfRule>
    <cfRule type="expression" dxfId="55" priority="5">
      <formula>$L2=""</formula>
    </cfRule>
  </conditionalFormatting>
  <conditionalFormatting sqref="M2:M6">
    <cfRule type="expression" dxfId="54" priority="6">
      <formula>AND($M2&lt;&gt;"", $M2&gt;=0, $M2&lt;=5)</formula>
    </cfRule>
    <cfRule type="expression" dxfId="53" priority="7">
      <formula>AND($M2&lt;&gt;"", $M2&gt;5, $M2&lt;=30)</formula>
    </cfRule>
    <cfRule type="expression" dxfId="52" priority="8">
      <formula>AND($M2&lt;&gt;"", $M2&gt;30)</formula>
    </cfRule>
    <cfRule type="expression" dxfId="51" priority="9">
      <formula>AND($M2&lt;&gt;"", $M2&lt;0)</formula>
    </cfRule>
    <cfRule type="expression" dxfId="50" priority="10">
      <formula>$M2=""</formula>
    </cfRule>
  </conditionalFormatting>
  <conditionalFormatting sqref="N2:N6">
    <cfRule type="expression" dxfId="49" priority="11">
      <formula>AND($N2&lt;&gt;"", $N2&gt;=0, $N2&lt;=5)</formula>
    </cfRule>
    <cfRule type="expression" dxfId="48" priority="12">
      <formula>AND($N2&lt;&gt;"", $N2&gt;5, $N2&lt;=30)</formula>
    </cfRule>
    <cfRule type="expression" dxfId="47" priority="13">
      <formula>AND($N2&lt;&gt;"", $N2&gt;30)</formula>
    </cfRule>
    <cfRule type="expression" dxfId="46" priority="14">
      <formula>AND($N2&lt;&gt;"", $N2&lt;0)</formula>
    </cfRule>
    <cfRule type="expression" dxfId="45" priority="15">
      <formula>$N2=""</formula>
    </cfRule>
  </conditionalFormatting>
  <conditionalFormatting sqref="O2:U6">
    <cfRule type="expression" dxfId="44" priority="16">
      <formula>AND($L2&lt;&gt;"", $L2&gt;=0, $L2&lt;=5)</formula>
    </cfRule>
    <cfRule type="expression" dxfId="43" priority="17">
      <formula>AND($L2&lt;&gt;"", $L2&gt;5, $L2&lt;=30)</formula>
    </cfRule>
    <cfRule type="expression" dxfId="42" priority="18">
      <formula>AND($L2&lt;&gt;"", $L2&gt;30)</formula>
    </cfRule>
    <cfRule type="expression" dxfId="41" priority="19">
      <formula>AND($L2&lt;&gt;"", $L2&lt;0)</formula>
    </cfRule>
    <cfRule type="expression" dxfId="4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AND(TRIM($A2)="Denied",$K2="")</formula>
    </cfRule>
    <cfRule type="expression" dxfId="108" priority="29">
      <formula>AND(TRIM($A2)="Denied",$K2&lt;&gt;"")</formula>
    </cfRule>
    <cfRule type="expression" dxfId="106" priority="27">
      <formula>TRIM($A2)="Rejected"</formula>
    </cfRule>
    <cfRule type="expression" dxfId="107"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1"/>
  <sheetViews>
    <sheetView zoomScale="90" workbookViewId="0">
      <pane xSplit="2" ySplit="1" topLeftCell="C2" activePane="bottomRight" state="frozen"/>
      <selection pane="topRight"/>
      <selection pane="bottomLeft"/>
      <selection pane="bottomRight" activeCell="B6" sqref="B6"/>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37.5703125" customWidth="1"/>
    <col min="8" max="8" width="34" customWidth="1"/>
    <col min="9" max="9" width="40" hidden="1" customWidth="1"/>
    <col min="10" max="10" width="30.85546875" customWidth="1"/>
    <col min="11" max="11" width="14" customWidth="1"/>
    <col min="12" max="12" width="12" customWidth="1"/>
    <col min="13" max="13" width="18.7109375" customWidth="1"/>
    <col min="14" max="14" width="16.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61</v>
      </c>
      <c r="B2" s="2"/>
      <c r="C2" s="3">
        <v>46128</v>
      </c>
      <c r="D2" s="4">
        <v>549835748</v>
      </c>
      <c r="E2" s="5" t="s">
        <v>197</v>
      </c>
      <c r="F2" s="6">
        <v>46070</v>
      </c>
      <c r="G2" s="5" t="s">
        <v>198</v>
      </c>
      <c r="H2" s="5" t="s">
        <v>161</v>
      </c>
      <c r="I2" s="5" t="s">
        <v>198</v>
      </c>
      <c r="J2" s="5" t="s">
        <v>199</v>
      </c>
      <c r="K2" s="3"/>
      <c r="L2" s="12">
        <f ca="1">IF($O2="","",$O2-TODAY())</f>
        <v>135</v>
      </c>
      <c r="M2" s="12">
        <f ca="1">IF($C2="","",$C2+365-TODAY())</f>
        <v>193</v>
      </c>
      <c r="N2" s="12">
        <f ca="1">IF($C2="","",$C2+120-TODAY())</f>
        <v>-52</v>
      </c>
      <c r="O2" s="6">
        <v>46435</v>
      </c>
      <c r="P2" s="5" t="s">
        <v>49</v>
      </c>
      <c r="Q2" s="5" t="s">
        <v>90</v>
      </c>
      <c r="R2" s="5" t="s">
        <v>49</v>
      </c>
      <c r="S2" s="5" t="s">
        <v>50</v>
      </c>
      <c r="T2" s="5" t="s">
        <v>91</v>
      </c>
      <c r="U2" s="5" t="s">
        <v>50</v>
      </c>
      <c r="V2" s="5"/>
      <c r="W2" s="5"/>
      <c r="X2" s="5"/>
      <c r="Y2" s="5" t="s">
        <v>51</v>
      </c>
      <c r="Z2" s="7">
        <v>2493.33</v>
      </c>
      <c r="AA2" s="7">
        <v>2340.02</v>
      </c>
      <c r="AB2" s="7">
        <v>153.15</v>
      </c>
      <c r="AC2" s="6">
        <v>46128</v>
      </c>
      <c r="AD2" s="7">
        <v>0.16</v>
      </c>
      <c r="AE2" s="4">
        <v>172</v>
      </c>
      <c r="AF2" s="5" t="s">
        <v>105</v>
      </c>
      <c r="AG2" s="5" t="s">
        <v>200</v>
      </c>
      <c r="AH2" s="5"/>
      <c r="AI2" s="5"/>
      <c r="AJ2" s="4">
        <v>557765015</v>
      </c>
      <c r="AK2" s="5" t="s">
        <v>201</v>
      </c>
      <c r="AL2" s="5" t="s">
        <v>171</v>
      </c>
      <c r="AM2" s="6">
        <v>46072</v>
      </c>
      <c r="AN2" s="5" t="s">
        <v>202</v>
      </c>
    </row>
    <row r="3" spans="1:40" x14ac:dyDescent="0.25">
      <c r="A3" s="2" t="s">
        <v>158</v>
      </c>
      <c r="B3" s="2" t="s">
        <v>226</v>
      </c>
      <c r="C3" s="3">
        <v>46212</v>
      </c>
      <c r="D3" s="4">
        <v>563274947</v>
      </c>
      <c r="E3" s="5" t="s">
        <v>133</v>
      </c>
      <c r="F3" s="6">
        <v>46079</v>
      </c>
      <c r="G3" s="5" t="s">
        <v>43</v>
      </c>
      <c r="H3" s="5" t="s">
        <v>43</v>
      </c>
      <c r="I3" s="5" t="s">
        <v>44</v>
      </c>
      <c r="J3" s="5" t="s">
        <v>227</v>
      </c>
      <c r="K3" s="3"/>
      <c r="L3" s="12">
        <f ca="1">IF($O3="","",$O3-TODAY())</f>
        <v>-131</v>
      </c>
      <c r="M3" s="12">
        <f ca="1">IF($F3="","",$F3+90-TODAY())</f>
        <v>-131</v>
      </c>
      <c r="N3" s="12">
        <f ca="1">IF($C3="","",$C3+365-TODAY())</f>
        <v>277</v>
      </c>
      <c r="O3" s="6">
        <v>46169</v>
      </c>
      <c r="P3" s="5" t="s">
        <v>46</v>
      </c>
      <c r="Q3" s="5" t="s">
        <v>47</v>
      </c>
      <c r="R3" s="5" t="s">
        <v>46</v>
      </c>
      <c r="S3" s="5" t="s">
        <v>48</v>
      </c>
      <c r="T3" s="5" t="s">
        <v>49</v>
      </c>
      <c r="U3" s="5" t="s">
        <v>50</v>
      </c>
      <c r="V3" s="5" t="s">
        <v>228</v>
      </c>
      <c r="W3" s="5"/>
      <c r="X3" s="5"/>
      <c r="Y3" s="5" t="s">
        <v>51</v>
      </c>
      <c r="Z3" s="7">
        <v>6709.36</v>
      </c>
      <c r="AA3" s="7">
        <v>0</v>
      </c>
      <c r="AB3" s="7">
        <v>0</v>
      </c>
      <c r="AC3" s="6">
        <v>46212</v>
      </c>
      <c r="AD3" s="7">
        <v>6709.36</v>
      </c>
      <c r="AE3" s="4">
        <v>163</v>
      </c>
      <c r="AF3" s="5" t="s">
        <v>213</v>
      </c>
      <c r="AG3" s="5" t="s">
        <v>229</v>
      </c>
      <c r="AH3" s="5"/>
      <c r="AI3" s="5"/>
      <c r="AJ3" s="4"/>
      <c r="AK3" s="5" t="s">
        <v>137</v>
      </c>
      <c r="AL3" s="5" t="s">
        <v>230</v>
      </c>
      <c r="AM3" s="6">
        <v>46092</v>
      </c>
      <c r="AN3" s="5" t="s">
        <v>202</v>
      </c>
    </row>
    <row r="4" spans="1:40" x14ac:dyDescent="0.25">
      <c r="A4" s="2" t="s">
        <v>203</v>
      </c>
      <c r="B4" s="2" t="s">
        <v>204</v>
      </c>
      <c r="C4" s="3">
        <v>46091</v>
      </c>
      <c r="D4" s="4">
        <v>550306697</v>
      </c>
      <c r="E4" s="5" t="s">
        <v>205</v>
      </c>
      <c r="F4" s="6">
        <v>46073</v>
      </c>
      <c r="G4" s="5" t="s">
        <v>43</v>
      </c>
      <c r="H4" s="5" t="s">
        <v>161</v>
      </c>
      <c r="I4" s="5" t="s">
        <v>43</v>
      </c>
      <c r="J4" s="5" t="s">
        <v>199</v>
      </c>
      <c r="K4" s="3">
        <v>46251</v>
      </c>
      <c r="L4" s="12">
        <f ca="1">IF($O4="","",$O4-TODAY())</f>
        <v>138</v>
      </c>
      <c r="M4" s="12">
        <f ca="1">IF($C4="","",$C4+365-TODAY())</f>
        <v>156</v>
      </c>
      <c r="N4" s="12">
        <f ca="1">IF($C4="","",$C4+120-TODAY())</f>
        <v>-89</v>
      </c>
      <c r="O4" s="6">
        <v>46438</v>
      </c>
      <c r="P4" s="5" t="s">
        <v>49</v>
      </c>
      <c r="Q4" s="5" t="s">
        <v>90</v>
      </c>
      <c r="R4" s="5" t="s">
        <v>49</v>
      </c>
      <c r="S4" s="5" t="s">
        <v>50</v>
      </c>
      <c r="T4" s="5" t="s">
        <v>91</v>
      </c>
      <c r="U4" s="5" t="s">
        <v>50</v>
      </c>
      <c r="V4" s="5"/>
      <c r="W4" s="5"/>
      <c r="X4" s="5"/>
      <c r="Y4" s="5" t="s">
        <v>51</v>
      </c>
      <c r="Z4" s="7">
        <v>2493.33</v>
      </c>
      <c r="AA4" s="7">
        <v>2340.79</v>
      </c>
      <c r="AB4" s="7">
        <v>121.54</v>
      </c>
      <c r="AC4" s="6">
        <v>46091</v>
      </c>
      <c r="AD4" s="7">
        <v>31</v>
      </c>
      <c r="AE4" s="4">
        <v>169</v>
      </c>
      <c r="AF4" s="5" t="s">
        <v>105</v>
      </c>
      <c r="AG4" s="5"/>
      <c r="AH4" s="5"/>
      <c r="AI4" s="5"/>
      <c r="AJ4" s="4">
        <v>562575912</v>
      </c>
      <c r="AK4" s="5" t="s">
        <v>206</v>
      </c>
      <c r="AL4" s="5" t="s">
        <v>186</v>
      </c>
      <c r="AM4" s="6">
        <v>46077</v>
      </c>
      <c r="AN4" s="5" t="s">
        <v>202</v>
      </c>
    </row>
    <row r="5" spans="1:40" x14ac:dyDescent="0.25">
      <c r="A5" s="2" t="s">
        <v>40</v>
      </c>
      <c r="B5" s="2" t="s">
        <v>207</v>
      </c>
      <c r="C5" s="3">
        <v>46202</v>
      </c>
      <c r="D5" s="4">
        <v>563073824</v>
      </c>
      <c r="E5" s="5" t="s">
        <v>208</v>
      </c>
      <c r="F5" s="6">
        <v>46079</v>
      </c>
      <c r="G5" s="5" t="s">
        <v>209</v>
      </c>
      <c r="H5" s="5" t="s">
        <v>161</v>
      </c>
      <c r="I5" s="5" t="s">
        <v>209</v>
      </c>
      <c r="J5" s="5" t="s">
        <v>210</v>
      </c>
      <c r="K5" s="3">
        <v>46195</v>
      </c>
      <c r="L5" s="12">
        <f ca="1">IF($O5="","",$O5-TODAY())</f>
        <v>144</v>
      </c>
      <c r="M5" s="12">
        <f ca="1">IF($C5="","",$C5+365-TODAY())</f>
        <v>267</v>
      </c>
      <c r="N5" s="12">
        <f ca="1">IF($C5="","",$C5+120-TODAY())</f>
        <v>22</v>
      </c>
      <c r="O5" s="6">
        <v>46444</v>
      </c>
      <c r="P5" s="5" t="s">
        <v>49</v>
      </c>
      <c r="Q5" s="5" t="s">
        <v>90</v>
      </c>
      <c r="R5" s="5" t="s">
        <v>49</v>
      </c>
      <c r="S5" s="5" t="s">
        <v>50</v>
      </c>
      <c r="T5" s="5" t="s">
        <v>91</v>
      </c>
      <c r="U5" s="5" t="s">
        <v>50</v>
      </c>
      <c r="V5" s="5" t="s">
        <v>211</v>
      </c>
      <c r="W5" s="5"/>
      <c r="X5" s="5"/>
      <c r="Y5" s="5" t="s">
        <v>51</v>
      </c>
      <c r="Z5" s="7">
        <v>20217.61</v>
      </c>
      <c r="AA5" s="7">
        <v>0</v>
      </c>
      <c r="AB5" s="7">
        <v>1013.09</v>
      </c>
      <c r="AC5" s="6">
        <v>46202</v>
      </c>
      <c r="AD5" s="7">
        <v>19204.52</v>
      </c>
      <c r="AE5" s="4">
        <v>163</v>
      </c>
      <c r="AF5" s="5" t="s">
        <v>212</v>
      </c>
      <c r="AG5" s="5" t="s">
        <v>213</v>
      </c>
      <c r="AH5" s="5" t="s">
        <v>214</v>
      </c>
      <c r="AI5" s="5" t="s">
        <v>136</v>
      </c>
      <c r="AJ5" s="4">
        <v>554801761</v>
      </c>
      <c r="AK5" s="5" t="s">
        <v>215</v>
      </c>
      <c r="AL5" s="5" t="s">
        <v>171</v>
      </c>
      <c r="AM5" s="6">
        <v>46093</v>
      </c>
      <c r="AN5" s="5" t="s">
        <v>202</v>
      </c>
    </row>
    <row r="6" spans="1:40" x14ac:dyDescent="0.25">
      <c r="A6" s="2" t="s">
        <v>40</v>
      </c>
      <c r="B6" s="2" t="s">
        <v>216</v>
      </c>
      <c r="C6" s="3">
        <v>46147</v>
      </c>
      <c r="D6" s="4">
        <v>555677002</v>
      </c>
      <c r="E6" s="5" t="s">
        <v>217</v>
      </c>
      <c r="F6" s="6">
        <v>46059</v>
      </c>
      <c r="G6" s="5" t="s">
        <v>218</v>
      </c>
      <c r="H6" s="5" t="s">
        <v>218</v>
      </c>
      <c r="I6" s="5" t="s">
        <v>44</v>
      </c>
      <c r="J6" s="5" t="s">
        <v>219</v>
      </c>
      <c r="K6" s="3">
        <v>46247</v>
      </c>
      <c r="L6" s="12">
        <f ca="1">IF($O6="","",$O6-TODAY())</f>
        <v>-151</v>
      </c>
      <c r="M6" s="12">
        <f ca="1">IF($F6="","",$F6+90-TODAY())</f>
        <v>-151</v>
      </c>
      <c r="N6" s="12">
        <f ca="1">IF($C6="","",$C6+540-TODAY())</f>
        <v>387</v>
      </c>
      <c r="O6" s="6">
        <v>46149</v>
      </c>
      <c r="P6" s="5" t="s">
        <v>46</v>
      </c>
      <c r="Q6" s="5" t="s">
        <v>220</v>
      </c>
      <c r="R6" s="5" t="s">
        <v>46</v>
      </c>
      <c r="S6" s="5" t="s">
        <v>48</v>
      </c>
      <c r="T6" s="5" t="s">
        <v>221</v>
      </c>
      <c r="U6" s="5" t="s">
        <v>50</v>
      </c>
      <c r="V6" s="5"/>
      <c r="W6" s="5"/>
      <c r="X6" s="5"/>
      <c r="Y6" s="5" t="s">
        <v>51</v>
      </c>
      <c r="Z6" s="7">
        <v>9056.39</v>
      </c>
      <c r="AA6" s="7">
        <v>0</v>
      </c>
      <c r="AB6" s="7">
        <v>0</v>
      </c>
      <c r="AC6" s="6">
        <v>46147</v>
      </c>
      <c r="AD6" s="7">
        <v>9056.39</v>
      </c>
      <c r="AE6" s="4">
        <v>183</v>
      </c>
      <c r="AF6" s="5" t="s">
        <v>212</v>
      </c>
      <c r="AG6" s="5"/>
      <c r="AH6" s="5"/>
      <c r="AI6" s="5"/>
      <c r="AJ6" s="4"/>
      <c r="AK6" s="5" t="s">
        <v>75</v>
      </c>
      <c r="AL6" s="5" t="s">
        <v>171</v>
      </c>
      <c r="AM6" s="6">
        <v>46065</v>
      </c>
      <c r="AN6" s="5" t="s">
        <v>202</v>
      </c>
    </row>
    <row r="7" spans="1:40" x14ac:dyDescent="0.25">
      <c r="A7" s="2" t="s">
        <v>40</v>
      </c>
      <c r="B7" s="2" t="s">
        <v>231</v>
      </c>
      <c r="C7" s="3">
        <v>46189</v>
      </c>
      <c r="D7" s="4">
        <v>562083380</v>
      </c>
      <c r="E7" s="5" t="s">
        <v>232</v>
      </c>
      <c r="F7" s="6">
        <v>46080</v>
      </c>
      <c r="G7" s="5" t="s">
        <v>68</v>
      </c>
      <c r="H7" s="5" t="s">
        <v>68</v>
      </c>
      <c r="I7" s="5" t="s">
        <v>44</v>
      </c>
      <c r="J7" s="5" t="s">
        <v>233</v>
      </c>
      <c r="K7" s="3">
        <v>46247</v>
      </c>
      <c r="L7" s="12">
        <f ca="1">IF($O7="","",$O7-TODAY())</f>
        <v>-130</v>
      </c>
      <c r="M7" s="12">
        <f ca="1">IF($C7="","",$C7+365-TODAY())</f>
        <v>254</v>
      </c>
      <c r="N7" s="12">
        <f ca="1">IF($C7="","",$C7+365-TODAY())</f>
        <v>254</v>
      </c>
      <c r="O7" s="6">
        <v>46170</v>
      </c>
      <c r="P7" s="5" t="s">
        <v>46</v>
      </c>
      <c r="Q7" s="5" t="s">
        <v>70</v>
      </c>
      <c r="R7" s="5" t="s">
        <v>49</v>
      </c>
      <c r="S7" s="5" t="s">
        <v>50</v>
      </c>
      <c r="T7" s="5" t="s">
        <v>49</v>
      </c>
      <c r="U7" s="5" t="s">
        <v>50</v>
      </c>
      <c r="V7" s="5" t="s">
        <v>234</v>
      </c>
      <c r="W7" s="5"/>
      <c r="X7" s="5"/>
      <c r="Y7" s="5" t="s">
        <v>51</v>
      </c>
      <c r="Z7" s="7">
        <v>7623.07</v>
      </c>
      <c r="AA7" s="7">
        <v>0</v>
      </c>
      <c r="AB7" s="7">
        <v>0</v>
      </c>
      <c r="AC7" s="6">
        <v>46189</v>
      </c>
      <c r="AD7" s="7">
        <v>7623.07</v>
      </c>
      <c r="AE7" s="4">
        <v>162</v>
      </c>
      <c r="AF7" s="5" t="s">
        <v>212</v>
      </c>
      <c r="AG7" s="5"/>
      <c r="AH7" s="5"/>
      <c r="AI7" s="5"/>
      <c r="AJ7" s="4"/>
      <c r="AK7" s="5" t="s">
        <v>53</v>
      </c>
      <c r="AL7" s="5" t="s">
        <v>186</v>
      </c>
      <c r="AM7" s="6">
        <v>46083</v>
      </c>
      <c r="AN7" s="5" t="s">
        <v>202</v>
      </c>
    </row>
    <row r="8" spans="1:40" x14ac:dyDescent="0.25">
      <c r="A8" s="2" t="s">
        <v>40</v>
      </c>
      <c r="B8" s="2" t="s">
        <v>306</v>
      </c>
      <c r="C8" s="3">
        <v>46218</v>
      </c>
      <c r="D8" s="4">
        <v>564578362</v>
      </c>
      <c r="E8" s="5" t="s">
        <v>235</v>
      </c>
      <c r="F8" s="6">
        <v>46057</v>
      </c>
      <c r="G8" s="5" t="s">
        <v>236</v>
      </c>
      <c r="H8" s="5" t="s">
        <v>236</v>
      </c>
      <c r="I8" s="5" t="s">
        <v>44</v>
      </c>
      <c r="J8" s="5" t="s">
        <v>237</v>
      </c>
      <c r="K8" s="3">
        <v>46285</v>
      </c>
      <c r="L8" s="12">
        <f ca="1">IF($O8="","",$O8-TODAY())</f>
        <v>-123</v>
      </c>
      <c r="M8" s="12">
        <f ca="1">IF($F8="","",$F8+365-TODAY())</f>
        <v>122</v>
      </c>
      <c r="N8" s="12">
        <f ca="1">IF($F8="","",$F8+365-TODAY())</f>
        <v>122</v>
      </c>
      <c r="O8" s="6">
        <v>46177</v>
      </c>
      <c r="P8" s="5" t="s">
        <v>91</v>
      </c>
      <c r="Q8" s="5" t="s">
        <v>238</v>
      </c>
      <c r="R8" s="5" t="s">
        <v>49</v>
      </c>
      <c r="S8" s="5" t="s">
        <v>48</v>
      </c>
      <c r="T8" s="5" t="s">
        <v>49</v>
      </c>
      <c r="U8" s="5" t="s">
        <v>48</v>
      </c>
      <c r="V8" s="5"/>
      <c r="W8" s="5"/>
      <c r="X8" s="5"/>
      <c r="Y8" s="5" t="s">
        <v>51</v>
      </c>
      <c r="Z8" s="7">
        <v>1433.32</v>
      </c>
      <c r="AA8" s="7">
        <v>0</v>
      </c>
      <c r="AB8" s="7">
        <v>0</v>
      </c>
      <c r="AC8" s="6">
        <v>46218</v>
      </c>
      <c r="AD8" s="7">
        <v>1433.32</v>
      </c>
      <c r="AE8" s="4">
        <v>185</v>
      </c>
      <c r="AF8" s="5" t="s">
        <v>212</v>
      </c>
      <c r="AG8" s="5" t="s">
        <v>239</v>
      </c>
      <c r="AH8" s="5"/>
      <c r="AI8" s="5"/>
      <c r="AJ8" s="4"/>
      <c r="AK8" s="5" t="s">
        <v>240</v>
      </c>
      <c r="AL8" s="5" t="s">
        <v>171</v>
      </c>
      <c r="AM8" s="6">
        <v>46077</v>
      </c>
      <c r="AN8" s="5" t="s">
        <v>202</v>
      </c>
    </row>
    <row r="9" spans="1:40" x14ac:dyDescent="0.25">
      <c r="A9" s="2" t="s">
        <v>40</v>
      </c>
      <c r="B9" s="2" t="s">
        <v>247</v>
      </c>
      <c r="C9" s="3">
        <v>46107</v>
      </c>
      <c r="D9" s="4">
        <v>552275426</v>
      </c>
      <c r="E9" s="5" t="s">
        <v>248</v>
      </c>
      <c r="F9" s="6">
        <v>46079</v>
      </c>
      <c r="G9" s="5" t="s">
        <v>249</v>
      </c>
      <c r="H9" s="5" t="s">
        <v>249</v>
      </c>
      <c r="I9" s="5" t="s">
        <v>44</v>
      </c>
      <c r="J9" s="5" t="s">
        <v>250</v>
      </c>
      <c r="K9" s="3">
        <v>46195</v>
      </c>
      <c r="L9" s="12" t="str">
        <f ca="1">IF($O9="","",$O9-TODAY())</f>
        <v/>
      </c>
      <c r="M9" s="12"/>
      <c r="N9" s="12">
        <f ca="1">IF($C9="","",$C9+180-TODAY())</f>
        <v>-13</v>
      </c>
      <c r="O9" s="6"/>
      <c r="P9" s="5"/>
      <c r="Q9" s="5" t="s">
        <v>251</v>
      </c>
      <c r="R9" s="5"/>
      <c r="S9" s="5"/>
      <c r="T9" s="5" t="s">
        <v>143</v>
      </c>
      <c r="U9" s="5" t="s">
        <v>50</v>
      </c>
      <c r="V9" s="5"/>
      <c r="W9" s="5"/>
      <c r="X9" s="5"/>
      <c r="Y9" s="5" t="s">
        <v>51</v>
      </c>
      <c r="Z9" s="7">
        <v>1758.12</v>
      </c>
      <c r="AA9" s="7">
        <v>0</v>
      </c>
      <c r="AB9" s="7">
        <v>0</v>
      </c>
      <c r="AC9" s="6">
        <v>46107</v>
      </c>
      <c r="AD9" s="7">
        <v>1758.12</v>
      </c>
      <c r="AE9" s="4">
        <v>163</v>
      </c>
      <c r="AF9" s="5" t="s">
        <v>213</v>
      </c>
      <c r="AG9" s="5" t="s">
        <v>252</v>
      </c>
      <c r="AH9" s="5"/>
      <c r="AI9" s="5"/>
      <c r="AJ9" s="4"/>
      <c r="AK9" s="5" t="s">
        <v>137</v>
      </c>
      <c r="AL9" s="5" t="s">
        <v>230</v>
      </c>
      <c r="AM9" s="6">
        <v>46092</v>
      </c>
      <c r="AN9" s="5" t="s">
        <v>202</v>
      </c>
    </row>
    <row r="10" spans="1:40" x14ac:dyDescent="0.25">
      <c r="A10" s="2" t="s">
        <v>61</v>
      </c>
      <c r="B10" s="2" t="s">
        <v>222</v>
      </c>
      <c r="C10" s="3">
        <v>46233</v>
      </c>
      <c r="D10" s="4">
        <v>551412333</v>
      </c>
      <c r="E10" s="5" t="s">
        <v>223</v>
      </c>
      <c r="F10" s="6">
        <v>46072</v>
      </c>
      <c r="G10" s="5" t="s">
        <v>141</v>
      </c>
      <c r="H10" s="5" t="s">
        <v>141</v>
      </c>
      <c r="I10" s="5" t="s">
        <v>44</v>
      </c>
      <c r="J10" s="5" t="s">
        <v>224</v>
      </c>
      <c r="K10" s="3">
        <v>46192</v>
      </c>
      <c r="L10" s="12">
        <f ca="1">IF($O10="","",$O10-TODAY())</f>
        <v>-138</v>
      </c>
      <c r="M10" s="12">
        <f ca="1">IF($C10="","",$C10+180-TODAY())</f>
        <v>113</v>
      </c>
      <c r="N10" s="12">
        <f ca="1">IF($C10="","",$C10+365-TODAY())</f>
        <v>298</v>
      </c>
      <c r="O10" s="6">
        <v>46162</v>
      </c>
      <c r="P10" s="5" t="s">
        <v>46</v>
      </c>
      <c r="Q10" s="5" t="s">
        <v>142</v>
      </c>
      <c r="R10" s="5" t="s">
        <v>143</v>
      </c>
      <c r="S10" s="5" t="s">
        <v>50</v>
      </c>
      <c r="T10" s="5" t="s">
        <v>49</v>
      </c>
      <c r="U10" s="5" t="s">
        <v>50</v>
      </c>
      <c r="V10" s="5" t="s">
        <v>225</v>
      </c>
      <c r="W10" s="5"/>
      <c r="X10" s="5"/>
      <c r="Y10" s="5" t="s">
        <v>51</v>
      </c>
      <c r="Z10" s="7">
        <v>6297.27</v>
      </c>
      <c r="AA10" s="7">
        <v>0</v>
      </c>
      <c r="AB10" s="7">
        <v>0</v>
      </c>
      <c r="AC10" s="6">
        <v>46142</v>
      </c>
      <c r="AD10" s="7">
        <v>6297.27</v>
      </c>
      <c r="AE10" s="4">
        <v>170</v>
      </c>
      <c r="AF10" s="5" t="s">
        <v>212</v>
      </c>
      <c r="AG10" s="5" t="s">
        <v>213</v>
      </c>
      <c r="AH10" s="5" t="s">
        <v>214</v>
      </c>
      <c r="AI10" s="5" t="s">
        <v>136</v>
      </c>
      <c r="AJ10" s="4"/>
      <c r="AK10" s="5" t="s">
        <v>215</v>
      </c>
      <c r="AL10" s="5" t="s">
        <v>171</v>
      </c>
      <c r="AM10" s="6">
        <v>46084</v>
      </c>
      <c r="AN10" s="5" t="s">
        <v>202</v>
      </c>
    </row>
    <row r="11" spans="1:40" x14ac:dyDescent="0.25">
      <c r="A11" s="2" t="s">
        <v>61</v>
      </c>
      <c r="B11" s="2" t="s">
        <v>241</v>
      </c>
      <c r="C11" s="3">
        <v>46142</v>
      </c>
      <c r="D11" s="4">
        <v>551321878</v>
      </c>
      <c r="E11" s="5" t="s">
        <v>242</v>
      </c>
      <c r="F11" s="6">
        <v>46058</v>
      </c>
      <c r="G11" s="5" t="s">
        <v>243</v>
      </c>
      <c r="H11" s="5" t="s">
        <v>243</v>
      </c>
      <c r="I11" s="5" t="s">
        <v>44</v>
      </c>
      <c r="J11" s="5" t="s">
        <v>244</v>
      </c>
      <c r="K11" s="3">
        <v>46195</v>
      </c>
      <c r="L11" s="12">
        <f ca="1">IF($O11="","",$O11-TODAY())</f>
        <v>-152</v>
      </c>
      <c r="M11" s="12">
        <f ca="1">IF($C11="","",$C11+365-TODAY())</f>
        <v>207</v>
      </c>
      <c r="N11" s="12">
        <f ca="1">IF($C11="","",$C11+365-TODAY())</f>
        <v>207</v>
      </c>
      <c r="O11" s="6">
        <v>46148</v>
      </c>
      <c r="P11" s="5" t="s">
        <v>46</v>
      </c>
      <c r="Q11" s="5" t="s">
        <v>245</v>
      </c>
      <c r="R11" s="5" t="s">
        <v>49</v>
      </c>
      <c r="S11" s="5" t="s">
        <v>50</v>
      </c>
      <c r="T11" s="5" t="s">
        <v>49</v>
      </c>
      <c r="U11" s="5" t="s">
        <v>50</v>
      </c>
      <c r="V11" s="5"/>
      <c r="W11" s="5"/>
      <c r="X11" s="5"/>
      <c r="Y11" s="5" t="s">
        <v>51</v>
      </c>
      <c r="Z11" s="7">
        <v>12527.55</v>
      </c>
      <c r="AA11" s="7">
        <v>0</v>
      </c>
      <c r="AB11" s="7">
        <v>0</v>
      </c>
      <c r="AC11" s="6">
        <v>46142</v>
      </c>
      <c r="AD11" s="7">
        <v>12527.55</v>
      </c>
      <c r="AE11" s="4">
        <v>184</v>
      </c>
      <c r="AF11" s="5" t="s">
        <v>212</v>
      </c>
      <c r="AG11" s="5" t="s">
        <v>213</v>
      </c>
      <c r="AH11" s="5" t="s">
        <v>136</v>
      </c>
      <c r="AI11" s="5" t="s">
        <v>246</v>
      </c>
      <c r="AJ11" s="4"/>
      <c r="AK11" s="5" t="s">
        <v>215</v>
      </c>
      <c r="AL11" s="5" t="s">
        <v>171</v>
      </c>
      <c r="AM11" s="6">
        <v>46083</v>
      </c>
      <c r="AN11" s="5" t="s">
        <v>202</v>
      </c>
    </row>
  </sheetData>
  <autoFilter ref="A1:AN11" xr:uid="{00000000-0009-0000-0000-000003000000}"/>
  <conditionalFormatting sqref="L2:L11">
    <cfRule type="expression" dxfId="39" priority="1">
      <formula>AND($L2&lt;&gt;"", $L2&gt;=0, $L2&lt;=5)</formula>
    </cfRule>
    <cfRule type="expression" dxfId="38" priority="2">
      <formula>AND($L2&lt;&gt;"", $L2&gt;5, $L2&lt;=30)</formula>
    </cfRule>
    <cfRule type="expression" dxfId="37" priority="3">
      <formula>AND($L2&lt;&gt;"", $L2&gt;30)</formula>
    </cfRule>
    <cfRule type="expression" dxfId="36" priority="4">
      <formula>AND($L2&lt;&gt;"", $L2&lt;0)</formula>
    </cfRule>
    <cfRule type="expression" dxfId="35" priority="5">
      <formula>$L2=""</formula>
    </cfRule>
  </conditionalFormatting>
  <conditionalFormatting sqref="M2:M11">
    <cfRule type="expression" dxfId="34" priority="6">
      <formula>AND($M2&lt;&gt;"", $M2&gt;=0, $M2&lt;=5)</formula>
    </cfRule>
    <cfRule type="expression" dxfId="33" priority="7">
      <formula>AND($M2&lt;&gt;"", $M2&gt;5, $M2&lt;=30)</formula>
    </cfRule>
    <cfRule type="expression" dxfId="32" priority="8">
      <formula>AND($M2&lt;&gt;"", $M2&gt;30)</formula>
    </cfRule>
    <cfRule type="expression" dxfId="31" priority="9">
      <formula>AND($M2&lt;&gt;"", $M2&lt;0)</formula>
    </cfRule>
    <cfRule type="expression" dxfId="30" priority="10">
      <formula>$M2=""</formula>
    </cfRule>
  </conditionalFormatting>
  <conditionalFormatting sqref="N2:N11">
    <cfRule type="expression" dxfId="29" priority="11">
      <formula>AND($N2&lt;&gt;"", $N2&gt;=0, $N2&lt;=5)</formula>
    </cfRule>
    <cfRule type="expression" dxfId="28" priority="12">
      <formula>AND($N2&lt;&gt;"", $N2&gt;5, $N2&lt;=30)</formula>
    </cfRule>
    <cfRule type="expression" dxfId="27" priority="13">
      <formula>AND($N2&lt;&gt;"", $N2&gt;30)</formula>
    </cfRule>
    <cfRule type="expression" dxfId="26" priority="14">
      <formula>AND($N2&lt;&gt;"", $N2&lt;0)</formula>
    </cfRule>
    <cfRule type="expression" dxfId="25" priority="15">
      <formula>$N2=""</formula>
    </cfRule>
  </conditionalFormatting>
  <conditionalFormatting sqref="O2:U11">
    <cfRule type="expression" dxfId="24" priority="16">
      <formula>AND($L2&lt;&gt;"", $L2&gt;=0, $L2&lt;=5)</formula>
    </cfRule>
    <cfRule type="expression" dxfId="23" priority="17">
      <formula>AND($L2&lt;&gt;"", $L2&gt;5, $L2&lt;=30)</formula>
    </cfRule>
    <cfRule type="expression" dxfId="22" priority="18">
      <formula>AND($L2&lt;&gt;"", $L2&gt;30)</formula>
    </cfRule>
    <cfRule type="expression" dxfId="21" priority="19">
      <formula>AND($L2&lt;&gt;"", $L2&lt;0)</formula>
    </cfRule>
    <cfRule type="expression" dxfId="2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AND(TRIM($A2)="Denied",$K2="")</formula>
    </cfRule>
    <cfRule type="expression" dxfId="108" priority="29">
      <formula>AND(TRIM($A2)="Denied",$K2&lt;&gt;"")</formula>
    </cfRule>
    <cfRule type="expression" dxfId="106" priority="27">
      <formula>TRIM($A2)="Rejected"</formula>
    </cfRule>
    <cfRule type="expression" dxfId="107"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6"/>
  <sheetViews>
    <sheetView zoomScale="90" workbookViewId="0">
      <pane xSplit="2" ySplit="1" topLeftCell="C2" activePane="bottomRight" state="frozen"/>
      <selection pane="topRight"/>
      <selection pane="bottomLeft"/>
      <selection pane="bottomRight"/>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2.140625" customWidth="1"/>
    <col min="9" max="9" width="40" hidden="1" customWidth="1"/>
    <col min="10" max="10" width="31.85546875" customWidth="1"/>
    <col min="11" max="11" width="14" customWidth="1"/>
    <col min="12" max="12" width="12" customWidth="1"/>
    <col min="13" max="13" width="19.28515625" customWidth="1"/>
    <col min="14" max="14" width="14.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203</v>
      </c>
      <c r="B2" s="2" t="s">
        <v>270</v>
      </c>
      <c r="C2" s="3">
        <v>46211</v>
      </c>
      <c r="D2" s="4">
        <v>563161793</v>
      </c>
      <c r="E2" s="5" t="s">
        <v>271</v>
      </c>
      <c r="F2" s="6">
        <v>46065</v>
      </c>
      <c r="G2" s="5" t="s">
        <v>272</v>
      </c>
      <c r="H2" s="5" t="s">
        <v>161</v>
      </c>
      <c r="I2" s="5" t="s">
        <v>272</v>
      </c>
      <c r="J2" s="5" t="s">
        <v>255</v>
      </c>
      <c r="K2" s="3">
        <v>46251</v>
      </c>
      <c r="L2" s="12">
        <f ca="1">IF($O2="","",$O2-TODAY())</f>
        <v>130</v>
      </c>
      <c r="M2" s="12">
        <f ca="1">IF($C2="","",$C2+365-TODAY())</f>
        <v>276</v>
      </c>
      <c r="N2" s="12">
        <f ca="1">IF($C2="","",$C2+120-TODAY())</f>
        <v>31</v>
      </c>
      <c r="O2" s="6">
        <v>46430</v>
      </c>
      <c r="P2" s="5" t="s">
        <v>49</v>
      </c>
      <c r="Q2" s="5" t="s">
        <v>90</v>
      </c>
      <c r="R2" s="5" t="s">
        <v>49</v>
      </c>
      <c r="S2" s="5" t="s">
        <v>50</v>
      </c>
      <c r="T2" s="5" t="s">
        <v>91</v>
      </c>
      <c r="U2" s="5" t="s">
        <v>50</v>
      </c>
      <c r="V2" s="5"/>
      <c r="W2" s="5"/>
      <c r="X2" s="5"/>
      <c r="Y2" s="5" t="s">
        <v>51</v>
      </c>
      <c r="Z2" s="7">
        <v>1294.23</v>
      </c>
      <c r="AA2" s="7">
        <v>1131</v>
      </c>
      <c r="AB2" s="7">
        <v>127.49</v>
      </c>
      <c r="AC2" s="6">
        <v>46211</v>
      </c>
      <c r="AD2" s="7">
        <v>35.74</v>
      </c>
      <c r="AE2" s="4">
        <v>177</v>
      </c>
      <c r="AF2" s="5" t="s">
        <v>256</v>
      </c>
      <c r="AG2" s="5" t="s">
        <v>273</v>
      </c>
      <c r="AH2" s="5" t="s">
        <v>274</v>
      </c>
      <c r="AI2" s="5" t="s">
        <v>275</v>
      </c>
      <c r="AJ2" s="4">
        <v>566075130</v>
      </c>
      <c r="AK2" s="5" t="s">
        <v>265</v>
      </c>
      <c r="AL2" s="5" t="s">
        <v>65</v>
      </c>
      <c r="AM2" s="6">
        <v>46076</v>
      </c>
      <c r="AN2" s="5" t="s">
        <v>261</v>
      </c>
    </row>
    <row r="3" spans="1:40" x14ac:dyDescent="0.25">
      <c r="A3" s="2" t="s">
        <v>114</v>
      </c>
      <c r="B3" s="2" t="s">
        <v>253</v>
      </c>
      <c r="C3" s="3">
        <v>46211</v>
      </c>
      <c r="D3" s="4">
        <v>563152890</v>
      </c>
      <c r="E3" s="5" t="s">
        <v>254</v>
      </c>
      <c r="F3" s="6">
        <v>46057</v>
      </c>
      <c r="G3" s="5" t="s">
        <v>43</v>
      </c>
      <c r="H3" s="5" t="s">
        <v>161</v>
      </c>
      <c r="I3" s="5" t="s">
        <v>43</v>
      </c>
      <c r="J3" s="5" t="s">
        <v>255</v>
      </c>
      <c r="K3" s="3">
        <v>46196</v>
      </c>
      <c r="L3" s="12">
        <f ca="1">IF($O3="","",$O3-TODAY())</f>
        <v>122</v>
      </c>
      <c r="M3" s="12">
        <f ca="1">IF($C3="","",$C3+365-TODAY())</f>
        <v>276</v>
      </c>
      <c r="N3" s="12">
        <f ca="1">IF($C3="","",$C3+120-TODAY())</f>
        <v>31</v>
      </c>
      <c r="O3" s="6">
        <v>46422</v>
      </c>
      <c r="P3" s="5" t="s">
        <v>49</v>
      </c>
      <c r="Q3" s="5" t="s">
        <v>90</v>
      </c>
      <c r="R3" s="5" t="s">
        <v>49</v>
      </c>
      <c r="S3" s="5" t="s">
        <v>50</v>
      </c>
      <c r="T3" s="5" t="s">
        <v>91</v>
      </c>
      <c r="U3" s="5" t="s">
        <v>50</v>
      </c>
      <c r="V3" s="5"/>
      <c r="W3" s="5"/>
      <c r="X3" s="5"/>
      <c r="Y3" s="5" t="s">
        <v>51</v>
      </c>
      <c r="Z3" s="7">
        <v>1294.23</v>
      </c>
      <c r="AA3" s="7">
        <v>1127.69</v>
      </c>
      <c r="AB3" s="7">
        <v>130.80000000000001</v>
      </c>
      <c r="AC3" s="6">
        <v>46211</v>
      </c>
      <c r="AD3" s="7">
        <v>35.74</v>
      </c>
      <c r="AE3" s="4">
        <v>185</v>
      </c>
      <c r="AF3" s="5" t="s">
        <v>256</v>
      </c>
      <c r="AG3" s="5" t="s">
        <v>257</v>
      </c>
      <c r="AH3" s="5" t="s">
        <v>258</v>
      </c>
      <c r="AI3" s="5" t="s">
        <v>259</v>
      </c>
      <c r="AJ3" s="4">
        <v>566075115</v>
      </c>
      <c r="AK3" s="5" t="s">
        <v>260</v>
      </c>
      <c r="AL3" s="5" t="s">
        <v>157</v>
      </c>
      <c r="AM3" s="6">
        <v>46072</v>
      </c>
      <c r="AN3" s="5" t="s">
        <v>261</v>
      </c>
    </row>
    <row r="4" spans="1:40" x14ac:dyDescent="0.25">
      <c r="A4" s="2" t="s">
        <v>114</v>
      </c>
      <c r="B4" s="2" t="s">
        <v>253</v>
      </c>
      <c r="C4" s="3">
        <v>46211</v>
      </c>
      <c r="D4" s="4">
        <v>563153622</v>
      </c>
      <c r="E4" s="5" t="s">
        <v>262</v>
      </c>
      <c r="F4" s="6">
        <v>46065</v>
      </c>
      <c r="G4" s="5" t="s">
        <v>107</v>
      </c>
      <c r="H4" s="5" t="s">
        <v>161</v>
      </c>
      <c r="I4" s="5" t="s">
        <v>107</v>
      </c>
      <c r="J4" s="5" t="s">
        <v>263</v>
      </c>
      <c r="K4" s="3">
        <v>46196</v>
      </c>
      <c r="L4" s="12">
        <f ca="1">IF($O4="","",$O4-TODAY())</f>
        <v>130</v>
      </c>
      <c r="M4" s="12">
        <f ca="1">IF($C4="","",$C4+365-TODAY())</f>
        <v>276</v>
      </c>
      <c r="N4" s="12">
        <f ca="1">IF($C4="","",$C4+120-TODAY())</f>
        <v>31</v>
      </c>
      <c r="O4" s="6">
        <v>46430</v>
      </c>
      <c r="P4" s="5" t="s">
        <v>49</v>
      </c>
      <c r="Q4" s="5" t="s">
        <v>90</v>
      </c>
      <c r="R4" s="5" t="s">
        <v>49</v>
      </c>
      <c r="S4" s="5" t="s">
        <v>50</v>
      </c>
      <c r="T4" s="5" t="s">
        <v>91</v>
      </c>
      <c r="U4" s="5" t="s">
        <v>50</v>
      </c>
      <c r="V4" s="5"/>
      <c r="W4" s="5"/>
      <c r="X4" s="5"/>
      <c r="Y4" s="5" t="s">
        <v>51</v>
      </c>
      <c r="Z4" s="7">
        <v>2943.43</v>
      </c>
      <c r="AA4" s="7">
        <v>2603.25</v>
      </c>
      <c r="AB4" s="7">
        <v>265.7</v>
      </c>
      <c r="AC4" s="6">
        <v>46211</v>
      </c>
      <c r="AD4" s="7">
        <v>74.48</v>
      </c>
      <c r="AE4" s="4">
        <v>177</v>
      </c>
      <c r="AF4" s="5" t="s">
        <v>264</v>
      </c>
      <c r="AG4" s="5"/>
      <c r="AH4" s="5"/>
      <c r="AI4" s="5"/>
      <c r="AJ4" s="4">
        <v>565916751</v>
      </c>
      <c r="AK4" s="5" t="s">
        <v>265</v>
      </c>
      <c r="AL4" s="5" t="s">
        <v>65</v>
      </c>
      <c r="AM4" s="6">
        <v>46119</v>
      </c>
      <c r="AN4" s="5" t="s">
        <v>261</v>
      </c>
    </row>
    <row r="5" spans="1:40" x14ac:dyDescent="0.25">
      <c r="A5" s="2" t="s">
        <v>114</v>
      </c>
      <c r="B5" s="2" t="s">
        <v>253</v>
      </c>
      <c r="C5" s="3">
        <v>46210</v>
      </c>
      <c r="D5" s="4">
        <v>563152081</v>
      </c>
      <c r="E5" s="5" t="s">
        <v>266</v>
      </c>
      <c r="F5" s="6">
        <v>46070</v>
      </c>
      <c r="G5" s="5" t="s">
        <v>107</v>
      </c>
      <c r="H5" s="5" t="s">
        <v>161</v>
      </c>
      <c r="I5" s="5" t="s">
        <v>107</v>
      </c>
      <c r="J5" s="5" t="s">
        <v>255</v>
      </c>
      <c r="K5" s="3">
        <v>46196</v>
      </c>
      <c r="L5" s="12">
        <f ca="1">IF($O5="","",$O5-TODAY())</f>
        <v>135</v>
      </c>
      <c r="M5" s="12">
        <f ca="1">IF($C5="","",$C5+365-TODAY())</f>
        <v>275</v>
      </c>
      <c r="N5" s="12">
        <f ca="1">IF($C5="","",$C5+120-TODAY())</f>
        <v>30</v>
      </c>
      <c r="O5" s="6">
        <v>46435</v>
      </c>
      <c r="P5" s="5" t="s">
        <v>49</v>
      </c>
      <c r="Q5" s="5" t="s">
        <v>90</v>
      </c>
      <c r="R5" s="5" t="s">
        <v>49</v>
      </c>
      <c r="S5" s="5" t="s">
        <v>50</v>
      </c>
      <c r="T5" s="5" t="s">
        <v>91</v>
      </c>
      <c r="U5" s="5" t="s">
        <v>50</v>
      </c>
      <c r="V5" s="5"/>
      <c r="W5" s="5"/>
      <c r="X5" s="5"/>
      <c r="Y5" s="5" t="s">
        <v>51</v>
      </c>
      <c r="Z5" s="7">
        <v>1294.23</v>
      </c>
      <c r="AA5" s="7">
        <v>1131</v>
      </c>
      <c r="AB5" s="7">
        <v>127.49</v>
      </c>
      <c r="AC5" s="6">
        <v>46210</v>
      </c>
      <c r="AD5" s="7">
        <v>35.74</v>
      </c>
      <c r="AE5" s="4">
        <v>172</v>
      </c>
      <c r="AF5" s="5" t="s">
        <v>267</v>
      </c>
      <c r="AG5" s="5"/>
      <c r="AH5" s="5"/>
      <c r="AI5" s="5"/>
      <c r="AJ5" s="4">
        <v>566075094</v>
      </c>
      <c r="AK5" s="5" t="s">
        <v>53</v>
      </c>
      <c r="AL5" s="5" t="s">
        <v>72</v>
      </c>
      <c r="AM5" s="6">
        <v>46076</v>
      </c>
      <c r="AN5" s="5" t="s">
        <v>261</v>
      </c>
    </row>
    <row r="6" spans="1:40" x14ac:dyDescent="0.25">
      <c r="A6" s="2" t="s">
        <v>114</v>
      </c>
      <c r="B6" s="2" t="s">
        <v>253</v>
      </c>
      <c r="C6" s="3">
        <v>46210</v>
      </c>
      <c r="D6" s="4">
        <v>563152473</v>
      </c>
      <c r="E6" s="5" t="s">
        <v>254</v>
      </c>
      <c r="F6" s="6">
        <v>46071</v>
      </c>
      <c r="G6" s="5" t="s">
        <v>43</v>
      </c>
      <c r="H6" s="5" t="s">
        <v>161</v>
      </c>
      <c r="I6" s="5" t="s">
        <v>43</v>
      </c>
      <c r="J6" s="5" t="s">
        <v>268</v>
      </c>
      <c r="K6" s="3">
        <v>46196</v>
      </c>
      <c r="L6" s="12">
        <f ca="1">IF($O6="","",$O6-TODAY())</f>
        <v>136</v>
      </c>
      <c r="M6" s="12">
        <f ca="1">IF($C6="","",$C6+365-TODAY())</f>
        <v>275</v>
      </c>
      <c r="N6" s="12">
        <f ca="1">IF($C6="","",$C6+120-TODAY())</f>
        <v>30</v>
      </c>
      <c r="O6" s="6">
        <v>46436</v>
      </c>
      <c r="P6" s="5" t="s">
        <v>49</v>
      </c>
      <c r="Q6" s="5" t="s">
        <v>90</v>
      </c>
      <c r="R6" s="5" t="s">
        <v>49</v>
      </c>
      <c r="S6" s="5" t="s">
        <v>50</v>
      </c>
      <c r="T6" s="5" t="s">
        <v>91</v>
      </c>
      <c r="U6" s="5" t="s">
        <v>50</v>
      </c>
      <c r="V6" s="5"/>
      <c r="W6" s="5"/>
      <c r="X6" s="5"/>
      <c r="Y6" s="5" t="s">
        <v>51</v>
      </c>
      <c r="Z6" s="7">
        <v>879.06</v>
      </c>
      <c r="AA6" s="7">
        <v>758.3</v>
      </c>
      <c r="AB6" s="7">
        <v>94.84</v>
      </c>
      <c r="AC6" s="6">
        <v>46210</v>
      </c>
      <c r="AD6" s="7">
        <v>25.92</v>
      </c>
      <c r="AE6" s="4">
        <v>171</v>
      </c>
      <c r="AF6" s="5" t="s">
        <v>269</v>
      </c>
      <c r="AG6" s="5"/>
      <c r="AH6" s="5"/>
      <c r="AI6" s="5"/>
      <c r="AJ6" s="4">
        <v>566075128</v>
      </c>
      <c r="AK6" s="5" t="s">
        <v>260</v>
      </c>
      <c r="AL6" s="5" t="s">
        <v>157</v>
      </c>
      <c r="AM6" s="6">
        <v>46119</v>
      </c>
      <c r="AN6" s="5" t="s">
        <v>261</v>
      </c>
    </row>
  </sheetData>
  <autoFilter ref="A1:AN6" xr:uid="{00000000-0009-0000-0000-000004000000}"/>
  <conditionalFormatting sqref="L2:L6">
    <cfRule type="expression" dxfId="19" priority="1">
      <formula>AND($L2&lt;&gt;"", $L2&gt;=0, $L2&lt;=5)</formula>
    </cfRule>
    <cfRule type="expression" dxfId="18" priority="2">
      <formula>AND($L2&lt;&gt;"", $L2&gt;5, $L2&lt;=30)</formula>
    </cfRule>
    <cfRule type="expression" dxfId="17" priority="3">
      <formula>AND($L2&lt;&gt;"", $L2&gt;30)</formula>
    </cfRule>
    <cfRule type="expression" dxfId="16" priority="4">
      <formula>AND($L2&lt;&gt;"", $L2&lt;0)</formula>
    </cfRule>
    <cfRule type="expression" dxfId="15" priority="5">
      <formula>$L2=""</formula>
    </cfRule>
  </conditionalFormatting>
  <conditionalFormatting sqref="M2:M6">
    <cfRule type="expression" dxfId="14" priority="6">
      <formula>AND($M2&lt;&gt;"", $M2&gt;=0, $M2&lt;=5)</formula>
    </cfRule>
    <cfRule type="expression" dxfId="13" priority="7">
      <formula>AND($M2&lt;&gt;"", $M2&gt;5, $M2&lt;=30)</formula>
    </cfRule>
    <cfRule type="expression" dxfId="12" priority="8">
      <formula>AND($M2&lt;&gt;"", $M2&gt;30)</formula>
    </cfRule>
    <cfRule type="expression" dxfId="11" priority="9">
      <formula>AND($M2&lt;&gt;"", $M2&lt;0)</formula>
    </cfRule>
    <cfRule type="expression" dxfId="10" priority="10">
      <formula>$M2=""</formula>
    </cfRule>
  </conditionalFormatting>
  <conditionalFormatting sqref="N2:N6">
    <cfRule type="expression" dxfId="9" priority="11">
      <formula>AND($N2&lt;&gt;"", $N2&gt;=0, $N2&lt;=5)</formula>
    </cfRule>
    <cfRule type="expression" dxfId="8" priority="12">
      <formula>AND($N2&lt;&gt;"", $N2&gt;5, $N2&lt;=30)</formula>
    </cfRule>
    <cfRule type="expression" dxfId="7" priority="13">
      <formula>AND($N2&lt;&gt;"", $N2&gt;30)</formula>
    </cfRule>
    <cfRule type="expression" dxfId="6" priority="14">
      <formula>AND($N2&lt;&gt;"", $N2&lt;0)</formula>
    </cfRule>
    <cfRule type="expression" dxfId="5" priority="15">
      <formula>$N2=""</formula>
    </cfRule>
  </conditionalFormatting>
  <conditionalFormatting sqref="O2:U6">
    <cfRule type="expression" dxfId="4" priority="16">
      <formula>AND($L2&lt;&gt;"", $L2&gt;=0, $L2&lt;=5)</formula>
    </cfRule>
    <cfRule type="expression" dxfId="3" priority="17">
      <formula>AND($L2&lt;&gt;"", $L2&gt;5, $L2&lt;=30)</formula>
    </cfRule>
    <cfRule type="expression" dxfId="2" priority="18">
      <formula>AND($L2&lt;&gt;"", $L2&gt;30)</formula>
    </cfRule>
    <cfRule type="expression" dxfId="1" priority="19">
      <formula>AND($L2&lt;&gt;"", $L2&lt;0)</formula>
    </cfRule>
    <cfRule type="expression" dxfId="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AND(TRIM($A2)="Denied",$K2="")</formula>
    </cfRule>
    <cfRule type="expression" dxfId="108" priority="29">
      <formula>AND(TRIM($A2)="Denied",$K2&lt;&gt;"")</formula>
    </cfRule>
    <cfRule type="expression" dxfId="106" priority="27">
      <formula>TRIM($A2)="Rejected"</formula>
    </cfRule>
    <cfRule type="expression" dxfId="107"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50"/>
  <sheetViews>
    <sheetView showGridLines="0" workbookViewId="0"/>
  </sheetViews>
  <sheetFormatPr defaultRowHeight="15" x14ac:dyDescent="0.25"/>
  <cols>
    <col min="1" max="1" width="118" customWidth="1"/>
  </cols>
  <sheetData>
    <row r="1" spans="1:1" ht="18.75" x14ac:dyDescent="0.25">
      <c r="A1" s="8" t="s">
        <v>276</v>
      </c>
    </row>
    <row r="2" spans="1:1" x14ac:dyDescent="0.25">
      <c r="A2" s="9"/>
    </row>
    <row r="3" spans="1:1" x14ac:dyDescent="0.25">
      <c r="A3" s="9" t="str">
        <f>COUNTA(BH!$D$2:$D$1000,DME!$D$2:$D$1000,GAE!$D$2:$D$1000,ORTHO!$D$2:$D$1000,US!$D$2:$D$1000)&amp;" claims with a date of service in 2026-02 February, split into one sheet per specialty: BH, DME, GAE, ORTHO, US."</f>
        <v>38 claims with a date of service in 2026-02 February, split into one sheet per specialty: BH, DME, GAE, ORTHO, US.</v>
      </c>
    </row>
    <row r="4" spans="1:1" x14ac:dyDescent="0.25">
      <c r="A4" s="9"/>
    </row>
    <row r="5" spans="1:1" x14ac:dyDescent="0.25">
      <c r="A5" s="10" t="s">
        <v>278</v>
      </c>
    </row>
    <row r="6" spans="1:1" ht="90" x14ac:dyDescent="0.25">
      <c r="A6" s="9" t="s">
        <v>279</v>
      </c>
    </row>
    <row r="7" spans="1:1" x14ac:dyDescent="0.25">
      <c r="A7" s="9" t="s">
        <v>280</v>
      </c>
    </row>
    <row r="8" spans="1:1" x14ac:dyDescent="0.25">
      <c r="A8" s="9" t="str">
        <f>"    1 - Due in 5 days or less: "&amp;SUM(COUNTIFS(BH!$L$2:$L$1000,"&gt;=0",BH!$L$2:$L$1000,"&lt;=5"),COUNTIFS(DME!$L$2:$L$1000,"&gt;=0",DME!$L$2:$L$1000,"&lt;=5"),COUNTIFS(GAE!$L$2:$L$1000,"&gt;=0",GAE!$L$2:$L$1000,"&lt;=5"),COUNTIFS(ORTHO!$L$2:$L$1000,"&gt;=0",ORTHO!$L$2:$L$1000,"&lt;=5"),COUNTIFS(US!$L$2:$L$1000,"&gt;=0",US!$L$2:$L$1000,"&lt;=5"))</f>
        <v>    1 - Due in 5 days or less: 0</v>
      </c>
    </row>
    <row r="9" spans="1:1" x14ac:dyDescent="0.25">
      <c r="A9" s="9" t="str">
        <f>"    2 - Due in 6-30 days: "&amp;SUM(COUNTIFS(BH!$L$2:$L$1000,"&gt;5",BH!$L$2:$L$1000,"&lt;=30"),COUNTIFS(DME!$L$2:$L$1000,"&gt;5",DME!$L$2:$L$1000,"&lt;=30"),COUNTIFS(GAE!$L$2:$L$1000,"&gt;5",GAE!$L$2:$L$1000,"&lt;=30"),COUNTIFS(ORTHO!$L$2:$L$1000,"&gt;5",ORTHO!$L$2:$L$1000,"&lt;=30"),COUNTIFS(US!$L$2:$L$1000,"&gt;5",US!$L$2:$L$1000,"&lt;=30"))</f>
        <v>    2 - Due in 6-30 days: 0</v>
      </c>
    </row>
    <row r="10" spans="1:1" x14ac:dyDescent="0.25">
      <c r="A10" s="9" t="str">
        <f>"    3 - Due in 31+ days: "&amp;SUM(COUNTIFS(BH!$L$2:$L$1000,"&gt;30"),COUNTIFS(DME!$L$2:$L$1000,"&gt;30"),COUNTIFS(GAE!$L$2:$L$1000,"&gt;30"),COUNTIFS(ORTHO!$L$2:$L$1000,"&gt;30"),COUNTIFS(US!$L$2:$L$1000,"&gt;30"))</f>
        <v>    3 - Due in 31+ days: 18</v>
      </c>
    </row>
    <row r="11" spans="1:1" x14ac:dyDescent="0.25">
      <c r="A11" s="9" t="str">
        <f>"    4 - Past deadline: "&amp;SUM(COUNTIFS(BH!$L$2:$L$1000,"&lt;0"),COUNTIFS(DME!$L$2:$L$1000,"&lt;0"),COUNTIFS(GAE!$L$2:$L$1000,"&lt;0"),COUNTIFS(ORTHO!$L$2:$L$1000,"&lt;0"),COUNTIFS(US!$L$2:$L$1000,"&lt;0"))</f>
        <v>    4 - Past deadline: 17</v>
      </c>
    </row>
    <row r="12" spans="1:1" x14ac:dyDescent="0.25">
      <c r="A12" s="9" t="str">
        <f>"    5 - No limit on file: "&amp;SUM(COUNTIFS(BH!$D$2:$D$1000,"&lt;&gt;",BH!$L$2:$L$1000,""),COUNTIFS(DME!$D$2:$D$1000,"&lt;&gt;",DME!$L$2:$L$1000,""),COUNTIFS(GAE!$D$2:$D$1000,"&lt;&gt;",GAE!$L$2:$L$1000,""),COUNTIFS(ORTHO!$D$2:$D$1000,"&lt;&gt;",ORTHO!$L$2:$L$1000,""),COUNTIFS(US!$D$2:$D$1000,"&lt;&gt;",US!$L$2:$L$1000,""))</f>
        <v>    5 - No limit on file: 3</v>
      </c>
    </row>
    <row r="13" spans="1:1" x14ac:dyDescent="0.25">
      <c r="A13" s="9"/>
    </row>
    <row r="14" spans="1:1" ht="30" x14ac:dyDescent="0.25">
      <c r="A14" s="9" t="s">
        <v>286</v>
      </c>
    </row>
    <row r="15" spans="1:1" ht="60" x14ac:dyDescent="0.25">
      <c r="A15" s="9" t="s">
        <v>287</v>
      </c>
    </row>
    <row r="16" spans="1:1" ht="30" x14ac:dyDescent="0.25">
      <c r="A16" s="9" t="s">
        <v>288</v>
      </c>
    </row>
    <row r="17" spans="1:1" ht="30" x14ac:dyDescent="0.25">
      <c r="A17" s="9" t="s">
        <v>289</v>
      </c>
    </row>
    <row r="18" spans="1:1" x14ac:dyDescent="0.25">
      <c r="A18" s="9"/>
    </row>
    <row r="19" spans="1:1" x14ac:dyDescent="0.25">
      <c r="A19" s="10" t="s">
        <v>290</v>
      </c>
    </row>
    <row r="20" spans="1:1" ht="45" x14ac:dyDescent="0.25">
      <c r="A20" s="9" t="s">
        <v>291</v>
      </c>
    </row>
    <row r="21" spans="1:1" x14ac:dyDescent="0.25">
      <c r="A21" s="9" t="s">
        <v>292</v>
      </c>
    </row>
    <row r="22" spans="1:1" ht="30" x14ac:dyDescent="0.25">
      <c r="A22" s="9" t="s">
        <v>293</v>
      </c>
    </row>
    <row r="23" spans="1:1" x14ac:dyDescent="0.25">
      <c r="A23" s="9"/>
    </row>
    <row r="24" spans="1:1" x14ac:dyDescent="0.25">
      <c r="A24" s="10" t="s">
        <v>294</v>
      </c>
    </row>
    <row r="25" spans="1:1" ht="30" x14ac:dyDescent="0.25">
      <c r="A25" s="9" t="s">
        <v>295</v>
      </c>
    </row>
    <row r="26" spans="1:1" ht="45" x14ac:dyDescent="0.25">
      <c r="A26" s="9" t="s">
        <v>296</v>
      </c>
    </row>
    <row r="27" spans="1:1" x14ac:dyDescent="0.25">
      <c r="A27" s="9"/>
    </row>
    <row r="28" spans="1:1" x14ac:dyDescent="0.25">
      <c r="A28" s="10" t="s">
        <v>297</v>
      </c>
    </row>
    <row r="29" spans="1:1" ht="45" x14ac:dyDescent="0.25">
      <c r="A29" s="9" t="s">
        <v>298</v>
      </c>
    </row>
    <row r="30" spans="1:1" ht="45" x14ac:dyDescent="0.25">
      <c r="A30" s="9" t="s">
        <v>299</v>
      </c>
    </row>
    <row r="31" spans="1:1" ht="30" x14ac:dyDescent="0.25">
      <c r="A31" s="9" t="s">
        <v>300</v>
      </c>
    </row>
    <row r="32" spans="1:1" x14ac:dyDescent="0.25">
      <c r="A32" s="9"/>
    </row>
    <row r="33" spans="1:1" x14ac:dyDescent="0.25">
      <c r="A33" s="10" t="s">
        <v>301</v>
      </c>
    </row>
    <row r="34" spans="1:1" ht="45" x14ac:dyDescent="0.25">
      <c r="A34" s="9" t="s">
        <v>302</v>
      </c>
    </row>
    <row r="35" spans="1:1" ht="30" x14ac:dyDescent="0.25">
      <c r="A35" s="9" t="s">
        <v>303</v>
      </c>
    </row>
    <row r="36" spans="1:1" x14ac:dyDescent="0.25">
      <c r="A36" s="9"/>
    </row>
    <row r="37" spans="1:1" x14ac:dyDescent="0.25">
      <c r="A37" s="9" t="s">
        <v>304</v>
      </c>
    </row>
    <row r="38" spans="1:1">
      <c r="A38" s="9"/>
    </row>
    <row r="39" spans="1:1">
      <c r="A39" s="10" t="inlineStr">
        <is>
          <t xml:space="preserve">Row colours by Claim Status</t>
        </is>
      </c>
    </row>
    <row r="40" spans="1:1" ht="45" customHeight="1">
      <c r="A40" s="9" t="inlineStr">
        <is>
          <t xml:space="preserve">Each claim row is shaded by its Claim Status (column A) using conditional formatting, so the colour follows the status automatically when it is changed. Rows with no Claim Status keep their normal formatting. The deadline countdown columns keep their own colour bands.</t>
        </is>
      </c>
    </row>
    <row r="41" spans="1:1">
      <c r="A41" s="9" t="inlineStr">
        <is>
          <t xml:space="preserve">    PAID - green</t>
        </is>
      </c>
    </row>
    <row r="42" spans="1:1">
      <c r="A42" s="9" t="inlineStr">
        <is>
          <t xml:space="preserve">    Finalized - blue</t>
        </is>
      </c>
    </row>
    <row r="43" spans="1:1">
      <c r="A43" s="9" t="inlineStr">
        <is>
          <t xml:space="preserve">    Received - lavender</t>
        </is>
      </c>
    </row>
    <row r="44" spans="1:1">
      <c r="A44" s="9" t="inlineStr">
        <is>
          <t xml:space="preserve">    Pending - yellow</t>
        </is>
      </c>
    </row>
    <row r="45" spans="1:1">
      <c r="A45" s="9" t="inlineStr">
        <is>
          <t xml:space="preserve">    Under Review - bright orange, bold (follow up on these)</t>
        </is>
      </c>
    </row>
    <row r="46" spans="1:1">
      <c r="A46" s="9" t="inlineStr">
        <is>
          <t xml:space="preserve">    Denied, not worked yet (Latest Date Worked empty) - red</t>
        </is>
      </c>
    </row>
    <row r="47" spans="1:1">
      <c r="A47" s="9" t="inlineStr">
        <is>
          <t xml:space="preserve">    Rejected - pink</t>
        </is>
      </c>
    </row>
    <row r="48" spans="1:1">
      <c r="A48" s="9" t="inlineStr">
        <is>
          <t xml:space="preserve">    Not found - grey</t>
        </is>
      </c>
    </row>
    <row r="49" spans="1:1">
      <c r="A49" s="9" t="inlineStr">
        <is>
          <t xml:space="preserve">    Denied, already worked (Latest Date Worked filled in) - light pink</t>
        </is>
      </c>
    </row>
    <row r="50" spans="1:1">
      <c r="A50" s="9" t="inlineStr">
        <is>
          <t xml:space="preserve">Any other status is left unshaded.</t>
        </is>
      </c>
    </row>
  </sheetData>
  <conditionalFormatting sqref="A41">
    <cfRule type="expression" dxfId="100" priority="1">
      <formula>TRUE</formula>
    </cfRule>
  </conditionalFormatting>
  <conditionalFormatting sqref="A42">
    <cfRule type="expression" dxfId="101" priority="2">
      <formula>TRUE</formula>
    </cfRule>
  </conditionalFormatting>
  <conditionalFormatting sqref="A43">
    <cfRule type="expression" dxfId="102" priority="3">
      <formula>TRUE</formula>
    </cfRule>
  </conditionalFormatting>
  <conditionalFormatting sqref="A44">
    <cfRule type="expression" dxfId="103" priority="4">
      <formula>TRUE</formula>
    </cfRule>
  </conditionalFormatting>
  <conditionalFormatting sqref="A45">
    <cfRule type="expression" dxfId="104" priority="5">
      <formula>TRUE</formula>
    </cfRule>
  </conditionalFormatting>
  <conditionalFormatting sqref="A46">
    <cfRule type="expression" dxfId="105" priority="6">
      <formula>TRUE</formula>
    </cfRule>
  </conditionalFormatting>
  <conditionalFormatting sqref="A47">
    <cfRule type="expression" dxfId="106" priority="7">
      <formula>TRUE</formula>
    </cfRule>
  </conditionalFormatting>
  <conditionalFormatting sqref="A48">
    <cfRule type="expression" dxfId="107" priority="8">
      <formula>TRUE</formula>
    </cfRule>
  </conditionalFormatting>
  <conditionalFormatting sqref="A49">
    <cfRule type="expression" dxfId="108" priority="9">
      <formula>TRUE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BH</vt:lpstr>
      <vt:lpstr>DME</vt:lpstr>
      <vt:lpstr>GAE</vt:lpstr>
      <vt:lpstr>ORTHO</vt:lpstr>
      <vt:lpstr>US</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2026-08-13T00:38:29Z</dcterms:created>
  <dcterms:modified xsi:type="dcterms:W3CDTF">2026-10-06T00:00:06Z</dcterms:modified>
  <cp:category/>
  <cp:contentStatus/>
</cp:coreProperties>
</file>