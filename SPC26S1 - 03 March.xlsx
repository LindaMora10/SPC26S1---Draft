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<sst xmlns="http://schemas.openxmlformats.org/spreadsheetml/2006/main" count="1480" uniqueCount="408">
  <si>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</si>
  <si>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</si>
  <si>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</si>
  <si>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</si>
  <si>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</si>
  <si>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</si>
  <si>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</si>
  <si>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</si>
  <si>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</si>
  <si>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</si>
  <si>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</si>
  <si>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</si>
  <si>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</si>
  <si>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</si>
  <si>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</si>
  <si>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</si>
  <si>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</si>
  <si>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</si>
  <si>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</si>
  <si>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</si>
  <si>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</si>
  <si>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</si>
  <si>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</si>
  <si>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</si>
  <si>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</si>
  <si>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</si>
  <si>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</si>
  <si>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</si>
  <si>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</si>
  <si>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</si>
  <si>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</si>
  <si>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</si>
  <si>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</si>
  <si>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</si>
  <si>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</si>
  <si>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</si>
  <si>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</si>
  <si>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</si>
  <si>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</si>
  <si>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</si>
  <si>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</si>
  <si>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</si>
  <si>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</si>
  <si>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</si>
  <si>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</si>
  <si>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</si>
  <si>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</si>
  <si>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</si>
  <si>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</si>
  <si>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</si>
  <si>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</si>
  <si>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</si>
  <si>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</si>
  <si>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</si>
  <si>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</si>
  <si>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</si>
  <si>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</si>
  <si>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</si>
  <si>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</si>
  <si>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</si>
  <si>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</si>
  <si>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</si>
  <si>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</si>
  <si>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</si>
  <si>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</si>
  <si>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</si>
  <si>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</si>
  <si>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</si>
  <si>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</si>
  <si>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</si>
  <si>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</si>
  <si>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</si>
  <si>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</si>
  <si>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</si>
  <si>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</si>
  <si>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</si>
  <si>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</si>
  <si>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</si>
  <si>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</si>
  <si>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</si>
  <si>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</si>
  <si>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</si>
  <si>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</si>
  <si>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</si>
  <si>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</si>
  <si>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</si>
  <si>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</si>
  <si>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</si>
  <si>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</si>
  <si>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</si>
  <si>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</si>
  <si>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</si>
  <si>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</si>
  <si>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</si>
  <si>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</si>
  <si>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</si>
  <si>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</si>
  <si>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</si>
  <si>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</si>
  <si>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</si>
  <si>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</si>
  <si>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</si>
  <si>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</si>
  <si>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</si>
  <si>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</si>
  <si>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</si>
  <si>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</si>
  <si>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</si>
  <si>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</si>
  <si>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</si>
  <si>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</si>
  <si>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</si>
  <si>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</si>
  <si>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</si>
  <si>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</si>
  <si>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</si>
  <si>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</si>
  <si>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</si>
  <si>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</si>
  <si>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</si>
  <si>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</si>
  <si>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</si>
  <si>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</si>
  <si>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</si>
  <si>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</si>
  <si>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</si>
  <si>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</si>
  <si>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</si>
  <si>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</si>
  <si>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</si>
  <si>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</si>
  <si>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</si>
  <si>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</si>
  <si>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</si>
  <si>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</si>
  <si>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</si>
  <si>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</si>
  <si>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</si>
  <si>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</si>
  <si>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</si>
  <si>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</si>
  <si>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</si>
  <si>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</si>
  <si>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</si>
  <si>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</si>
  <si>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</si>
  <si>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</si>
  <si>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</si>
  <si>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</si>
  <si>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</si>
  <si>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</si>
  <si>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</si>
  <si>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</si>
  <si>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</si>
  <si>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</si>
  <si>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</si>
  <si>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</si>
  <si>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</si>
  <si>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</si>
  <si>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</si>
  <si>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</si>
  <si>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</si>
  <si>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</si>
  <si>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</si>
  <si>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</si>
  <si>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</si>
  <si>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</si>
  <si>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</si>
  <si>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</si>
  <si>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</si>
  <si>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</si>
  <si>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</si>
  <si>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</si>
  <si>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</si>
  <si>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</si>
  <si>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</si>
  <si>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</si>
  <si>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</si>
  <si>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</si>
  <si>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</si>
  <si>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</si>
  <si>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</si>
  <si>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</si>
  <si>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</si>
  <si>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</si>
  <si>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</si>
  <si>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</si>
  <si>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</si>
  <si>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</si>
  <si>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</si>
  <si>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</si>
  <si>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</si>
  <si>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</si>
  <si>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</si>
  <si>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</si>
  <si>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</si>
  <si>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</si>
  <si>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</si>
  <si>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</si>
  <si>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</si>
  <si>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</si>
  <si>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</si>
  <si>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</si>
  <si>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</si>
  <si>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</si>
  <si>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</si>
  <si>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</si>
  <si>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</si>
  <si>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</si>
  <si>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</si>
  <si>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</si>
  <si>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</si>
  <si>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</si>
  <si>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</si>
  <si>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</si>
  <si>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</si>
  <si>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</si>
  <si>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</si>
  <si>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</si>
  <si>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</si>
  <si>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</si>
  <si>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</si>
  <si>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</si>
  <si>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</si>
  <si>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</si>
  <si>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</si>
  <si>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</si>
  <si>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</si>
  <si>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</si>
  <si>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</si>
  <si>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</si>
  <si>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</si>
  <si>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</si>
  <si>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</si>
  <si>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</si>
  <si>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</si>
  <si>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</si>
  <si>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</si>
  <si>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</si>
  <si>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</si>
  <si>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</si>
  <si>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</si>
  <si>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</si>
  <si>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</si>
  <si>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</si>
  <si>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</si>
  <si>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</si>
  <si>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</si>
  <si>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</si>
  <si>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</si>
  <si>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</si>
  <si>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</si>
  <si>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</si>
  <si>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</si>
  <si>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</si>
  <si>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</si>
  <si>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</si>
  <si>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</si>
  <si>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</si>
  <si>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</si>
  <si>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</si>
  <si>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</si>
  <si>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</si>
  <si>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</si>
  <si>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</si>
  <si>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</si>
  <si>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</si>
  <si>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</si>
  <si>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</si>
  <si>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</si>
  <si>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</si>
  <si>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</si>
  <si>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</si>
  <si>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</si>
  <si>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</si>
  <si>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</si>
  <si>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</si>
  <si>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</si>
  <si>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</si>
  <si>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</si>
  <si>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</si>
  <si>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</si>
  <si>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</si>
  <si>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</si>
  <si>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</si>
  <si>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</si>
  <si>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</si>
  <si>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</si>
  <si>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</si>
  <si>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</si>
  <si>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</si>
  <si>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</si>
  <si>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</si>
  <si>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</si>
  <si>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</si>
  <si>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</si>
  <si>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</si>
  <si>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</si>
  <si>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</si>
  <si>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</si>
  <si>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</si>
  <si>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</si>
  <si>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</si>
  <si>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</si>
  <si>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</si>
  <si>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</si>
  <si>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</si>
  <si>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</si>
  <si>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</si>
  <si>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</si>
  <si>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</si>
  <si>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</si>
  <si>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</si>
  <si>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</si>
  <si>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</si>
  <si>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</si>
  <si>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</si>
  <si>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</si>
  <si>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</si>
  <si>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</si>
  <si>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</si>
  <si>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</si>
  <si>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</si>
  <si>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</si>
  <si>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</si>
  <si>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</si>
  <si>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</si>
  <si>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</si>
  <si>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</si>
  <si>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</si>
  <si>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</si>
  <si>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</si>
  <si>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</si>
  <si>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</si>
  <si>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</si>
  <si>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</si>
  <si>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</si>
  <si>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</si>
  <si>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</si>
  <si>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</si>
  <si>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</si>
  <si>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</si>
  <si>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</si>
  <si>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</si>
  <si>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</si>
  <si>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</si>
  <si>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</si>
  <si>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</si>
  <si>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</si>
  <si>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</si>
  <si>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</si>
  <si>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</si>
  <si>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</si>
  <si>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</si>
  <si>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</si>
  <si>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</si>
  <si>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</si>
  <si>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</si>
  <si>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</si>
  <si>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</si>
  <si>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</si>
  <si>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</si>
  <si>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</si>
  <si>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</si>
  <si>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</si>
  <si>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</si>
  <si>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</si>
  <si>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</si>
  <si>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</si>
  <si>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</si>
  <si>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</si>
  <si>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</si>
  <si>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</si>
  <si>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</si>
  <si>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</si>
  <si>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</si>
  <si>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</si>
  <si>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</si>
  <si>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</si>
  <si>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</si>
  <si>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</si>
  <si>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</si>
  <si>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</si>
  <si>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</si>
  <si>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</si>
  <si>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</si>
  <si>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</si>
  <si>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</si>
  <si>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</si>
  <si>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</si>
  <si>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</si>
  <si>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</si>
  <si>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</si>
  <si>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</si>
  <si>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66 claims with a date of service in 2026-03 March, split into one sheet per specialty: BH, DME, GAE, ORTHO, US.</t>
  </si>
  <si>
    <t>Every specialty sheet is sorted in three groups: claims with an empty Latest Date Worked (column K) at the top, then the other open claims, and Finalized and PAID claims at the bottom (a Finalized or PAID claim goes to the bottom even when its Latest Date Worked is empty).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</si>
  <si>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</si>
  <si>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3 - Due in 31+ days: 23</t>
  </si>
  <si>
    <t xml:space="preserve">    5 - No limit on file: 3</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</si>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</sst>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342</v>
      </c>
      <c r="C6" s="3">
        <v>46249</v>
      </c>
      <c r="D6" s="4">
        <v>557717115</v>
      </c>
      <c r="E6" s="5" t="s">
        <v>161</v>
      </c>
      <c r="F6" s="6">
        <v>46097</v>
      </c>
      <c r="G6" s="5" t="s">
        <v>147</v>
      </c>
      <c r="H6" s="5" t="s">
        <v>147</v>
      </c>
      <c r="I6" s="5" t="s">
        <v>162</v>
      </c>
      <c r="J6" s="5" t="s">
        <v>163</v>
      </c>
      <c r="K6" s="3">
        <v>46261</v>
      </c>
      <c r="L6" s="12">
        <f ca="1">IF($O6="","",$O6-TODAY())</f>
        <v>162</v>
      </c>
      <c r="M6" s="12">
        <f ca="1">IF($C6="","",$C6+365-TODAY())</f>
        <v>314</v>
      </c>
      <c r="N6" s="12">
        <f ca="1">IF($C6="","",$C6+120-TODAY())</f>
        <v>69</v>
      </c>
      <c r="O6" s="6">
        <v>46462</v>
      </c>
      <c r="P6" s="5" t="s">
        <v>57</v>
      </c>
      <c r="Q6" s="5" t="s">
        <v>66</v>
      </c>
      <c r="R6" s="5" t="s">
        <v>57</v>
      </c>
      <c r="S6" s="5" t="s">
        <v>47</v>
      </c>
      <c r="T6" s="5" t="s">
        <v>67</v>
      </c>
      <c r="U6" s="5" t="s">
        <v>47</v>
      </c>
      <c r="V6" s="5" t="s">
        <v>164</v>
      </c>
      <c r="W6" s="5"/>
      <c r="X6" s="5"/>
      <c r="Y6" s="5" t="s">
        <v>165</v>
      </c>
      <c r="Z6" s="7">
        <v>18176.900000000001</v>
      </c>
      <c r="AA6" s="7">
        <v>0</v>
      </c>
      <c r="AB6" s="7">
        <v>542.44000000000005</v>
      </c>
      <c r="AC6" s="6">
        <v>46165</v>
      </c>
      <c r="AD6" s="7">
        <v>17634.46</v>
      </c>
      <c r="AE6" s="4">
        <v>145</v>
      </c>
      <c r="AF6" s="5" t="s">
        <v>166</v>
      </c>
      <c r="AG6" s="5" t="s">
        <v>167</v>
      </c>
      <c r="AH6" s="5"/>
      <c r="AI6" s="5"/>
      <c r="AJ6" s="4"/>
      <c r="AK6" s="5" t="s">
        <v>168</v>
      </c>
      <c r="AL6" s="5" t="s">
        <v>153</v>
      </c>
      <c r="AM6" s="6">
        <v>46115</v>
      </c>
      <c r="AN6" s="5" t="s">
        <v>154</v>
      </c>
    </row>
    <row r="7" spans="1:40" x14ac:dyDescent="0.25">
      <c r="A7" s="2" t="s">
        <v>61</v>
      </c>
      <c r="B7" s="2" t="s">
        <v>403</v>
      </c>
      <c r="C7" s="3">
        <v>46156</v>
      </c>
      <c r="D7" s="4">
        <v>556757813</v>
      </c>
      <c r="E7" s="5" t="s">
        <v>173</v>
      </c>
      <c r="F7" s="6">
        <v>46104</v>
      </c>
      <c r="G7" s="5" t="s">
        <v>174</v>
      </c>
      <c r="H7" s="5" t="s">
        <v>174</v>
      </c>
      <c r="I7" s="5" t="s">
        <v>77</v>
      </c>
      <c r="J7" s="5" t="s">
        <v>175</v>
      </c>
      <c r="K7" s="3">
        <v>46300</v>
      </c>
      <c r="L7" s="12">
        <f ca="1">IF($O7="","",$O7-TODAY())</f>
        <v>169</v>
      </c>
      <c r="M7" s="12">
        <f ca="1">IF($C7="","",$C7+365-TODAY())</f>
        <v>221</v>
      </c>
      <c r="N7" s="12">
        <f ca="1">IF($C7="","",$C7+120-TODAY())</f>
        <v>-24</v>
      </c>
      <c r="O7" s="6">
        <v>46469</v>
      </c>
      <c r="P7" s="5" t="s">
        <v>57</v>
      </c>
      <c r="Q7" s="5" t="s">
        <v>66</v>
      </c>
      <c r="R7" s="5" t="s">
        <v>57</v>
      </c>
      <c r="S7" s="5" t="s">
        <v>47</v>
      </c>
      <c r="T7" s="5" t="s">
        <v>67</v>
      </c>
      <c r="U7" s="5" t="s">
        <v>47</v>
      </c>
      <c r="V7" s="5" t="s">
        <v>176</v>
      </c>
      <c r="W7" s="5"/>
      <c r="X7" s="5"/>
      <c r="Y7" s="5" t="s">
        <v>177</v>
      </c>
      <c r="Z7" s="7">
        <v>36353.800000000003</v>
      </c>
      <c r="AA7" s="7">
        <v>0</v>
      </c>
      <c r="AB7" s="7">
        <v>0</v>
      </c>
      <c r="AC7" s="6">
        <v>46156</v>
      </c>
      <c r="AD7" s="7">
        <v>36353.800000000003</v>
      </c>
      <c r="AE7" s="4">
        <v>138</v>
      </c>
      <c r="AF7" s="5" t="s">
        <v>166</v>
      </c>
      <c r="AG7" s="5" t="s">
        <v>159</v>
      </c>
      <c r="AH7" s="5"/>
      <c r="AI7" s="5"/>
      <c r="AJ7" s="4"/>
      <c r="AK7" s="5" t="s">
        <v>87</v>
      </c>
      <c r="AL7" s="5" t="s">
        <v>178</v>
      </c>
      <c r="AM7" s="6">
        <v>46133</v>
      </c>
      <c r="AN7" s="5" t="s">
        <v>154</v>
      </c>
    </row>
    <row r="8" spans="1:40" x14ac:dyDescent="0.25">
      <c r="A8" s="2" t="s">
        <v>61</v>
      </c>
      <c r="B8" s="2" t="s">
        <v>342</v>
      </c>
      <c r="C8" s="3">
        <v>46249</v>
      </c>
      <c r="D8" s="4">
        <v>556761529</v>
      </c>
      <c r="E8" s="5" t="s">
        <v>179</v>
      </c>
      <c r="F8" s="6">
        <v>46111</v>
      </c>
      <c r="G8" s="5" t="s">
        <v>147</v>
      </c>
      <c r="H8" s="5" t="s">
        <v>147</v>
      </c>
      <c r="I8" s="5" t="s">
        <v>70</v>
      </c>
      <c r="J8" s="5" t="s">
        <v>180</v>
      </c>
      <c r="K8" s="3">
        <v>46261</v>
      </c>
      <c r="L8" s="12">
        <f ca="1">IF($O8="","",$O8-TODAY())</f>
        <v>176</v>
      </c>
      <c r="M8" s="12">
        <f ca="1">IF($C8="","",$C8+365-TODAY())</f>
        <v>314</v>
      </c>
      <c r="N8" s="12">
        <f ca="1">IF($C8="","",$C8+120-TODAY())</f>
        <v>69</v>
      </c>
      <c r="O8" s="6">
        <v>46476</v>
      </c>
      <c r="P8" s="5" t="s">
        <v>57</v>
      </c>
      <c r="Q8" s="5" t="s">
        <v>66</v>
      </c>
      <c r="R8" s="5" t="s">
        <v>57</v>
      </c>
      <c r="S8" s="5" t="s">
        <v>47</v>
      </c>
      <c r="T8" s="5" t="s">
        <v>67</v>
      </c>
      <c r="U8" s="5" t="s">
        <v>47</v>
      </c>
      <c r="V8" s="5" t="s">
        <v>176</v>
      </c>
      <c r="W8" s="5"/>
      <c r="X8" s="5"/>
      <c r="Y8" s="5" t="s">
        <v>165</v>
      </c>
      <c r="Z8" s="7">
        <v>18176.900000000001</v>
      </c>
      <c r="AA8" s="7">
        <v>0</v>
      </c>
      <c r="AB8" s="7">
        <v>542.44000000000005</v>
      </c>
      <c r="AC8" s="6">
        <v>46154</v>
      </c>
      <c r="AD8" s="7">
        <v>17634.46</v>
      </c>
      <c r="AE8" s="4">
        <v>131</v>
      </c>
      <c r="AF8" s="5" t="s">
        <v>166</v>
      </c>
      <c r="AG8" s="5" t="s">
        <v>159</v>
      </c>
      <c r="AH8" s="5"/>
      <c r="AI8" s="5"/>
      <c r="AJ8" s="4"/>
      <c r="AK8" s="5" t="s">
        <v>168</v>
      </c>
      <c r="AL8" s="5" t="s">
        <v>153</v>
      </c>
      <c r="AM8" s="6">
        <v>46133</v>
      </c>
      <c r="AN8" s="5" t="s">
        <v>154</v>
      </c>
    </row>
    <row r="9" spans="1:40" x14ac:dyDescent="0.25">
      <c r="A9" s="2" t="s">
        <v>61</v>
      </c>
      <c r="B9" s="2" t="s">
        <v>404</v>
      </c>
      <c r="C9" s="3">
        <v>46121</v>
      </c>
      <c r="D9" s="4">
        <v>554941943</v>
      </c>
      <c r="E9" s="5" t="s">
        <v>181</v>
      </c>
      <c r="F9" s="6">
        <v>46112</v>
      </c>
      <c r="G9" s="5" t="s">
        <v>147</v>
      </c>
      <c r="H9" s="5" t="s">
        <v>147</v>
      </c>
      <c r="I9" s="5" t="s">
        <v>182</v>
      </c>
      <c r="J9" s="5" t="s">
        <v>157</v>
      </c>
      <c r="K9" s="3">
        <v>46300</v>
      </c>
      <c r="L9" s="12">
        <f ca="1">IF($O9="","",$O9-TODAY())</f>
        <v>177</v>
      </c>
      <c r="M9" s="12">
        <f ca="1">IF($C9="","",$C9+365-TODAY())</f>
        <v>186</v>
      </c>
      <c r="N9" s="12">
        <f ca="1">IF($C9="","",$C9+120-TODAY())</f>
        <v>-59</v>
      </c>
      <c r="O9" s="6">
        <v>46477</v>
      </c>
      <c r="P9" s="5" t="s">
        <v>57</v>
      </c>
      <c r="Q9" s="5" t="s">
        <v>66</v>
      </c>
      <c r="R9" s="5" t="s">
        <v>57</v>
      </c>
      <c r="S9" s="5" t="s">
        <v>47</v>
      </c>
      <c r="T9" s="5" t="s">
        <v>67</v>
      </c>
      <c r="U9" s="5" t="s">
        <v>47</v>
      </c>
      <c r="V9" s="5" t="s">
        <v>150</v>
      </c>
      <c r="W9" s="5"/>
      <c r="X9" s="5"/>
      <c r="Y9" s="5" t="s">
        <v>48</v>
      </c>
      <c r="Z9" s="7">
        <v>6392.96</v>
      </c>
      <c r="AA9" s="7">
        <v>0</v>
      </c>
      <c r="AB9" s="7">
        <v>0</v>
      </c>
      <c r="AC9" s="6">
        <v>46121</v>
      </c>
      <c r="AD9" s="7">
        <v>6392.96</v>
      </c>
      <c r="AE9" s="4">
        <v>130</v>
      </c>
      <c r="AF9" s="5" t="s">
        <v>166</v>
      </c>
      <c r="AG9" s="5" t="s">
        <v>183</v>
      </c>
      <c r="AH9" s="5" t="s">
        <v>184</v>
      </c>
      <c r="AI9" s="5"/>
      <c r="AJ9" s="4"/>
      <c r="AK9" s="5" t="s">
        <v>152</v>
      </c>
      <c r="AL9" s="5" t="s">
        <v>185</v>
      </c>
      <c r="AM9" s="6">
        <v>46118</v>
      </c>
      <c r="AN9" s="5" t="s">
        <v>154</v>
      </c>
    </row>
    <row r="10" spans="1:40" x14ac:dyDescent="0.25">
      <c r="A10" s="2" t="s">
        <v>61</v>
      </c>
      <c r="B10" s="2" t="s">
        <v>341</v>
      </c>
      <c r="C10" s="3">
        <v>46129</v>
      </c>
      <c r="D10" s="4">
        <v>555728365</v>
      </c>
      <c r="E10" s="5" t="s">
        <v>186</v>
      </c>
      <c r="F10" s="6">
        <v>46092</v>
      </c>
      <c r="G10" s="5" t="s">
        <v>101</v>
      </c>
      <c r="H10" s="5" t="s">
        <v>101</v>
      </c>
      <c r="I10" s="5" t="s">
        <v>42</v>
      </c>
      <c r="J10" s="5" t="s">
        <v>187</v>
      </c>
      <c r="K10" s="3">
        <v>46257</v>
      </c>
      <c r="L10" s="12">
        <f ca="1">IF($O10="","",$O10-TODAY())</f>
        <v>-118</v>
      </c>
      <c r="M10" s="12">
        <f ca="1">IF($C10="","",$C10+365-TODAY())</f>
        <v>194</v>
      </c>
      <c r="N10" s="12">
        <f ca="1">IF($C10="","",$C10+365-TODAY())</f>
        <v>194</v>
      </c>
      <c r="O10" s="6">
        <v>46182</v>
      </c>
      <c r="P10" s="5" t="s">
        <v>97</v>
      </c>
      <c r="Q10" s="5" t="s">
        <v>102</v>
      </c>
      <c r="R10" s="5" t="s">
        <v>57</v>
      </c>
      <c r="S10" s="5" t="s">
        <v>47</v>
      </c>
      <c r="T10" s="5" t="s">
        <v>57</v>
      </c>
      <c r="U10" s="5" t="s">
        <v>47</v>
      </c>
      <c r="V10" s="5" t="s">
        <v>188</v>
      </c>
      <c r="W10" s="5"/>
      <c r="X10" s="5"/>
      <c r="Y10" s="5" t="s">
        <v>48</v>
      </c>
      <c r="Z10" s="7">
        <v>6392.96</v>
      </c>
      <c r="AA10" s="7">
        <v>0</v>
      </c>
      <c r="AB10" s="7">
        <v>0</v>
      </c>
      <c r="AC10" s="6"/>
      <c r="AD10" s="7">
        <v>6392.96</v>
      </c>
      <c r="AE10" s="4">
        <v>150</v>
      </c>
      <c r="AF10" s="5" t="s">
        <v>158</v>
      </c>
      <c r="AG10" s="5" t="s">
        <v>189</v>
      </c>
      <c r="AH10" s="5"/>
      <c r="AI10" s="5"/>
      <c r="AJ10" s="4"/>
      <c r="AK10" s="5" t="s">
        <v>80</v>
      </c>
      <c r="AL10" s="5" t="s">
        <v>73</v>
      </c>
      <c r="AM10" s="6">
        <v>46125</v>
      </c>
      <c r="AN10" s="5" t="s">
        <v>154</v>
      </c>
    </row>
    <row r="11" spans="1:40" x14ac:dyDescent="0.25">
      <c r="A11" s="2" t="s">
        <v>61</v>
      </c>
      <c r="B11" s="2" t="s">
        <v>340</v>
      </c>
      <c r="C11" s="3">
        <v>46227</v>
      </c>
      <c r="D11" s="4">
        <v>552871981</v>
      </c>
      <c r="E11" s="5" t="s">
        <v>190</v>
      </c>
      <c r="F11" s="6">
        <v>46097</v>
      </c>
      <c r="G11" s="5" t="s">
        <v>101</v>
      </c>
      <c r="H11" s="5" t="s">
        <v>101</v>
      </c>
      <c r="I11" s="5" t="s">
        <v>42</v>
      </c>
      <c r="J11" s="5" t="s">
        <v>191</v>
      </c>
      <c r="K11" s="3">
        <v>46245</v>
      </c>
      <c r="L11" s="12">
        <f ca="1">IF($O11="","",$O11-TODAY())</f>
        <v>-113</v>
      </c>
      <c r="M11" s="12">
        <f ca="1">IF($C11="","",$C11+365-TODAY())</f>
        <v>292</v>
      </c>
      <c r="N11" s="12">
        <f ca="1">IF($C11="","",$C11+365-TODAY())</f>
        <v>292</v>
      </c>
      <c r="O11" s="6">
        <v>46187</v>
      </c>
      <c r="P11" s="5" t="s">
        <v>97</v>
      </c>
      <c r="Q11" s="5" t="s">
        <v>102</v>
      </c>
      <c r="R11" s="5" t="s">
        <v>57</v>
      </c>
      <c r="S11" s="5" t="s">
        <v>47</v>
      </c>
      <c r="T11" s="5" t="s">
        <v>57</v>
      </c>
      <c r="U11" s="5" t="s">
        <v>47</v>
      </c>
      <c r="V11" s="5" t="s">
        <v>176</v>
      </c>
      <c r="W11" s="5"/>
      <c r="X11" s="5"/>
      <c r="Y11" s="5" t="s">
        <v>177</v>
      </c>
      <c r="Z11" s="7">
        <v>5916.4</v>
      </c>
      <c r="AA11" s="7">
        <v>0</v>
      </c>
      <c r="AB11" s="7">
        <v>0</v>
      </c>
      <c r="AC11" s="6"/>
      <c r="AD11" s="7">
        <v>5916.4</v>
      </c>
      <c r="AE11" s="4">
        <v>145</v>
      </c>
      <c r="AF11" s="5" t="s">
        <v>192</v>
      </c>
      <c r="AG11" s="5" t="s">
        <v>193</v>
      </c>
      <c r="AH11" s="5" t="s">
        <v>194</v>
      </c>
      <c r="AI11" s="5"/>
      <c r="AJ11" s="4"/>
      <c r="AK11" s="5" t="s">
        <v>195</v>
      </c>
      <c r="AL11" s="5" t="s">
        <v>73</v>
      </c>
      <c r="AM11" s="6">
        <v>46217</v>
      </c>
      <c r="AN11" s="5" t="s">
        <v>154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200</v>
      </c>
      <c r="B3" s="2" t="s">
        <v>374</v>
      </c>
      <c r="C3" s="3">
        <v>46107</v>
      </c>
      <c r="D3" s="4">
        <v>553613990</v>
      </c>
      <c r="E3" s="5" t="s">
        <v>223</v>
      </c>
      <c r="F3" s="6">
        <v>46083</v>
      </c>
      <c r="G3" s="5" t="s">
        <v>64</v>
      </c>
      <c r="H3" s="5" t="s">
        <v>64</v>
      </c>
      <c r="I3" s="5" t="s">
        <v>77</v>
      </c>
      <c r="J3" s="5" t="s">
        <v>224</v>
      </c>
      <c r="K3" s="3">
        <v>46279</v>
      </c>
      <c r="L3" s="12">
        <f ca="1">IF($O3="","",$O3-TODAY())</f>
        <v>148</v>
      </c>
      <c r="M3" s="12">
        <f ca="1">IF($C3="","",$C3+365-TODAY())</f>
        <v>172</v>
      </c>
      <c r="N3" s="12">
        <f ca="1">IF($C3="","",$C3+120-TODAY())</f>
        <v>-73</v>
      </c>
      <c r="O3" s="6">
        <v>46448</v>
      </c>
      <c r="P3" s="5" t="s">
        <v>57</v>
      </c>
      <c r="Q3" s="5" t="s">
        <v>66</v>
      </c>
      <c r="R3" s="5" t="s">
        <v>57</v>
      </c>
      <c r="S3" s="5" t="s">
        <v>47</v>
      </c>
      <c r="T3" s="5" t="s">
        <v>67</v>
      </c>
      <c r="U3" s="5" t="s">
        <v>47</v>
      </c>
      <c r="V3" s="5"/>
      <c r="W3" s="5"/>
      <c r="X3" s="5"/>
      <c r="Y3" s="5" t="s">
        <v>48</v>
      </c>
      <c r="Z3" s="7">
        <v>5784.24</v>
      </c>
      <c r="AA3" s="7">
        <v>0</v>
      </c>
      <c r="AB3" s="7">
        <v>0</v>
      </c>
      <c r="AC3" s="6">
        <v>46107</v>
      </c>
      <c r="AD3" s="7">
        <v>5784.24</v>
      </c>
      <c r="AE3" s="4">
        <v>159</v>
      </c>
      <c r="AF3" s="5" t="s">
        <v>167</v>
      </c>
      <c r="AG3" s="5" t="s">
        <v>158</v>
      </c>
      <c r="AH3" s="5"/>
      <c r="AI3" s="5"/>
      <c r="AJ3" s="4"/>
      <c r="AK3" s="5" t="s">
        <v>225</v>
      </c>
      <c r="AL3" s="5" t="s">
        <v>211</v>
      </c>
      <c r="AM3" s="6">
        <v>46105</v>
      </c>
      <c r="AN3" s="5" t="s">
        <v>226</v>
      </c>
    </row>
    <row r="4" spans="1:40" x14ac:dyDescent="0.25">
      <c r="A4" s="2" t="s">
        <v>200</v>
      </c>
      <c r="B4" s="13" t="s">
        <v>376</v>
      </c>
      <c r="C4" s="3">
        <v>46203</v>
      </c>
      <c r="D4" s="4">
        <v>552282896</v>
      </c>
      <c r="E4" s="5" t="s">
        <v>227</v>
      </c>
      <c r="F4" s="6">
        <v>46085</v>
      </c>
      <c r="G4" s="5" t="s">
        <v>64</v>
      </c>
      <c r="H4" s="5" t="s">
        <v>64</v>
      </c>
      <c r="I4" s="5" t="s">
        <v>70</v>
      </c>
      <c r="J4" s="5" t="s">
        <v>228</v>
      </c>
      <c r="K4" s="3">
        <v>46279</v>
      </c>
      <c r="L4" s="12">
        <f ca="1">IF($O4="","",$O4-TODAY())</f>
        <v>150</v>
      </c>
      <c r="M4" s="12">
        <f ca="1">IF($C4="","",$C4+365-TODAY())</f>
        <v>268</v>
      </c>
      <c r="N4" s="12">
        <f ca="1">IF($C4="","",$C4+120-TODAY())</f>
        <v>23</v>
      </c>
      <c r="O4" s="6">
        <v>46450</v>
      </c>
      <c r="P4" s="5" t="s">
        <v>57</v>
      </c>
      <c r="Q4" s="5" t="s">
        <v>66</v>
      </c>
      <c r="R4" s="5" t="s">
        <v>57</v>
      </c>
      <c r="S4" s="5" t="s">
        <v>47</v>
      </c>
      <c r="T4" s="5" t="s">
        <v>67</v>
      </c>
      <c r="U4" s="5" t="s">
        <v>47</v>
      </c>
      <c r="V4" s="5"/>
      <c r="W4" s="5"/>
      <c r="X4" s="5"/>
      <c r="Y4" s="5" t="s">
        <v>48</v>
      </c>
      <c r="Z4" s="7">
        <v>9056.39</v>
      </c>
      <c r="AA4" s="7">
        <v>0</v>
      </c>
      <c r="AB4" s="7">
        <v>0</v>
      </c>
      <c r="AC4" s="6">
        <v>46203</v>
      </c>
      <c r="AD4" s="7">
        <v>9056.39</v>
      </c>
      <c r="AE4" s="4">
        <v>157</v>
      </c>
      <c r="AF4" s="5" t="s">
        <v>229</v>
      </c>
      <c r="AG4" s="5" t="s">
        <v>230</v>
      </c>
      <c r="AH4" s="5" t="s">
        <v>231</v>
      </c>
      <c r="AI4" s="5" t="s">
        <v>232</v>
      </c>
      <c r="AJ4" s="4"/>
      <c r="AK4" s="5" t="s">
        <v>233</v>
      </c>
      <c r="AL4" s="5" t="s">
        <v>211</v>
      </c>
      <c r="AM4" s="6">
        <v>46197</v>
      </c>
      <c r="AN4" s="5" t="s">
        <v>226</v>
      </c>
    </row>
    <row r="5" spans="1:40" x14ac:dyDescent="0.25">
      <c r="A5" s="2" t="s">
        <v>354</v>
      </c>
      <c r="B5" s="2" t="s">
        <v>375</v>
      </c>
      <c r="C5" s="3">
        <v>46108</v>
      </c>
      <c r="D5" s="4">
        <v>553223068</v>
      </c>
      <c r="E5" s="5" t="s">
        <v>235</v>
      </c>
      <c r="F5" s="6">
        <v>46099</v>
      </c>
      <c r="G5" s="5" t="s">
        <v>64</v>
      </c>
      <c r="H5" s="5" t="s">
        <v>64</v>
      </c>
      <c r="I5" s="5" t="s">
        <v>70</v>
      </c>
      <c r="J5" s="5" t="s">
        <v>234</v>
      </c>
      <c r="K5" s="3">
        <v>46266</v>
      </c>
      <c r="L5" s="12">
        <f ca="1">IF($O5="","",$O5-TODAY())</f>
        <v>164</v>
      </c>
      <c r="M5" s="12">
        <f ca="1">IF($C5="","",$C5+365-TODAY())</f>
        <v>173</v>
      </c>
      <c r="N5" s="12">
        <f ca="1">IF($C5="","",$C5+120-TODAY())</f>
        <v>-72</v>
      </c>
      <c r="O5" s="6">
        <v>46464</v>
      </c>
      <c r="P5" s="5" t="s">
        <v>57</v>
      </c>
      <c r="Q5" s="5" t="s">
        <v>66</v>
      </c>
      <c r="R5" s="5" t="s">
        <v>57</v>
      </c>
      <c r="S5" s="5" t="s">
        <v>47</v>
      </c>
      <c r="T5" s="5" t="s">
        <v>67</v>
      </c>
      <c r="U5" s="5" t="s">
        <v>47</v>
      </c>
      <c r="V5" s="5"/>
      <c r="W5" s="5"/>
      <c r="X5" s="5"/>
      <c r="Y5" s="5" t="s">
        <v>48</v>
      </c>
      <c r="Z5" s="7">
        <v>2493.33</v>
      </c>
      <c r="AA5" s="7">
        <v>0</v>
      </c>
      <c r="AB5" s="7">
        <v>0</v>
      </c>
      <c r="AC5" s="6">
        <v>46108</v>
      </c>
      <c r="AD5" s="7">
        <v>2493.33</v>
      </c>
      <c r="AE5" s="4">
        <v>143</v>
      </c>
      <c r="AF5" s="5" t="s">
        <v>236</v>
      </c>
      <c r="AG5" s="5" t="s">
        <v>237</v>
      </c>
      <c r="AH5" s="5"/>
      <c r="AI5" s="5"/>
      <c r="AJ5" s="4"/>
      <c r="AK5" s="5" t="s">
        <v>238</v>
      </c>
      <c r="AL5" s="5" t="s">
        <v>239</v>
      </c>
      <c r="AM5" s="6">
        <v>46101</v>
      </c>
      <c r="AN5" s="5" t="s">
        <v>226</v>
      </c>
    </row>
    <row r="6" spans="1:40" x14ac:dyDescent="0.25">
      <c r="A6" s="2" t="s">
        <v>200</v>
      </c>
      <c r="B6" s="2" t="s">
        <v>377</v>
      </c>
      <c r="C6" s="3">
        <v>46203</v>
      </c>
      <c r="D6" s="4">
        <v>555372244</v>
      </c>
      <c r="E6" s="5" t="s">
        <v>240</v>
      </c>
      <c r="F6" s="6">
        <v>46104</v>
      </c>
      <c r="G6" s="5" t="s">
        <v>64</v>
      </c>
      <c r="H6" s="5" t="s">
        <v>64</v>
      </c>
      <c r="I6" s="5" t="s">
        <v>70</v>
      </c>
      <c r="J6" s="5" t="s">
        <v>241</v>
      </c>
      <c r="K6" s="3">
        <v>46279</v>
      </c>
      <c r="L6" s="12">
        <f ca="1">IF($O6="","",$O6-TODAY())</f>
        <v>169</v>
      </c>
      <c r="M6" s="12">
        <f ca="1">IF($C6="","",$C6+365-TODAY())</f>
        <v>268</v>
      </c>
      <c r="N6" s="12">
        <f ca="1">IF($C6="","",$C6+120-TODAY())</f>
        <v>23</v>
      </c>
      <c r="O6" s="6">
        <v>46469</v>
      </c>
      <c r="P6" s="5" t="s">
        <v>57</v>
      </c>
      <c r="Q6" s="5" t="s">
        <v>66</v>
      </c>
      <c r="R6" s="5" t="s">
        <v>57</v>
      </c>
      <c r="S6" s="5" t="s">
        <v>47</v>
      </c>
      <c r="T6" s="5" t="s">
        <v>67</v>
      </c>
      <c r="U6" s="5" t="s">
        <v>47</v>
      </c>
      <c r="V6" s="5" t="s">
        <v>242</v>
      </c>
      <c r="W6" s="5"/>
      <c r="X6" s="5"/>
      <c r="Y6" s="5" t="s">
        <v>48</v>
      </c>
      <c r="Z6" s="7">
        <v>19949.23</v>
      </c>
      <c r="AA6" s="7">
        <v>0</v>
      </c>
      <c r="AB6" s="7">
        <v>0</v>
      </c>
      <c r="AC6" s="6">
        <v>46203</v>
      </c>
      <c r="AD6" s="7">
        <v>19949.23</v>
      </c>
      <c r="AE6" s="4">
        <v>138</v>
      </c>
      <c r="AF6" s="5" t="s">
        <v>243</v>
      </c>
      <c r="AG6" s="5" t="s">
        <v>244</v>
      </c>
      <c r="AH6" s="5" t="s">
        <v>121</v>
      </c>
      <c r="AI6" s="5" t="s">
        <v>158</v>
      </c>
      <c r="AJ6" s="4"/>
      <c r="AK6" s="5" t="s">
        <v>233</v>
      </c>
      <c r="AL6" s="5" t="s">
        <v>211</v>
      </c>
      <c r="AM6" s="6">
        <v>46197</v>
      </c>
      <c r="AN6" s="5" t="s">
        <v>226</v>
      </c>
    </row>
    <row r="7" spans="1:40" x14ac:dyDescent="0.25">
      <c r="A7" s="2" t="s">
        <v>354</v>
      </c>
      <c r="B7" s="2" t="s">
        <v>378</v>
      </c>
      <c r="C7" s="3">
        <v>46122</v>
      </c>
      <c r="D7" s="4">
        <v>553825634</v>
      </c>
      <c r="E7" s="5" t="s">
        <v>245</v>
      </c>
      <c r="F7" s="6">
        <v>46106</v>
      </c>
      <c r="G7" s="5" t="s">
        <v>86</v>
      </c>
      <c r="H7" s="5" t="s">
        <v>64</v>
      </c>
      <c r="I7" s="5" t="s">
        <v>86</v>
      </c>
      <c r="J7" s="5" t="s">
        <v>234</v>
      </c>
      <c r="K7" s="3">
        <v>46279</v>
      </c>
      <c r="L7" s="12">
        <f ca="1">IF($O7="","",$O7-TODAY())</f>
        <v>171</v>
      </c>
      <c r="M7" s="12">
        <f ca="1">IF($C7="","",$C7+365-TODAY())</f>
        <v>187</v>
      </c>
      <c r="N7" s="12">
        <f ca="1">IF($C7="","",$C7+120-TODAY())</f>
        <v>-58</v>
      </c>
      <c r="O7" s="6">
        <v>46471</v>
      </c>
      <c r="P7" s="5" t="s">
        <v>57</v>
      </c>
      <c r="Q7" s="5" t="s">
        <v>66</v>
      </c>
      <c r="R7" s="5" t="s">
        <v>57</v>
      </c>
      <c r="S7" s="5" t="s">
        <v>47</v>
      </c>
      <c r="T7" s="5" t="s">
        <v>67</v>
      </c>
      <c r="U7" s="5" t="s">
        <v>47</v>
      </c>
      <c r="V7" s="5"/>
      <c r="W7" s="5"/>
      <c r="X7" s="5"/>
      <c r="Y7" s="5" t="s">
        <v>48</v>
      </c>
      <c r="Z7" s="7">
        <v>2493.33</v>
      </c>
      <c r="AA7" s="7">
        <v>2351.73</v>
      </c>
      <c r="AB7" s="7">
        <v>110.6</v>
      </c>
      <c r="AC7" s="6">
        <v>46122</v>
      </c>
      <c r="AD7" s="7">
        <v>31</v>
      </c>
      <c r="AE7" s="4">
        <v>136</v>
      </c>
      <c r="AF7" s="5" t="s">
        <v>246</v>
      </c>
      <c r="AG7" s="5"/>
      <c r="AH7" s="5"/>
      <c r="AI7" s="5"/>
      <c r="AJ7" s="4">
        <v>557571095</v>
      </c>
      <c r="AK7" s="5" t="s">
        <v>84</v>
      </c>
      <c r="AL7" s="5" t="s">
        <v>239</v>
      </c>
      <c r="AM7" s="6">
        <v>46107</v>
      </c>
      <c r="AN7" s="5" t="s">
        <v>226</v>
      </c>
    </row>
    <row r="8" spans="1:40" x14ac:dyDescent="0.25">
      <c r="A8" s="2" t="s">
        <v>354</v>
      </c>
      <c r="B8" s="2" t="s">
        <v>378</v>
      </c>
      <c r="C8" s="3">
        <v>46126</v>
      </c>
      <c r="D8" s="4">
        <v>554186385</v>
      </c>
      <c r="E8" s="5" t="s">
        <v>247</v>
      </c>
      <c r="F8" s="6">
        <v>46108</v>
      </c>
      <c r="G8" s="5" t="s">
        <v>248</v>
      </c>
      <c r="H8" s="5" t="s">
        <v>64</v>
      </c>
      <c r="I8" s="5" t="s">
        <v>248</v>
      </c>
      <c r="J8" s="5" t="s">
        <v>249</v>
      </c>
      <c r="K8" s="3">
        <v>46279</v>
      </c>
      <c r="L8" s="12">
        <f ca="1">IF($O8="","",$O8-TODAY())</f>
        <v>173</v>
      </c>
      <c r="M8" s="12">
        <f ca="1">IF($C8="","",$C8+365-TODAY())</f>
        <v>191</v>
      </c>
      <c r="N8" s="12">
        <f ca="1">IF($C8="","",$C8+120-TODAY())</f>
        <v>-54</v>
      </c>
      <c r="O8" s="6">
        <v>46473</v>
      </c>
      <c r="P8" s="5" t="s">
        <v>57</v>
      </c>
      <c r="Q8" s="5" t="s">
        <v>66</v>
      </c>
      <c r="R8" s="5" t="s">
        <v>57</v>
      </c>
      <c r="S8" s="5" t="s">
        <v>47</v>
      </c>
      <c r="T8" s="5" t="s">
        <v>67</v>
      </c>
      <c r="U8" s="5" t="s">
        <v>47</v>
      </c>
      <c r="V8" s="5" t="s">
        <v>221</v>
      </c>
      <c r="W8" s="5"/>
      <c r="X8" s="5"/>
      <c r="Y8" s="5" t="s">
        <v>48</v>
      </c>
      <c r="Z8" s="7">
        <v>5614.63</v>
      </c>
      <c r="AA8" s="7">
        <v>4889.05</v>
      </c>
      <c r="AB8" s="7">
        <v>578.1</v>
      </c>
      <c r="AC8" s="6">
        <v>46126</v>
      </c>
      <c r="AD8" s="7">
        <v>147.47999999999999</v>
      </c>
      <c r="AE8" s="4">
        <v>134</v>
      </c>
      <c r="AF8" s="5" t="s">
        <v>250</v>
      </c>
      <c r="AG8" s="5"/>
      <c r="AH8" s="5"/>
      <c r="AI8" s="5"/>
      <c r="AJ8" s="4">
        <v>557570916</v>
      </c>
      <c r="AK8" s="5" t="s">
        <v>119</v>
      </c>
      <c r="AL8" s="5" t="s">
        <v>211</v>
      </c>
      <c r="AM8" s="6">
        <v>46112</v>
      </c>
      <c r="AN8" s="5" t="s">
        <v>226</v>
      </c>
    </row>
    <row r="9" spans="1:40" x14ac:dyDescent="0.25">
      <c r="A9" s="2" t="s">
        <v>200</v>
      </c>
      <c r="B9" s="2" t="s">
        <v>379</v>
      </c>
      <c r="C9" s="3">
        <v>46097</v>
      </c>
      <c r="D9" s="4">
        <v>551964467</v>
      </c>
      <c r="E9" s="5" t="s">
        <v>256</v>
      </c>
      <c r="F9" s="6">
        <v>46087</v>
      </c>
      <c r="G9" s="5" t="s">
        <v>125</v>
      </c>
      <c r="H9" s="5" t="s">
        <v>125</v>
      </c>
      <c r="I9" s="5" t="s">
        <v>42</v>
      </c>
      <c r="J9" s="5" t="s">
        <v>257</v>
      </c>
      <c r="K9" s="3">
        <v>46279</v>
      </c>
      <c r="L9" s="12">
        <f ca="1">IF($O9="","",$O9-TODAY())</f>
        <v>-123</v>
      </c>
      <c r="M9" s="12">
        <f ca="1">IF($F9="","",$F9+90-TODAY())</f>
        <v>-123</v>
      </c>
      <c r="N9" s="12">
        <f ca="1">IF($C9="","",$C9+540-TODAY())</f>
        <v>337</v>
      </c>
      <c r="O9" s="6">
        <v>46177</v>
      </c>
      <c r="P9" s="5" t="s">
        <v>97</v>
      </c>
      <c r="Q9" s="5" t="s">
        <v>127</v>
      </c>
      <c r="R9" s="5" t="s">
        <v>97</v>
      </c>
      <c r="S9" s="5" t="s">
        <v>46</v>
      </c>
      <c r="T9" s="5" t="s">
        <v>393</v>
      </c>
      <c r="U9" s="5" t="s">
        <v>47</v>
      </c>
      <c r="V9" s="5"/>
      <c r="W9" s="5"/>
      <c r="X9" s="5"/>
      <c r="Y9" s="5" t="s">
        <v>48</v>
      </c>
      <c r="Z9" s="7">
        <v>7623.07</v>
      </c>
      <c r="AA9" s="7">
        <v>0</v>
      </c>
      <c r="AB9" s="7">
        <v>0</v>
      </c>
      <c r="AC9" s="6">
        <v>46097</v>
      </c>
      <c r="AD9" s="7">
        <v>7623.07</v>
      </c>
      <c r="AE9" s="4">
        <v>155</v>
      </c>
      <c r="AF9" s="5" t="s">
        <v>159</v>
      </c>
      <c r="AG9" s="5"/>
      <c r="AH9" s="5"/>
      <c r="AI9" s="5"/>
      <c r="AJ9" s="4"/>
      <c r="AK9" s="5" t="s">
        <v>119</v>
      </c>
      <c r="AL9" s="5" t="s">
        <v>211</v>
      </c>
      <c r="AM9" s="6">
        <v>46091</v>
      </c>
      <c r="AN9" s="5" t="s">
        <v>226</v>
      </c>
    </row>
    <row r="10" spans="1:40" x14ac:dyDescent="0.25">
      <c r="A10" s="2" t="s">
        <v>200</v>
      </c>
      <c r="B10" s="2" t="s">
        <v>380</v>
      </c>
      <c r="C10" s="3">
        <v>46108</v>
      </c>
      <c r="D10" s="4">
        <v>553652690</v>
      </c>
      <c r="E10" s="5" t="s">
        <v>265</v>
      </c>
      <c r="F10" s="6">
        <v>46093</v>
      </c>
      <c r="G10" s="5" t="s">
        <v>125</v>
      </c>
      <c r="H10" s="5" t="s">
        <v>125</v>
      </c>
      <c r="I10" s="5" t="s">
        <v>42</v>
      </c>
      <c r="J10" s="5" t="s">
        <v>266</v>
      </c>
      <c r="K10" s="3">
        <v>46265</v>
      </c>
      <c r="L10" s="12">
        <f ca="1">IF($O10="","",$O10-TODAY())</f>
        <v>-117</v>
      </c>
      <c r="M10" s="12">
        <f ca="1">IF($F10="","",$F10+90-TODAY())</f>
        <v>-117</v>
      </c>
      <c r="N10" s="12">
        <f ca="1">IF($C10="","",$C10+540-TODAY())</f>
        <v>348</v>
      </c>
      <c r="O10" s="6">
        <v>46183</v>
      </c>
      <c r="P10" s="5" t="s">
        <v>97</v>
      </c>
      <c r="Q10" s="5" t="s">
        <v>127</v>
      </c>
      <c r="R10" s="5" t="s">
        <v>97</v>
      </c>
      <c r="S10" s="5" t="s">
        <v>46</v>
      </c>
      <c r="T10" s="5" t="s">
        <v>393</v>
      </c>
      <c r="U10" s="5" t="s">
        <v>47</v>
      </c>
      <c r="V10" s="5" t="s">
        <v>260</v>
      </c>
      <c r="W10" s="5"/>
      <c r="X10" s="5"/>
      <c r="Y10" s="5" t="s">
        <v>48</v>
      </c>
      <c r="Z10" s="7">
        <v>18400.34</v>
      </c>
      <c r="AA10" s="7">
        <v>0</v>
      </c>
      <c r="AB10" s="7">
        <v>0</v>
      </c>
      <c r="AC10" s="6">
        <v>46108</v>
      </c>
      <c r="AD10" s="7">
        <v>18400.34</v>
      </c>
      <c r="AE10" s="4">
        <v>149</v>
      </c>
      <c r="AF10" s="5" t="s">
        <v>158</v>
      </c>
      <c r="AG10" s="5" t="s">
        <v>267</v>
      </c>
      <c r="AH10" s="5"/>
      <c r="AI10" s="5"/>
      <c r="AJ10" s="4"/>
      <c r="AK10" s="5" t="s">
        <v>263</v>
      </c>
      <c r="AL10" s="5" t="s">
        <v>264</v>
      </c>
      <c r="AM10" s="6">
        <v>46105</v>
      </c>
      <c r="AN10" s="5" t="s">
        <v>226</v>
      </c>
    </row>
    <row r="11" spans="1:40" x14ac:dyDescent="0.25">
      <c r="A11" s="2" t="s">
        <v>200</v>
      </c>
      <c r="B11" s="2" t="s">
        <v>381</v>
      </c>
      <c r="C11" s="3">
        <v>46220</v>
      </c>
      <c r="D11" s="4">
        <v>553656838</v>
      </c>
      <c r="E11" s="5" t="s">
        <v>268</v>
      </c>
      <c r="F11" s="6">
        <v>46093</v>
      </c>
      <c r="G11" s="5" t="s">
        <v>125</v>
      </c>
      <c r="H11" s="5" t="s">
        <v>125</v>
      </c>
      <c r="I11" s="5" t="s">
        <v>42</v>
      </c>
      <c r="J11" s="5" t="s">
        <v>269</v>
      </c>
      <c r="K11" s="3">
        <v>46279</v>
      </c>
      <c r="L11" s="12">
        <f ca="1">IF($O11="","",$O11-TODAY())</f>
        <v>-117</v>
      </c>
      <c r="M11" s="12">
        <f ca="1">IF($F11="","",$F11+90-TODAY())</f>
        <v>-117</v>
      </c>
      <c r="N11" s="12">
        <f ca="1">IF($C11="","",$C11+540-TODAY())</f>
        <v>460</v>
      </c>
      <c r="O11" s="6">
        <v>46183</v>
      </c>
      <c r="P11" s="5" t="s">
        <v>97</v>
      </c>
      <c r="Q11" s="5" t="s">
        <v>127</v>
      </c>
      <c r="R11" s="5" t="s">
        <v>97</v>
      </c>
      <c r="S11" s="5" t="s">
        <v>46</v>
      </c>
      <c r="T11" s="5" t="s">
        <v>393</v>
      </c>
      <c r="U11" s="5" t="s">
        <v>47</v>
      </c>
      <c r="V11" s="5"/>
      <c r="W11" s="5"/>
      <c r="X11" s="5"/>
      <c r="Y11" s="5" t="s">
        <v>48</v>
      </c>
      <c r="Z11" s="7">
        <v>12650.96</v>
      </c>
      <c r="AA11" s="7">
        <v>0</v>
      </c>
      <c r="AB11" s="7">
        <v>0</v>
      </c>
      <c r="AC11" s="6">
        <v>46220</v>
      </c>
      <c r="AD11" s="7">
        <v>12650.96</v>
      </c>
      <c r="AE11" s="4">
        <v>149</v>
      </c>
      <c r="AF11" s="5" t="s">
        <v>158</v>
      </c>
      <c r="AG11" s="5" t="s">
        <v>270</v>
      </c>
      <c r="AH11" s="5"/>
      <c r="AI11" s="5"/>
      <c r="AJ11" s="4"/>
      <c r="AK11" s="5" t="s">
        <v>263</v>
      </c>
      <c r="AL11" s="5" t="s">
        <v>264</v>
      </c>
      <c r="AM11" s="6">
        <v>46105</v>
      </c>
      <c r="AN11" s="5" t="s">
        <v>226</v>
      </c>
    </row>
    <row r="12" spans="1:40" x14ac:dyDescent="0.25">
      <c r="A12" s="2" t="s">
        <v>200</v>
      </c>
      <c r="B12" s="2" t="s">
        <v>382</v>
      </c>
      <c r="C12" s="3">
        <v>46127</v>
      </c>
      <c r="D12" s="4">
        <v>555351211</v>
      </c>
      <c r="E12" s="5" t="s">
        <v>271</v>
      </c>
      <c r="F12" s="6">
        <v>46093</v>
      </c>
      <c r="G12" s="5" t="s">
        <v>104</v>
      </c>
      <c r="H12" s="5" t="s">
        <v>104</v>
      </c>
      <c r="I12" s="5" t="s">
        <v>42</v>
      </c>
      <c r="J12" s="5" t="s">
        <v>272</v>
      </c>
      <c r="K12" s="3">
        <v>46279</v>
      </c>
      <c r="L12" s="12">
        <f ca="1">IF($O12="","",$O12-TODAY())</f>
        <v>-117</v>
      </c>
      <c r="M12" s="12">
        <f ca="1">IF($C12="","",$C12+180-TODAY())</f>
        <v>7</v>
      </c>
      <c r="N12" s="12">
        <f ca="1">IF($C12="","",$C12+365-TODAY())</f>
        <v>192</v>
      </c>
      <c r="O12" s="6">
        <v>46183</v>
      </c>
      <c r="P12" s="5" t="s">
        <v>97</v>
      </c>
      <c r="Q12" s="5" t="s">
        <v>111</v>
      </c>
      <c r="R12" s="5" t="s">
        <v>44</v>
      </c>
      <c r="S12" s="5" t="s">
        <v>47</v>
      </c>
      <c r="T12" s="5" t="s">
        <v>57</v>
      </c>
      <c r="U12" s="5" t="s">
        <v>47</v>
      </c>
      <c r="V12" s="5"/>
      <c r="W12" s="5"/>
      <c r="X12" s="5"/>
      <c r="Y12" s="5" t="s">
        <v>48</v>
      </c>
      <c r="Z12" s="7">
        <v>8277.57</v>
      </c>
      <c r="AA12" s="7">
        <v>0</v>
      </c>
      <c r="AB12" s="7">
        <v>0</v>
      </c>
      <c r="AC12" s="6">
        <v>46127</v>
      </c>
      <c r="AD12" s="7">
        <v>8277.57</v>
      </c>
      <c r="AE12" s="4">
        <v>149</v>
      </c>
      <c r="AF12" s="5" t="s">
        <v>167</v>
      </c>
      <c r="AG12" s="5" t="s">
        <v>158</v>
      </c>
      <c r="AH12" s="5"/>
      <c r="AI12" s="5"/>
      <c r="AJ12" s="4"/>
      <c r="AK12" s="5" t="s">
        <v>225</v>
      </c>
      <c r="AL12" s="5" t="s">
        <v>211</v>
      </c>
      <c r="AM12" s="6">
        <v>46120</v>
      </c>
      <c r="AN12" s="5" t="s">
        <v>226</v>
      </c>
    </row>
    <row r="13" spans="1:40" x14ac:dyDescent="0.25">
      <c r="A13" s="2" t="s">
        <v>354</v>
      </c>
      <c r="B13" s="2" t="s">
        <v>383</v>
      </c>
      <c r="C13" s="3">
        <v>46163</v>
      </c>
      <c r="D13" s="4">
        <v>553378154</v>
      </c>
      <c r="E13" s="5" t="s">
        <v>273</v>
      </c>
      <c r="F13" s="6">
        <v>46101</v>
      </c>
      <c r="G13" s="5" t="s">
        <v>274</v>
      </c>
      <c r="H13" s="5" t="s">
        <v>274</v>
      </c>
      <c r="I13" s="5" t="s">
        <v>42</v>
      </c>
      <c r="J13" s="5" t="s">
        <v>257</v>
      </c>
      <c r="K13" s="3">
        <v>46268</v>
      </c>
      <c r="L13" s="12">
        <f ca="1">IF($O13="","",$O13-TODAY())</f>
        <v>-79</v>
      </c>
      <c r="M13" s="12">
        <f ca="1">IF($C13="","",$C13+180-TODAY())</f>
        <v>43</v>
      </c>
      <c r="N13" s="12">
        <f ca="1">IF($C13="","",$C13+180-TODAY())</f>
        <v>43</v>
      </c>
      <c r="O13" s="6">
        <v>46221</v>
      </c>
      <c r="P13" s="5" t="s">
        <v>67</v>
      </c>
      <c r="Q13" s="5" t="s">
        <v>275</v>
      </c>
      <c r="R13" s="5" t="s">
        <v>44</v>
      </c>
      <c r="S13" s="5" t="s">
        <v>47</v>
      </c>
      <c r="T13" s="5" t="s">
        <v>44</v>
      </c>
      <c r="U13" s="5" t="s">
        <v>47</v>
      </c>
      <c r="V13" s="5"/>
      <c r="W13" s="5"/>
      <c r="X13" s="5"/>
      <c r="Y13" s="5" t="s">
        <v>48</v>
      </c>
      <c r="Z13" s="7">
        <v>7623.07</v>
      </c>
      <c r="AA13" s="7">
        <v>0</v>
      </c>
      <c r="AB13" s="7">
        <v>0</v>
      </c>
      <c r="AC13" s="6">
        <v>46163</v>
      </c>
      <c r="AD13" s="7">
        <v>7623.07</v>
      </c>
      <c r="AE13" s="4">
        <v>141</v>
      </c>
      <c r="AF13" s="5" t="s">
        <v>159</v>
      </c>
      <c r="AG13" s="5"/>
      <c r="AH13" s="5"/>
      <c r="AI13" s="5"/>
      <c r="AJ13" s="4"/>
      <c r="AK13" s="5" t="s">
        <v>84</v>
      </c>
      <c r="AL13" s="5" t="s">
        <v>239</v>
      </c>
      <c r="AM13" s="6">
        <v>46105</v>
      </c>
      <c r="AN13" s="5" t="s">
        <v>226</v>
      </c>
    </row>
    <row r="14" spans="1:40" x14ac:dyDescent="0.25">
      <c r="A14" s="2" t="s">
        <v>342</v>
      </c>
      <c r="B14" s="2" t="s">
        <v>343</v>
      </c>
      <c r="C14" s="3">
        <v>46203</v>
      </c>
      <c r="D14" s="4">
        <v>553643849</v>
      </c>
      <c r="E14" s="5" t="s">
        <v>258</v>
      </c>
      <c r="F14" s="6">
        <v>46087</v>
      </c>
      <c r="G14" s="5" t="s">
        <v>70</v>
      </c>
      <c r="H14" s="5" t="s">
        <v>70</v>
      </c>
      <c r="I14" s="5" t="s">
        <v>42</v>
      </c>
      <c r="J14" s="5" t="s">
        <v>259</v>
      </c>
      <c r="K14" s="3"/>
      <c r="L14" s="12">
        <f ca="1">IF($O14="","",$O14-TODAY())</f>
        <v>-123</v>
      </c>
      <c r="M14" s="12">
        <f ca="1">IF($F14="","",$F14+90-TODAY())</f>
        <v>-123</v>
      </c>
      <c r="N14" s="12">
        <f ca="1">IF($C14="","",$C14+365-TODAY())</f>
        <v>268</v>
      </c>
      <c r="O14" s="6">
        <v>46177</v>
      </c>
      <c r="P14" s="5" t="s">
        <v>97</v>
      </c>
      <c r="Q14" s="5" t="s">
        <v>98</v>
      </c>
      <c r="R14" s="5" t="s">
        <v>97</v>
      </c>
      <c r="S14" s="5" t="s">
        <v>46</v>
      </c>
      <c r="T14" s="5" t="s">
        <v>57</v>
      </c>
      <c r="U14" s="5" t="s">
        <v>47</v>
      </c>
      <c r="V14" s="5" t="s">
        <v>260</v>
      </c>
      <c r="W14" s="5"/>
      <c r="X14" s="5"/>
      <c r="Y14" s="5" t="s">
        <v>48</v>
      </c>
      <c r="Z14" s="7">
        <v>18400.34</v>
      </c>
      <c r="AA14" s="7">
        <v>0</v>
      </c>
      <c r="AB14" s="7">
        <v>0</v>
      </c>
      <c r="AC14" s="6"/>
      <c r="AD14" s="7">
        <v>18400.34</v>
      </c>
      <c r="AE14" s="4">
        <v>155</v>
      </c>
      <c r="AF14" s="5" t="s">
        <v>261</v>
      </c>
      <c r="AG14" s="5" t="s">
        <v>262</v>
      </c>
      <c r="AH14" s="5"/>
      <c r="AI14" s="5"/>
      <c r="AJ14" s="4"/>
      <c r="AK14" s="5" t="s">
        <v>263</v>
      </c>
      <c r="AL14" s="5" t="s">
        <v>264</v>
      </c>
      <c r="AM14" s="6">
        <v>46197</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75"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