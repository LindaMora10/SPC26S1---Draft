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477" documentId="11_23DFB2700444359EC757A1EC06AF36DA32B435A4" xr6:coauthVersionLast="47" xr6:coauthVersionMax="47" xr10:uidLastSave="{5B8320DB-3C0D-4156-A874-CB4DB70CF82D}"/>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BH!$A$1:$AO$30</definedName>
    <definedName name="_xlnm._FilterDatabase" localSheetId="1" hidden="1">DME!$A$1:$AO$11</definedName>
    <definedName name="_xlnm._FilterDatabase" localSheetId="2" hidden="1">GAE!$A$1:$AO$3</definedName>
    <definedName name="_xlnm._FilterDatabase" localSheetId="3" hidden="1">ORTHO!$A$1:$AO$14</definedName>
    <definedName name="_xlnm._FilterDatabase" localSheetId="4" hidden="1">US!$A$1:$AO$13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4" l="1"/>
  <c r="M14" i="4"/>
  <c r="L14" i="4"/>
  <c r="N13" i="4"/>
  <c r="M13" i="4"/>
  <c r="L13" i="4"/>
  <c r="N12" i="4"/>
  <c r="M12" i="4"/>
  <c r="L12" i="4"/>
  <c r="N11" i="4"/>
  <c r="M11" i="4"/>
  <c r="L11" i="4"/>
  <c r="N10" i="4"/>
  <c r="M10" i="4"/>
  <c r="L10" i="4"/>
  <c r="N9" i="4"/>
  <c r="M9" i="4"/>
  <c r="L9" i="4"/>
  <c r="N8" i="4"/>
  <c r="M8" i="4"/>
  <c r="L8" i="4"/>
  <c r="N7" i="4"/>
  <c r="M7" i="4"/>
  <c r="L7" i="4"/>
  <c r="N6" i="4"/>
  <c r="M6" i="4"/>
  <c r="L6" i="4"/>
  <c r="N5" i="4"/>
  <c r="M5" i="4"/>
  <c r="L5" i="4"/>
  <c r="N4" i="4"/>
  <c r="M4" i="4"/>
  <c r="L4" i="4"/>
  <c r="N3" i="4"/>
  <c r="M3" i="4"/>
  <c r="L3" i="4"/>
  <c r="N2" i="4"/>
  <c r="M2" i="4"/>
  <c r="L2" i="4"/>
  <c r="N3" i="3"/>
  <c r="L3" i="3"/>
  <c r="N2" i="3"/>
  <c r="M2" i="3"/>
  <c r="L2" i="3"/>
  <c r="N11" i="2"/>
  <c r="M11" i="2"/>
  <c r="L11" i="2"/>
  <c r="N10" i="2"/>
  <c r="M10" i="2"/>
  <c r="L10" i="2"/>
  <c r="N9" i="2"/>
  <c r="M9" i="2"/>
  <c r="L9" i="2"/>
  <c r="N8" i="2"/>
  <c r="M8" i="2"/>
  <c r="L8" i="2"/>
  <c r="N7" i="2"/>
  <c r="M7" i="2"/>
  <c r="L7" i="2"/>
  <c r="N6" i="2"/>
  <c r="M6" i="2"/>
  <c r="L6" i="2"/>
  <c r="N5" i="2"/>
  <c r="M5" i="2"/>
  <c r="L5" i="2"/>
  <c r="N4" i="2"/>
  <c r="M4" i="2"/>
  <c r="L4" i="2"/>
  <c r="N3" i="2"/>
  <c r="M3" i="2"/>
  <c r="L3" i="2"/>
  <c r="N2" i="2"/>
  <c r="M2" i="2"/>
  <c r="L2" i="2"/>
  <c r="L30" i="1"/>
  <c r="L29" i="1"/>
  <c r="N28" i="1"/>
  <c r="M28" i="1"/>
  <c r="L28" i="1"/>
  <c r="N27" i="1"/>
  <c r="M27" i="1"/>
  <c r="L27" i="1"/>
  <c r="N26" i="1"/>
  <c r="M26" i="1"/>
  <c r="L26" i="1"/>
  <c r="N25" i="1"/>
  <c r="M25"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 r="N13" i="5"/>
  <c r="M13" i="5"/>
  <c r="L13" i="5"/>
  <c r="N12" i="5"/>
  <c r="M12" i="5"/>
  <c r="L12" i="5"/>
  <c r="N11" i="5"/>
  <c r="M11" i="5"/>
  <c r="L11" i="5"/>
  <c r="N10" i="5"/>
  <c r="M10" i="5"/>
  <c r="L10" i="5"/>
  <c r="N9" i="5"/>
  <c r="M9" i="5"/>
  <c r="L9" i="5"/>
  <c r="N8" i="5"/>
  <c r="M8" i="5"/>
  <c r="L8" i="5"/>
  <c r="N7" i="5"/>
  <c r="M7" i="5"/>
  <c r="L7" i="5"/>
  <c r="N6" i="5"/>
  <c r="M6" i="5"/>
  <c r="L6" i="5"/>
  <c r="N5" i="5"/>
  <c r="M5" i="5"/>
  <c r="L5" i="5"/>
  <c r="N4" i="5"/>
  <c r="M4" i="5"/>
  <c r="L4" i="5"/>
  <c r="N3" i="5"/>
  <c r="M3" i="5"/>
  <c r="L3" i="5"/>
  <c r="N2" i="5"/>
  <c r="M2" i="5"/>
  <c r="L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97F1F52-7142-412F-9C9C-A93E57D6F7D5}">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7F7BBE7-580A-4FB2-BBEE-E05E6D2A927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2CA04066-C130-4456-B757-34301E398F3D}">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45AF2EB4-CF39-4654-978A-580CD9DFB851}">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<sst xmlns="http://schemas.openxmlformats.org/spreadsheetml/2006/main" count="1480" uniqueCount="408">
  <si>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</si>
  <si>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</si>
  <si>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</si>
  <si>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</si>
  <si>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</si>
  <si>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</si>
  <si>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</si>
  <si>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</si>
  <si>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</si>
  <si>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</si>
  <si>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</si>
  <si>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</si>
  <si>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</si>
  <si>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</si>
  <si>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</si>
  <si>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</si>
  <si>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</si>
  <si>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</si>
  <si>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</si>
  <si>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</si>
  <si>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</si>
  <si>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</si>
  <si>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</si>
  <si>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</si>
  <si>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</si>
  <si>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</si>
  <si>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</si>
  <si>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</si>
  <si>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</si>
  <si>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</si>
  <si>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</si>
  <si>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</si>
  <si>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</si>
  <si>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</si>
  <si>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</si>
  <si>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</si>
  <si>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</si>
  <si>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</si>
  <si>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</si>
  <si>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</si>
  <si>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HF522230488</t>
  </si>
  <si>
    <t>Oscar Health</t>
  </si>
  <si>
    <t>No Payer</t>
  </si>
  <si>
    <t>99493 x1; 99494 x1</t>
  </si>
  <si>
    <t>180 days</t>
  </si>
  <si>
    <t>OSCAR HEALTH</t>
  </si>
  <si>
    <t>Date of service</t>
  </si>
  <si>
    <t>Processed date</t>
  </si>
  <si>
    <t>1</t>
  </si>
  <si>
    <t>F4323</t>
  </si>
  <si>
    <t>HUERTA, KARLA</t>
  </si>
  <si>
    <t>ASAP Peoria</t>
  </si>
  <si>
    <t>BH</t>
  </si>
  <si>
    <t>HF524312806</t>
  </si>
  <si>
    <t>Medica Health Plan Solutions (Mayo Plan - CHI Health)</t>
  </si>
  <si>
    <t>99494 x1; 99493 x1</t>
  </si>
  <si>
    <t>MEDICA</t>
  </si>
  <si>
    <t>365 days</t>
  </si>
  <si>
    <t>F411</t>
  </si>
  <si>
    <t>MEARS, CHAD</t>
  </si>
  <si>
    <t>ASAP - Gilbert</t>
  </si>
  <si>
    <t>Finalized</t>
  </si>
  <si>
    <t>HF549983763</t>
  </si>
  <si>
    <t>Mutual of Omaha Insurance Company</t>
  </si>
  <si>
    <t>Medicare Part B Arizona *</t>
  </si>
  <si>
    <t>99494 x1; 99492 x1</t>
  </si>
  <si>
    <t>MEDICARE</t>
  </si>
  <si>
    <t>120 days</t>
  </si>
  <si>
    <t>F4320</t>
  </si>
  <si>
    <t>TURLEY, TODD</t>
  </si>
  <si>
    <t>Blue Cross Blue Shield of Arizona (BCBS AZ)</t>
  </si>
  <si>
    <t>99493 x1; 99494 x2</t>
  </si>
  <si>
    <t>1, 2</t>
  </si>
  <si>
    <t>ASAP - DEER VALLEY</t>
  </si>
  <si>
    <t>HF364689537</t>
  </si>
  <si>
    <t>F330</t>
  </si>
  <si>
    <t>HF550420682</t>
  </si>
  <si>
    <t>AARP United Healthcare</t>
  </si>
  <si>
    <t>99492 x1; 99494 x1</t>
  </si>
  <si>
    <t>F1190</t>
  </si>
  <si>
    <t>KRAUSE, JEFFREY</t>
  </si>
  <si>
    <t>HF544007270</t>
  </si>
  <si>
    <t>Bankers Life Colonial Penn Life</t>
  </si>
  <si>
    <t>F39</t>
  </si>
  <si>
    <t>LEATHEM, JARRETT</t>
  </si>
  <si>
    <t>HF419012518</t>
  </si>
  <si>
    <t>ChampVA - HAC</t>
  </si>
  <si>
    <t>O'NEIL, ROY</t>
  </si>
  <si>
    <t>HF329719904</t>
  </si>
  <si>
    <t>Mercy Care Health Plan Advantage (AHCCCS)</t>
  </si>
  <si>
    <t>F32A</t>
  </si>
  <si>
    <t>BURGHER, ABRAM</t>
  </si>
  <si>
    <t>HF444976688</t>
  </si>
  <si>
    <t>HF550289743</t>
  </si>
  <si>
    <t>Banner Medicare Advantage Prime HMO (BMAH)</t>
  </si>
  <si>
    <t>KALLGREN, MARK</t>
  </si>
  <si>
    <t>HF537685966</t>
  </si>
  <si>
    <t>90 days</t>
  </si>
  <si>
    <t>BCBS</t>
  </si>
  <si>
    <t>BAUGHER, TIMOTHY</t>
  </si>
  <si>
    <t>HF372010397</t>
  </si>
  <si>
    <t>Optum Care Medical Network of Arizona, Utah, &amp; Washington (LifePrint)</t>
  </si>
  <si>
    <t>OPTUM</t>
  </si>
  <si>
    <t>HF417864409</t>
  </si>
  <si>
    <t>UnitedHealthcare Community Plan / Arizona Long Term Care</t>
  </si>
  <si>
    <t>United Healthcare</t>
  </si>
  <si>
    <t>UHC COMMERCIAL</t>
  </si>
  <si>
    <t>HF515864933</t>
  </si>
  <si>
    <t>HF509386349</t>
  </si>
  <si>
    <t>HF499452983</t>
  </si>
  <si>
    <t>99492+79 x1; 99494 x1</t>
  </si>
  <si>
    <t>UHC COMMUNITY</t>
  </si>
  <si>
    <t>79</t>
  </si>
  <si>
    <t>HF492208813</t>
  </si>
  <si>
    <t>HF542079660</t>
  </si>
  <si>
    <t>HF341023592</t>
  </si>
  <si>
    <t>F331</t>
  </si>
  <si>
    <t>HF550612373</t>
  </si>
  <si>
    <t>HF549281205</t>
  </si>
  <si>
    <t>MORALES, DAVID</t>
  </si>
  <si>
    <t>99494 x1</t>
  </si>
  <si>
    <t>M5417</t>
  </si>
  <si>
    <t>Z79891</t>
  </si>
  <si>
    <t>ASAP - Biltmore</t>
  </si>
  <si>
    <t>HF545223898</t>
  </si>
  <si>
    <t>Humana Gold Plus HMO</t>
  </si>
  <si>
    <t>99492 x1</t>
  </si>
  <si>
    <t>HUMANA MA</t>
  </si>
  <si>
    <t>HF443112560</t>
  </si>
  <si>
    <t>HF481780302</t>
  </si>
  <si>
    <t>99494 x1; 99492+79 x1</t>
  </si>
  <si>
    <t>HF330559209</t>
  </si>
  <si>
    <t>Banner Aetna</t>
  </si>
  <si>
    <t>BANNER HEALTH &amp; AETNA</t>
  </si>
  <si>
    <t>HF525117988</t>
  </si>
  <si>
    <t>TRIWEST VA CCN CLAIMS</t>
  </si>
  <si>
    <t>99493 x1</t>
  </si>
  <si>
    <t>TRIWEST</t>
  </si>
  <si>
    <t>HF539993491</t>
  </si>
  <si>
    <t>Alignment Health Care</t>
  </si>
  <si>
    <t>Not on reference list</t>
  </si>
  <si>
    <t>HF547777590</t>
  </si>
  <si>
    <t>Banner University Family Care - Arizona Long Term Care System</t>
  </si>
  <si>
    <t>Banner University Care Dual Advantage Plan</t>
  </si>
  <si>
    <t>99494 x2; 99492 x1</t>
  </si>
  <si>
    <t>2, 1</t>
  </si>
  <si>
    <t>HF545896181</t>
  </si>
  <si>
    <t>DME Region D</t>
  </si>
  <si>
    <t>MediCo Insurance Company</t>
  </si>
  <si>
    <t>L1851+KX x1</t>
  </si>
  <si>
    <t>KX</t>
  </si>
  <si>
    <t>M1711</t>
  </si>
  <si>
    <t>Advanced Spine and Pain LLC DME GWY</t>
  </si>
  <si>
    <t>Advanced Spine and Pain LLC DME - Surprise Reems</t>
  </si>
  <si>
    <t>DME</t>
  </si>
  <si>
    <t>HF551760467</t>
  </si>
  <si>
    <t>Humana</t>
  </si>
  <si>
    <t>L0650+KX x1</t>
  </si>
  <si>
    <t>M5416</t>
  </si>
  <si>
    <t>M48062</t>
  </si>
  <si>
    <t>Advanced Spine and Pain LLC DME - Greenway</t>
  </si>
  <si>
    <t>HF545895005</t>
  </si>
  <si>
    <t>BANKERS FIDELITY</t>
  </si>
  <si>
    <t>A6023+A2 x10</t>
  </si>
  <si>
    <t>A2</t>
  </si>
  <si>
    <t>10</t>
  </si>
  <si>
    <t>G894</t>
  </si>
  <si>
    <t>M961</t>
  </si>
  <si>
    <t>Advanced Spine and Pain LLC DME SUR</t>
  </si>
  <si>
    <t>HF473973377</t>
  </si>
  <si>
    <t>M47817</t>
  </si>
  <si>
    <t>M5450</t>
  </si>
  <si>
    <t>Advanced Spine and Pain LLC DME - Peoria</t>
  </si>
  <si>
    <t>HF541294637</t>
  </si>
  <si>
    <t>Medicare Railroad (RR Medicare MetraHealth) 00882</t>
  </si>
  <si>
    <t>A6023+A1 x20</t>
  </si>
  <si>
    <t>A1</t>
  </si>
  <si>
    <t>20</t>
  </si>
  <si>
    <t>ASAP - Goodyear</t>
  </si>
  <si>
    <t>HF549224659</t>
  </si>
  <si>
    <t>A6023+A1 x10</t>
  </si>
  <si>
    <t>HF518773107</t>
  </si>
  <si>
    <t>Aetna Senior Supplemental (AESSI) - Secondary Only 62118</t>
  </si>
  <si>
    <t>M5459</t>
  </si>
  <si>
    <t>Z4789</t>
  </si>
  <si>
    <t>Advanced Spine and Pain LLC DME - Gilbert</t>
  </si>
  <si>
    <t>HF549992587</t>
  </si>
  <si>
    <t>L0650+NU x1</t>
  </si>
  <si>
    <t>NU</t>
  </si>
  <si>
    <t>M47896</t>
  </si>
  <si>
    <t>HF545096268</t>
  </si>
  <si>
    <t>A6010+A1 x20</t>
  </si>
  <si>
    <t>L03116</t>
  </si>
  <si>
    <t>M2012</t>
  </si>
  <si>
    <t>Q66212</t>
  </si>
  <si>
    <t>KOMINSKY, STEPHEN</t>
  </si>
  <si>
    <t>HF548742459</t>
  </si>
  <si>
    <t>UnitedHealthcare / All Savers Insurance</t>
  </si>
  <si>
    <t>M5489</t>
  </si>
  <si>
    <t>ADLER, STEVEN</t>
  </si>
  <si>
    <t>Denied</t>
  </si>
  <si>
    <t>Uploaded MR - PIQ-86274627</t>
  </si>
  <si>
    <t>HF333306186</t>
  </si>
  <si>
    <t>75710+26+XU+RT x1; 36246+59+RT x1; 75774+26+XU x5</t>
  </si>
  <si>
    <t>26, 59</t>
  </si>
  <si>
    <t>XU, RT</t>
  </si>
  <si>
    <t>RT</t>
  </si>
  <si>
    <t>1, 5</t>
  </si>
  <si>
    <t>I798</t>
  </si>
  <si>
    <t>M25561</t>
  </si>
  <si>
    <t>HUNTER, DREW</t>
  </si>
  <si>
    <t>ASAP Surgery Centers North Valley LLC</t>
  </si>
  <si>
    <t>GAE</t>
  </si>
  <si>
    <t>M1712</t>
  </si>
  <si>
    <t>M25562</t>
  </si>
  <si>
    <t>HF362284092</t>
  </si>
  <si>
    <t>UMR Wausau / UHIS</t>
  </si>
  <si>
    <t>Arizona Complete Health (Centene)</t>
  </si>
  <si>
    <t>75710+XU+LT x1; 75774+XU x5; 36245+59 x1; 36248+59 x3; 37242 x1; 36246+59+LT x1; 76937 x1</t>
  </si>
  <si>
    <t>UMR / WAUSAU</t>
  </si>
  <si>
    <t>XU, 59</t>
  </si>
  <si>
    <t>LT</t>
  </si>
  <si>
    <t>1, 5, 3</t>
  </si>
  <si>
    <t>HF339893207</t>
  </si>
  <si>
    <t>63655 x1</t>
  </si>
  <si>
    <t>LUKE, TIMOTHY</t>
  </si>
  <si>
    <t>ORTHO</t>
  </si>
  <si>
    <t>HF538467882</t>
  </si>
  <si>
    <t>63047 x1; 63048 x1</t>
  </si>
  <si>
    <t>M4316</t>
  </si>
  <si>
    <t>M51362</t>
  </si>
  <si>
    <t>M4726</t>
  </si>
  <si>
    <t>Q7649</t>
  </si>
  <si>
    <t>MCCUNNIFF, PETER</t>
  </si>
  <si>
    <t>63685 x1</t>
  </si>
  <si>
    <t>HF455478612</t>
  </si>
  <si>
    <t>G609</t>
  </si>
  <si>
    <t>G5783</t>
  </si>
  <si>
    <t>CURRIE, DAVID</t>
  </si>
  <si>
    <t>Premier Endoscopy Center, LLC</t>
  </si>
  <si>
    <t>HF538308641</t>
  </si>
  <si>
    <t>63047+XS x1; 63048 x1; 22612 x1</t>
  </si>
  <si>
    <t>XS</t>
  </si>
  <si>
    <t>M5416, M4317</t>
  </si>
  <si>
    <t>M48062, M4807</t>
  </si>
  <si>
    <t>HF425603516</t>
  </si>
  <si>
    <t>G90523</t>
  </si>
  <si>
    <t>HF539238719</t>
  </si>
  <si>
    <t>Mercy Care Plan (AHCCCS) - Complete Care &amp; Long Term Care (LTC)</t>
  </si>
  <si>
    <t>27279+LT x1</t>
  </si>
  <si>
    <t>M461</t>
  </si>
  <si>
    <t>HF517981468</t>
  </si>
  <si>
    <t>HealthSpring Medicare Advantage</t>
  </si>
  <si>
    <t>63048 x1</t>
  </si>
  <si>
    <t>CIGNA / CIGNA MEDICARE</t>
  </si>
  <si>
    <t>M4120</t>
  </si>
  <si>
    <t>HF490461961</t>
  </si>
  <si>
    <t>63047 x1</t>
  </si>
  <si>
    <t>HF537038069</t>
  </si>
  <si>
    <t>22853 x1; 22551 x1; 22845+59 x1</t>
  </si>
  <si>
    <t>59</t>
  </si>
  <si>
    <t>M4802</t>
  </si>
  <si>
    <t>M50021</t>
  </si>
  <si>
    <t>MAYURAN, VIKRAM</t>
  </si>
  <si>
    <t>Banner Desert Medical Center</t>
  </si>
  <si>
    <t>HF495165589</t>
  </si>
  <si>
    <t>22853 x1; 22845+59 x1; 22551 x1</t>
  </si>
  <si>
    <t>M4317</t>
  </si>
  <si>
    <t>HF536440270</t>
  </si>
  <si>
    <t>22853 x1; 22612 x1</t>
  </si>
  <si>
    <t>M48061</t>
  </si>
  <si>
    <t>HF404885397</t>
  </si>
  <si>
    <t>63655 x1; 63685 x1</t>
  </si>
  <si>
    <t>HF518096784</t>
  </si>
  <si>
    <t>Aetna Legacy</t>
  </si>
  <si>
    <t>AETNA</t>
  </si>
  <si>
    <t>US</t>
  </si>
  <si>
    <t>HF497596195</t>
  </si>
  <si>
    <t>93970 x1</t>
  </si>
  <si>
    <t>I8312</t>
  </si>
  <si>
    <t>I872</t>
  </si>
  <si>
    <t>HF553586044</t>
  </si>
  <si>
    <t>93970 x1; 93923 x1</t>
  </si>
  <si>
    <t>I4891</t>
  </si>
  <si>
    <t>I83893</t>
  </si>
  <si>
    <t>E785</t>
  </si>
  <si>
    <t>I10</t>
  </si>
  <si>
    <t>I739</t>
  </si>
  <si>
    <t>HF539049375</t>
  </si>
  <si>
    <t>CIGNA HealthSprings</t>
  </si>
  <si>
    <t>R600</t>
  </si>
  <si>
    <t>E139</t>
  </si>
  <si>
    <t>HF470511781</t>
  </si>
  <si>
    <t>M5412</t>
  </si>
  <si>
    <t>R609</t>
  </si>
  <si>
    <t>HF419953579</t>
  </si>
  <si>
    <t>93970 x1; 93923 x1; 93925 x1</t>
  </si>
  <si>
    <t>M47816</t>
  </si>
  <si>
    <t>HF546700195</t>
  </si>
  <si>
    <t>Tricare West</t>
  </si>
  <si>
    <t>93925 x1</t>
  </si>
  <si>
    <t>I70213</t>
  </si>
  <si>
    <t>ASAP - Surprise - Reems</t>
  </si>
  <si>
    <t>HF537299610</t>
  </si>
  <si>
    <t>I83811</t>
  </si>
  <si>
    <t>HF545494297</t>
  </si>
  <si>
    <t>HF442066976</t>
  </si>
  <si>
    <t>Aetna Medicare PPO</t>
  </si>
  <si>
    <t>HF550437353</t>
  </si>
  <si>
    <t>Banner Health &amp; Aetna Health Insurance Company</t>
  </si>
  <si>
    <t>93923 x1</t>
  </si>
  <si>
    <t>HF518754066</t>
  </si>
  <si>
    <t>HF505830380</t>
  </si>
  <si>
    <t>AARP MedicareComplete (SecureHorizons &amp; Oxford Network)</t>
  </si>
  <si>
    <t>AARP MA CHOICE / MEDICARE COMPLETE</t>
  </si>
  <si>
    <t>M79604</t>
  </si>
  <si>
    <t>M79605</t>
  </si>
  <si>
    <t>2026-03 March - Specialty Claims</t>
  </si>
  <si>
    <t>Row order - timely filing deadline</t>
  </si>
  <si>
    <t xml:space="preserve">    1 - Due in 5 days or less: 0</t>
  </si>
  <si>
    <t xml:space="preserve">    2 - Due in 6-30 days: 0</t>
  </si>
  <si>
    <t xml:space="preserve">    4 - Past deadline: 40</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</si>
  <si>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</si>
  <si>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</si>
  <si>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</si>
  <si>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</si>
  <si>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</si>
  <si>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</si>
  <si>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</si>
  <si>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</si>
  <si>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</si>
  <si>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</si>
  <si>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</si>
  <si>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</si>
  <si>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</si>
  <si>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</si>
  <si>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</si>
  <si>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</si>
  <si>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</si>
  <si>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 xml:space="preserve">Resubmitted to Alignment active on DOS </t>
  </si>
  <si>
    <t xml:space="preserve">Amanda adjusted balance - Denied with remark: The time limit for filing has expired - Claim was submitted on 07/14/2026 due to a credentialing issue pending resolution </t>
  </si>
  <si>
    <t>Adjusted balance - Dr. Krause was approved by Optum Medicare Adv on 04/08/2026 - JEFFREY A KRAUSE OON</t>
  </si>
  <si>
    <t>PAID</t>
  </si>
  <si>
    <t>PENDING POSTING</t>
  </si>
  <si>
    <t>Corrected rendering provider, and resubmitted</t>
  </si>
  <si>
    <t>Optum has no record of 99492 - that code was billed to UHC, not Optum - Resubmitted with 99492</t>
  </si>
  <si>
    <t>Reprocess when claim 570543000 is paid</t>
  </si>
  <si>
    <t>Duplicate payment - checks VP3502669763 and 5533489. VP3502669763 not found in NGO or Optum. Posting team notified to review - possible OP</t>
  </si>
  <si>
    <t>Added Date of Current Illness, claim note, and resubmitted</t>
  </si>
  <si>
    <t>Corrected claim back to 99214 and posted the adjustments as per payment -  we originally billed 99214, which matches the encounter notes for that date. The claim was then resubmitted with 99493 + 99494, but those codes are tied to DOS 03/18/2026 and match that date's note instead.</t>
  </si>
  <si>
    <t xml:space="preserve">Claim was adjusted - we should have billed this to Optum, and now we're out the 90 days we have to submit the claim </t>
  </si>
  <si>
    <t>Expected to denied as it's not covered - Resubmitted to BCBS AZ - Group corrected to MAY001 for BCBSAZ (53589) per BCBSAZ portal. A0021 is Medica-side group only</t>
  </si>
  <si>
    <t>Adjusted balance - Paid accordingly</t>
  </si>
  <si>
    <t>Shifted balance to PR as per EOB - ChampVA doesn't cover BH</t>
  </si>
  <si>
    <t>Pending</t>
  </si>
  <si>
    <t xml:space="preserve">secondary - Medicare didn't crossover to Mercy Care - Transmit electronically - Primary paid </t>
  </si>
  <si>
    <t xml:space="preserve">Resubmitted to Banner - Expected to be denied due to timely filing </t>
  </si>
  <si>
    <t>Jess corrected rendering to TIMOTHY BAUGHER, and resubmitted - We had JARRETT LEATHEM - DND The procedure code is inconsistent with the provider type/specialty (taxonomy).</t>
  </si>
  <si>
    <t xml:space="preserve">secondary - Rep Gloria C - Ins started the refund request - Rep sent claim back to have it reprocessed - Ref # 188336955 - Ticket # SF20260903906271400 - TAT 30 bd - OP by secondary insurance </t>
  </si>
  <si>
    <t>Edited insured's info, and resubmitted - DND Remark: Patient/Insured health identification number and name do not match</t>
  </si>
  <si>
    <t xml:space="preserve">Filed reconsideration with the 02/27/2026 order notes for BHE prior to SCS trial + March 2026 Monthly Review Summary - PIQ-90338069 - Jess uploaded MR </t>
  </si>
  <si>
    <t>Bundling with Claim ID 26F500108500 Line ID 1 on date of service 03/24/2026 CPT 64640</t>
  </si>
  <si>
    <t xml:space="preserve">Added referral # we have for SCS, and resubmitted - Not expected to be paid given that VA doesn't cover BH, and we don't have an RFS - DND due to missing referral </t>
  </si>
  <si>
    <t xml:space="preserve">secondary - PENDING POSTING - Adjusted allowed amount as per secondary EOB </t>
  </si>
  <si>
    <t>Resubmitted to Optum - DND R10: Optum Behavioral Health Responsibility</t>
  </si>
  <si>
    <t>Corrected ordering/referring provider, and resubmitted</t>
  </si>
  <si>
    <t>Edited dx order, and resubmitted - DND Diagnosis was invalid for the date(s) of service reported</t>
  </si>
  <si>
    <t>PAID - Insurance approved correction - Edited dx order, used I83811 as a primary code, and resubmitted - Denied payment for 93970 with remark: invalid dx</t>
  </si>
  <si>
    <t>Resubmitted to UHC as primary - DND This care may be covered by another payer per coordination of benefits</t>
  </si>
  <si>
    <t xml:space="preserve">secondary - Resubmitted to Tricare for life - claim sent to tricare west and cant be locate it on Availity </t>
  </si>
  <si>
    <t>Resubmitted to the same payer - Active coverage on DOS - DND Expenses incurred after coverage terminated</t>
  </si>
  <si>
    <t>93970 x1; 93925 x1</t>
  </si>
  <si>
    <t>Adjusted balance - 93923 bundled with 93925 - DND 93923  Mutually exclusive procedures cannot be done in the same day/setting</t>
  </si>
  <si>
    <t>Corrected cpt codes, added code 7, and resubmitted</t>
  </si>
  <si>
    <t>Corrected auth #, and resubmitted - UTN # required</t>
  </si>
  <si>
    <t>Payment approved - DX updated new one M54.16 resubmitted by Felipe - DND These are non-covered services because this is not deemed a 'medical necessity' by the payer</t>
  </si>
  <si>
    <t>Claim sent back for reprocessing - Confirmation Number: 4726257491890 - Rendering provider MCCUNNIFF - DND Missing/incomplete/invalid credentialing data</t>
  </si>
  <si>
    <t>Claim sent back for reprocessing - Confirmation Number: 4726257492330 - Rendering provider MCCUNNIFF - DND Missing/incomplete/invalid credentialing data</t>
  </si>
  <si>
    <t xml:space="preserve">secondary - Added COB info to crossover electronically - Primary paid </t>
  </si>
  <si>
    <t xml:space="preserve">Adjusted balance - Auth only included 62330 - DND 63047 missing auth </t>
  </si>
  <si>
    <t>Jess resubmitted claim on 08/31/2026</t>
  </si>
  <si>
    <t>Uploaded op notes from 03/12/2026 to 03/15/2026 - Request ID 35165602 - DND incomplete documentation - Jess uploaded MR</t>
  </si>
  <si>
    <t>Uploaded MR - PIQ-90849065</t>
  </si>
  <si>
    <t>secondary - Primary paid</t>
  </si>
  <si>
    <t>Recon sent to fax 615-401-4642 by Christian J - DND 63048 Treatment was deemed by the payer to have been rendered in an inappropriate or invalid place of service</t>
  </si>
  <si>
    <t>Edited dx codes, and resubmitted - DND due to invalid dx</t>
  </si>
  <si>
    <t>Under Review</t>
  </si>
  <si>
    <t>Waiting for payment to be posted, so I can cross over to secondary - Primary paid - Edited rendering and referral provider, and resubmitted - Invalid rendering provider NPIInvalid rendering provider NPI - Rejected</t>
  </si>
  <si>
    <t>Sent email to AZ Blue for insights - active coverage on DOS - DND Expenses incurred after coverage terminated</t>
  </si>
  <si>
    <t>Checking tax code on UMR records - I'm expecting a response by email</t>
  </si>
  <si>
    <t xml:space="preserve">I need to ask Juan for MR </t>
  </si>
  <si>
    <t>Not found</t>
  </si>
  <si>
    <t>Statuses currently in use: Denied, Finalized, Not found, PAID, Pending, Received, Rejected, Under Review.</t>
  </si>
  <si>
    <t>540 days</t>
  </si>
  <si>
    <t>66 claims with a date of service in 2026-03 March, split into one sheet per specialty: BH, DME, GAE, ORTHO, US.</t>
  </si>
  <si>
    <t>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</si>
  <si>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Order down the sheet, with the colour band each row gets, counted on 19 September 2026:</t>
  </si>
  <si>
    <t xml:space="preserve">    3 - Due in 31+ days: 23</t>
  </si>
  <si>
    <t xml:space="preserve">    5 - No limit on file: 3</t>
  </si>
  <si>
    <t>'ALL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</si>
  <si>
    <t>Uploaded MR - PIQ-92059096</t>
  </si>
  <si>
    <t>Adjusted balanced - No auth on file - DND no auth</t>
  </si>
  <si>
    <t xml:space="preserve">Added UTN, and resubmitted - DND no auth </t>
  </si>
  <si>
    <t>Shifted to PT - Surgical Dressing: not separately payable if incident to a physician's service - Palmetto GBA July 2026 DMEPOS_Jurisdiction_List article - DND A6023 Not covered</t>
  </si>
  <si>
    <t>Shifted to PT - ABN signed - Another L0650 was dispensed in the last 5 years - DND L0650 M3 Equipment is the same or similar to equipment already being used</t>
  </si>
  <si>
    <t>secondary - Primary paid - Updated Supplemental insurance info, and resubmitted</t>
  </si>
  <si>
    <t>PAID - Removed mod 79 - Added mod 24, and resubmitted - Added mod 79, and resubmitted</t>
  </si>
  <si>
    <t>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</si>
</sst>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xf numFmtId="1" fontId="2" fillId="0" borderId="1" xfId="0" applyNumberFormat="1" applyFont="1" applyBorder="1" applyAlignment="1">
      <alignment horizontal="righ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
  <sheetViews>
    <sheetView tabSelected="1" zoomScale="90" workbookViewId="0">
      <pane xSplit="2" ySplit="1" topLeftCell="C2" activePane="bottomRight" state="frozen"/>
      <selection pane="topRight"/>
      <selection pane="bottomLeft"/>
      <selection pane="bottomRight" activeCell="C21" sqref="C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1" customWidth="1"/>
    <col min="13" max="13" width="19.5703125" customWidth="1"/>
    <col min="14" max="14" width="15.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t="s">
        <v>350</v>
      </c>
      <c r="C2" s="3">
        <v>46126</v>
      </c>
      <c r="D2" s="4">
        <v>555140726</v>
      </c>
      <c r="E2" s="5" t="s">
        <v>40</v>
      </c>
      <c r="F2" s="6">
        <v>46098</v>
      </c>
      <c r="G2" s="5" t="s">
        <v>41</v>
      </c>
      <c r="H2" s="5" t="s">
        <v>41</v>
      </c>
      <c r="I2" s="5" t="s">
        <v>42</v>
      </c>
      <c r="J2" s="5" t="s">
        <v>43</v>
      </c>
      <c r="K2" s="3">
        <v>46245</v>
      </c>
      <c r="L2" s="12">
        <f t="shared" ref="L2:L30" ca="1" si="0">IF($O2="","",$O2-TODAY())</f>
        <v>-22</v>
      </c>
      <c r="M2" s="12">
        <f ca="1">IF($F2="","",$F2+180-TODAY())</f>
        <v>-22</v>
      </c>
      <c r="N2" s="12">
        <f ca="1">IF($C2="","",$C2+180-TODAY())</f>
        <v>6</v>
      </c>
      <c r="O2" s="6">
        <v>46278</v>
      </c>
      <c r="P2" s="5" t="s">
        <v>44</v>
      </c>
      <c r="Q2" s="5" t="s">
        <v>45</v>
      </c>
      <c r="R2" s="5" t="s">
        <v>44</v>
      </c>
      <c r="S2" s="5" t="s">
        <v>46</v>
      </c>
      <c r="T2" s="5" t="s">
        <v>44</v>
      </c>
      <c r="U2" s="5" t="s">
        <v>47</v>
      </c>
      <c r="V2" s="5"/>
      <c r="W2" s="5"/>
      <c r="X2" s="5"/>
      <c r="Y2" s="5" t="s">
        <v>48</v>
      </c>
      <c r="Z2" s="7">
        <v>1372.91</v>
      </c>
      <c r="AA2" s="7">
        <v>0</v>
      </c>
      <c r="AB2" s="7">
        <v>0</v>
      </c>
      <c r="AC2" s="6">
        <v>46126</v>
      </c>
      <c r="AD2" s="7">
        <v>1372.91</v>
      </c>
      <c r="AE2" s="4">
        <v>144</v>
      </c>
      <c r="AF2" s="5" t="s">
        <v>49</v>
      </c>
      <c r="AG2" s="5"/>
      <c r="AH2" s="5"/>
      <c r="AI2" s="5"/>
      <c r="AJ2" s="4"/>
      <c r="AK2" s="5" t="s">
        <v>50</v>
      </c>
      <c r="AL2" s="5" t="s">
        <v>51</v>
      </c>
      <c r="AM2" s="6">
        <v>46119</v>
      </c>
      <c r="AN2" s="5" t="s">
        <v>52</v>
      </c>
    </row>
    <row r="3" spans="1:40" x14ac:dyDescent="0.25">
      <c r="A3" s="2" t="s">
        <v>200</v>
      </c>
      <c r="B3" s="2" t="s">
        <v>351</v>
      </c>
      <c r="C3" s="3">
        <v>46129</v>
      </c>
      <c r="D3" s="4">
        <v>553329086</v>
      </c>
      <c r="E3" s="5" t="s">
        <v>53</v>
      </c>
      <c r="F3" s="6">
        <v>46101</v>
      </c>
      <c r="G3" s="5" t="s">
        <v>54</v>
      </c>
      <c r="H3" s="5" t="s">
        <v>54</v>
      </c>
      <c r="I3" s="5" t="s">
        <v>42</v>
      </c>
      <c r="J3" s="5" t="s">
        <v>55</v>
      </c>
      <c r="K3" s="3">
        <v>46266</v>
      </c>
      <c r="L3" s="12">
        <f t="shared" ca="1" si="0"/>
        <v>-19</v>
      </c>
      <c r="M3" s="12">
        <f ca="1">IF($C3="","",$C3+365-TODAY())</f>
        <v>194</v>
      </c>
      <c r="N3" s="12">
        <f ca="1">IF($C3="","",$C3+365-TODAY())</f>
        <v>194</v>
      </c>
      <c r="O3" s="6">
        <v>46281</v>
      </c>
      <c r="P3" s="5" t="s">
        <v>44</v>
      </c>
      <c r="Q3" s="5" t="s">
        <v>56</v>
      </c>
      <c r="R3" s="5" t="s">
        <v>57</v>
      </c>
      <c r="S3" s="5" t="s">
        <v>47</v>
      </c>
      <c r="T3" s="5" t="s">
        <v>57</v>
      </c>
      <c r="U3" s="5" t="s">
        <v>47</v>
      </c>
      <c r="V3" s="5"/>
      <c r="W3" s="5"/>
      <c r="X3" s="5"/>
      <c r="Y3" s="5" t="s">
        <v>48</v>
      </c>
      <c r="Z3" s="7">
        <v>1372.91</v>
      </c>
      <c r="AA3" s="7">
        <v>0</v>
      </c>
      <c r="AB3" s="7">
        <v>0</v>
      </c>
      <c r="AC3" s="6">
        <v>46129</v>
      </c>
      <c r="AD3" s="7">
        <v>1372.91</v>
      </c>
      <c r="AE3" s="4">
        <v>141</v>
      </c>
      <c r="AF3" s="5" t="s">
        <v>58</v>
      </c>
      <c r="AG3" s="5"/>
      <c r="AH3" s="5"/>
      <c r="AI3" s="5"/>
      <c r="AJ3" s="4"/>
      <c r="AK3" s="5" t="s">
        <v>59</v>
      </c>
      <c r="AL3" s="5" t="s">
        <v>60</v>
      </c>
      <c r="AM3" s="6">
        <v>46119</v>
      </c>
      <c r="AN3" s="5" t="s">
        <v>52</v>
      </c>
    </row>
    <row r="4" spans="1:40" x14ac:dyDescent="0.25">
      <c r="A4" s="2" t="s">
        <v>61</v>
      </c>
      <c r="B4" s="2" t="s">
        <v>352</v>
      </c>
      <c r="C4" s="3">
        <v>46141</v>
      </c>
      <c r="D4" s="4">
        <v>551389428</v>
      </c>
      <c r="E4" s="5" t="s">
        <v>62</v>
      </c>
      <c r="F4" s="6">
        <v>46083</v>
      </c>
      <c r="G4" s="5" t="s">
        <v>63</v>
      </c>
      <c r="H4" s="5" t="s">
        <v>64</v>
      </c>
      <c r="I4" s="5" t="s">
        <v>63</v>
      </c>
      <c r="J4" s="5" t="s">
        <v>65</v>
      </c>
      <c r="K4" s="3">
        <v>46268</v>
      </c>
      <c r="L4" s="12">
        <f t="shared" ca="1" si="0"/>
        <v>148</v>
      </c>
      <c r="M4" s="12">
        <f t="shared" ref="M4:M11" ca="1" si="1">IF($C4="","",$C4+365-TODAY())</f>
        <v>206</v>
      </c>
      <c r="N4" s="12">
        <f t="shared" ref="N4:N11" ca="1" si="2">IF($C4="","",$C4+120-TODAY())</f>
        <v>-39</v>
      </c>
      <c r="O4" s="6">
        <v>46448</v>
      </c>
      <c r="P4" s="5" t="s">
        <v>57</v>
      </c>
      <c r="Q4" s="5" t="s">
        <v>66</v>
      </c>
      <c r="R4" s="5" t="s">
        <v>57</v>
      </c>
      <c r="S4" s="5" t="s">
        <v>47</v>
      </c>
      <c r="T4" s="5" t="s">
        <v>67</v>
      </c>
      <c r="U4" s="5" t="s">
        <v>47</v>
      </c>
      <c r="V4" s="5"/>
      <c r="W4" s="5"/>
      <c r="X4" s="5"/>
      <c r="Y4" s="5" t="s">
        <v>48</v>
      </c>
      <c r="Z4" s="7">
        <v>1426.25</v>
      </c>
      <c r="AA4" s="7">
        <v>1184.69</v>
      </c>
      <c r="AB4" s="7">
        <v>198.17</v>
      </c>
      <c r="AC4" s="6">
        <v>46141</v>
      </c>
      <c r="AD4" s="7">
        <v>43.39</v>
      </c>
      <c r="AE4" s="4">
        <v>159</v>
      </c>
      <c r="AF4" s="5" t="s">
        <v>68</v>
      </c>
      <c r="AG4" s="5"/>
      <c r="AH4" s="5"/>
      <c r="AI4" s="5"/>
      <c r="AJ4" s="4">
        <v>559119307</v>
      </c>
      <c r="AK4" s="5" t="s">
        <v>69</v>
      </c>
      <c r="AL4" s="5" t="s">
        <v>51</v>
      </c>
      <c r="AM4" s="6">
        <v>46119</v>
      </c>
      <c r="AN4" s="5" t="s">
        <v>52</v>
      </c>
    </row>
    <row r="5" spans="1:40" x14ac:dyDescent="0.25">
      <c r="A5" s="2" t="s">
        <v>61</v>
      </c>
      <c r="B5" s="2" t="s">
        <v>352</v>
      </c>
      <c r="C5" s="3">
        <v>46141</v>
      </c>
      <c r="D5" s="4">
        <v>552404210</v>
      </c>
      <c r="E5" s="5" t="s">
        <v>74</v>
      </c>
      <c r="F5" s="6">
        <v>46092</v>
      </c>
      <c r="G5" s="5" t="s">
        <v>70</v>
      </c>
      <c r="H5" s="5" t="s">
        <v>64</v>
      </c>
      <c r="I5" s="5" t="s">
        <v>70</v>
      </c>
      <c r="J5" s="5" t="s">
        <v>43</v>
      </c>
      <c r="K5" s="3">
        <v>46268</v>
      </c>
      <c r="L5" s="12">
        <f t="shared" ca="1" si="0"/>
        <v>157</v>
      </c>
      <c r="M5" s="12">
        <f t="shared" ca="1" si="1"/>
        <v>206</v>
      </c>
      <c r="N5" s="12">
        <f t="shared" ca="1" si="2"/>
        <v>-39</v>
      </c>
      <c r="O5" s="6">
        <v>46457</v>
      </c>
      <c r="P5" s="5" t="s">
        <v>57</v>
      </c>
      <c r="Q5" s="5" t="s">
        <v>66</v>
      </c>
      <c r="R5" s="5" t="s">
        <v>57</v>
      </c>
      <c r="S5" s="5" t="s">
        <v>47</v>
      </c>
      <c r="T5" s="5" t="s">
        <v>67</v>
      </c>
      <c r="U5" s="5" t="s">
        <v>47</v>
      </c>
      <c r="V5" s="5"/>
      <c r="W5" s="5"/>
      <c r="X5" s="5"/>
      <c r="Y5" s="5" t="s">
        <v>48</v>
      </c>
      <c r="Z5" s="7">
        <v>1372.91</v>
      </c>
      <c r="AA5" s="7">
        <v>1147.73</v>
      </c>
      <c r="AB5" s="7">
        <v>184.73</v>
      </c>
      <c r="AC5" s="6">
        <v>46141</v>
      </c>
      <c r="AD5" s="7">
        <v>40.450000000000003</v>
      </c>
      <c r="AE5" s="4">
        <v>150</v>
      </c>
      <c r="AF5" s="5" t="s">
        <v>75</v>
      </c>
      <c r="AG5" s="5"/>
      <c r="AH5" s="5"/>
      <c r="AI5" s="5"/>
      <c r="AJ5" s="4">
        <v>559120113</v>
      </c>
      <c r="AK5" s="5" t="s">
        <v>69</v>
      </c>
      <c r="AL5" s="5" t="s">
        <v>73</v>
      </c>
      <c r="AM5" s="6">
        <v>46119</v>
      </c>
      <c r="AN5" s="5" t="s">
        <v>52</v>
      </c>
    </row>
    <row r="6" spans="1:40" x14ac:dyDescent="0.25">
      <c r="A6" s="2" t="s">
        <v>354</v>
      </c>
      <c r="B6" s="2" t="s">
        <v>405</v>
      </c>
      <c r="C6" s="3">
        <v>46283</v>
      </c>
      <c r="D6" s="4">
        <v>552644739</v>
      </c>
      <c r="E6" s="5" t="s">
        <v>76</v>
      </c>
      <c r="F6" s="6">
        <v>46093</v>
      </c>
      <c r="G6" s="5" t="s">
        <v>64</v>
      </c>
      <c r="H6" s="5" t="s">
        <v>64</v>
      </c>
      <c r="I6" s="5" t="s">
        <v>77</v>
      </c>
      <c r="J6" s="5" t="s">
        <v>78</v>
      </c>
      <c r="K6" s="3">
        <v>46290</v>
      </c>
      <c r="L6" s="12">
        <f t="shared" ca="1" si="0"/>
        <v>158</v>
      </c>
      <c r="M6" s="12">
        <f t="shared" ca="1" si="1"/>
        <v>348</v>
      </c>
      <c r="N6" s="12">
        <f t="shared" ca="1" si="2"/>
        <v>103</v>
      </c>
      <c r="O6" s="6">
        <v>46458</v>
      </c>
      <c r="P6" s="5" t="s">
        <v>57</v>
      </c>
      <c r="Q6" s="5" t="s">
        <v>66</v>
      </c>
      <c r="R6" s="5" t="s">
        <v>57</v>
      </c>
      <c r="S6" s="5" t="s">
        <v>47</v>
      </c>
      <c r="T6" s="5" t="s">
        <v>67</v>
      </c>
      <c r="U6" s="5" t="s">
        <v>47</v>
      </c>
      <c r="V6" s="5"/>
      <c r="W6" s="5"/>
      <c r="X6" s="5"/>
      <c r="Y6" s="5" t="s">
        <v>48</v>
      </c>
      <c r="Z6" s="7">
        <v>1426.25</v>
      </c>
      <c r="AA6" s="7">
        <v>0</v>
      </c>
      <c r="AB6" s="7">
        <v>0</v>
      </c>
      <c r="AC6" s="6"/>
      <c r="AD6" s="7">
        <v>1426.25</v>
      </c>
      <c r="AE6" s="4">
        <v>149</v>
      </c>
      <c r="AF6" s="5" t="s">
        <v>79</v>
      </c>
      <c r="AG6" s="5"/>
      <c r="AH6" s="5"/>
      <c r="AI6" s="5"/>
      <c r="AJ6" s="4"/>
      <c r="AK6" s="5" t="s">
        <v>80</v>
      </c>
      <c r="AL6" s="5" t="s">
        <v>73</v>
      </c>
      <c r="AM6" s="6">
        <v>46119</v>
      </c>
      <c r="AN6" s="5" t="s">
        <v>52</v>
      </c>
    </row>
    <row r="7" spans="1:40" x14ac:dyDescent="0.25">
      <c r="A7" s="2" t="s">
        <v>61</v>
      </c>
      <c r="B7" s="2" t="s">
        <v>352</v>
      </c>
      <c r="C7" s="3">
        <v>46141</v>
      </c>
      <c r="D7" s="4">
        <v>552606577</v>
      </c>
      <c r="E7" s="5" t="s">
        <v>81</v>
      </c>
      <c r="F7" s="6">
        <v>46094</v>
      </c>
      <c r="G7" s="5" t="s">
        <v>82</v>
      </c>
      <c r="H7" s="5" t="s">
        <v>64</v>
      </c>
      <c r="I7" s="5" t="s">
        <v>82</v>
      </c>
      <c r="J7" s="5" t="s">
        <v>65</v>
      </c>
      <c r="K7" s="3">
        <v>46268</v>
      </c>
      <c r="L7" s="12">
        <f t="shared" ca="1" si="0"/>
        <v>159</v>
      </c>
      <c r="M7" s="12">
        <f t="shared" ca="1" si="1"/>
        <v>206</v>
      </c>
      <c r="N7" s="12">
        <f t="shared" ca="1" si="2"/>
        <v>-39</v>
      </c>
      <c r="O7" s="6">
        <v>46459</v>
      </c>
      <c r="P7" s="5" t="s">
        <v>57</v>
      </c>
      <c r="Q7" s="5" t="s">
        <v>66</v>
      </c>
      <c r="R7" s="5" t="s">
        <v>57</v>
      </c>
      <c r="S7" s="5" t="s">
        <v>47</v>
      </c>
      <c r="T7" s="5" t="s">
        <v>67</v>
      </c>
      <c r="U7" s="5" t="s">
        <v>47</v>
      </c>
      <c r="V7" s="5"/>
      <c r="W7" s="5"/>
      <c r="X7" s="5"/>
      <c r="Y7" s="5" t="s">
        <v>48</v>
      </c>
      <c r="Z7" s="7">
        <v>1426.25</v>
      </c>
      <c r="AA7" s="7">
        <v>1184.69</v>
      </c>
      <c r="AB7" s="7">
        <v>198.17</v>
      </c>
      <c r="AC7" s="6">
        <v>46141</v>
      </c>
      <c r="AD7" s="7">
        <v>43.39</v>
      </c>
      <c r="AE7" s="4">
        <v>148</v>
      </c>
      <c r="AF7" s="5" t="s">
        <v>83</v>
      </c>
      <c r="AG7" s="5"/>
      <c r="AH7" s="5"/>
      <c r="AI7" s="5"/>
      <c r="AJ7" s="4">
        <v>559120100</v>
      </c>
      <c r="AK7" s="5" t="s">
        <v>84</v>
      </c>
      <c r="AL7" s="5" t="s">
        <v>60</v>
      </c>
      <c r="AM7" s="6">
        <v>46119</v>
      </c>
      <c r="AN7" s="5" t="s">
        <v>52</v>
      </c>
    </row>
    <row r="8" spans="1:40" x14ac:dyDescent="0.25">
      <c r="A8" s="2" t="s">
        <v>61</v>
      </c>
      <c r="B8" s="2" t="s">
        <v>353</v>
      </c>
      <c r="C8" s="3">
        <v>46210</v>
      </c>
      <c r="D8" s="4">
        <v>552857208</v>
      </c>
      <c r="E8" s="5" t="s">
        <v>85</v>
      </c>
      <c r="F8" s="6">
        <v>46094</v>
      </c>
      <c r="G8" s="5" t="s">
        <v>86</v>
      </c>
      <c r="H8" s="5" t="s">
        <v>64</v>
      </c>
      <c r="I8" s="5" t="s">
        <v>86</v>
      </c>
      <c r="J8" s="5" t="s">
        <v>78</v>
      </c>
      <c r="K8" s="3">
        <v>46268</v>
      </c>
      <c r="L8" s="12">
        <f t="shared" ca="1" si="0"/>
        <v>159</v>
      </c>
      <c r="M8" s="12">
        <f t="shared" ca="1" si="1"/>
        <v>275</v>
      </c>
      <c r="N8" s="12">
        <f t="shared" ca="1" si="2"/>
        <v>30</v>
      </c>
      <c r="O8" s="6">
        <v>46459</v>
      </c>
      <c r="P8" s="5" t="s">
        <v>57</v>
      </c>
      <c r="Q8" s="5" t="s">
        <v>66</v>
      </c>
      <c r="R8" s="5" t="s">
        <v>57</v>
      </c>
      <c r="S8" s="5" t="s">
        <v>47</v>
      </c>
      <c r="T8" s="5" t="s">
        <v>67</v>
      </c>
      <c r="U8" s="5" t="s">
        <v>47</v>
      </c>
      <c r="V8" s="5"/>
      <c r="W8" s="5"/>
      <c r="X8" s="5"/>
      <c r="Y8" s="5" t="s">
        <v>48</v>
      </c>
      <c r="Z8" s="7">
        <v>1426.25</v>
      </c>
      <c r="AA8" s="7">
        <v>1223.6600000000001</v>
      </c>
      <c r="AB8" s="7">
        <v>159.19999999999999</v>
      </c>
      <c r="AC8" s="6">
        <v>46210</v>
      </c>
      <c r="AD8" s="7">
        <v>43.39</v>
      </c>
      <c r="AE8" s="4">
        <v>148</v>
      </c>
      <c r="AF8" s="5" t="s">
        <v>68</v>
      </c>
      <c r="AG8" s="5"/>
      <c r="AH8" s="5"/>
      <c r="AI8" s="5"/>
      <c r="AJ8" s="4">
        <v>559120090</v>
      </c>
      <c r="AK8" s="5" t="s">
        <v>87</v>
      </c>
      <c r="AL8" s="5" t="s">
        <v>73</v>
      </c>
      <c r="AM8" s="6">
        <v>46119</v>
      </c>
      <c r="AN8" s="5" t="s">
        <v>52</v>
      </c>
    </row>
    <row r="9" spans="1:40" x14ac:dyDescent="0.25">
      <c r="A9" s="2" t="s">
        <v>354</v>
      </c>
      <c r="B9" s="2" t="s">
        <v>355</v>
      </c>
      <c r="C9" s="3">
        <v>46134</v>
      </c>
      <c r="D9" s="4">
        <v>554160609</v>
      </c>
      <c r="E9" s="5" t="s">
        <v>88</v>
      </c>
      <c r="F9" s="6">
        <v>46108</v>
      </c>
      <c r="G9" s="5" t="s">
        <v>89</v>
      </c>
      <c r="H9" s="5" t="s">
        <v>64</v>
      </c>
      <c r="I9" s="5" t="s">
        <v>89</v>
      </c>
      <c r="J9" s="5" t="s">
        <v>55</v>
      </c>
      <c r="K9" s="3">
        <v>46268</v>
      </c>
      <c r="L9" s="12">
        <f t="shared" ca="1" si="0"/>
        <v>173</v>
      </c>
      <c r="M9" s="12">
        <f t="shared" ca="1" si="1"/>
        <v>199</v>
      </c>
      <c r="N9" s="12">
        <f t="shared" ca="1" si="2"/>
        <v>-46</v>
      </c>
      <c r="O9" s="6">
        <v>46473</v>
      </c>
      <c r="P9" s="5" t="s">
        <v>57</v>
      </c>
      <c r="Q9" s="5" t="s">
        <v>66</v>
      </c>
      <c r="R9" s="5" t="s">
        <v>57</v>
      </c>
      <c r="S9" s="5" t="s">
        <v>47</v>
      </c>
      <c r="T9" s="5" t="s">
        <v>67</v>
      </c>
      <c r="U9" s="5" t="s">
        <v>47</v>
      </c>
      <c r="V9" s="5"/>
      <c r="W9" s="5"/>
      <c r="X9" s="5"/>
      <c r="Y9" s="5" t="s">
        <v>48</v>
      </c>
      <c r="Z9" s="7">
        <v>1372.91</v>
      </c>
      <c r="AA9" s="7">
        <v>1184.44</v>
      </c>
      <c r="AB9" s="7">
        <v>148.02000000000001</v>
      </c>
      <c r="AC9" s="6">
        <v>46134</v>
      </c>
      <c r="AD9" s="7">
        <v>40.450000000000003</v>
      </c>
      <c r="AE9" s="4">
        <v>134</v>
      </c>
      <c r="AF9" s="5" t="s">
        <v>90</v>
      </c>
      <c r="AG9" s="5"/>
      <c r="AH9" s="5"/>
      <c r="AI9" s="5"/>
      <c r="AJ9" s="4">
        <v>559120425</v>
      </c>
      <c r="AK9" s="5" t="s">
        <v>91</v>
      </c>
      <c r="AL9" s="5" t="s">
        <v>73</v>
      </c>
      <c r="AM9" s="6">
        <v>46119</v>
      </c>
      <c r="AN9" s="5" t="s">
        <v>52</v>
      </c>
    </row>
    <row r="10" spans="1:40" x14ac:dyDescent="0.25">
      <c r="A10" s="2" t="s">
        <v>386</v>
      </c>
      <c r="B10" s="2" t="s">
        <v>387</v>
      </c>
      <c r="C10" s="3">
        <v>46268</v>
      </c>
      <c r="D10" s="4">
        <v>555138984</v>
      </c>
      <c r="E10" s="5" t="s">
        <v>92</v>
      </c>
      <c r="F10" s="6">
        <v>46108</v>
      </c>
      <c r="G10" s="5" t="s">
        <v>64</v>
      </c>
      <c r="H10" s="5" t="s">
        <v>64</v>
      </c>
      <c r="I10" s="5" t="s">
        <v>70</v>
      </c>
      <c r="J10" s="5" t="s">
        <v>55</v>
      </c>
      <c r="K10" s="3">
        <v>46254</v>
      </c>
      <c r="L10" s="12">
        <f t="shared" ca="1" si="0"/>
        <v>173</v>
      </c>
      <c r="M10" s="12">
        <f t="shared" ca="1" si="1"/>
        <v>333</v>
      </c>
      <c r="N10" s="12">
        <f t="shared" ca="1" si="2"/>
        <v>88</v>
      </c>
      <c r="O10" s="6">
        <v>46473</v>
      </c>
      <c r="P10" s="5" t="s">
        <v>57</v>
      </c>
      <c r="Q10" s="5" t="s">
        <v>66</v>
      </c>
      <c r="R10" s="5" t="s">
        <v>57</v>
      </c>
      <c r="S10" s="5" t="s">
        <v>47</v>
      </c>
      <c r="T10" s="5" t="s">
        <v>67</v>
      </c>
      <c r="U10" s="5" t="s">
        <v>47</v>
      </c>
      <c r="V10" s="5"/>
      <c r="W10" s="5"/>
      <c r="X10" s="5"/>
      <c r="Y10" s="5" t="s">
        <v>48</v>
      </c>
      <c r="Z10" s="7">
        <v>1372.91</v>
      </c>
      <c r="AA10" s="7">
        <v>0</v>
      </c>
      <c r="AB10" s="7">
        <v>0</v>
      </c>
      <c r="AC10" s="6"/>
      <c r="AD10" s="7">
        <v>1372.91</v>
      </c>
      <c r="AE10" s="4">
        <v>134</v>
      </c>
      <c r="AF10" s="5" t="s">
        <v>68</v>
      </c>
      <c r="AG10" s="5"/>
      <c r="AH10" s="5"/>
      <c r="AI10" s="5"/>
      <c r="AJ10" s="4"/>
      <c r="AK10" s="5" t="s">
        <v>50</v>
      </c>
      <c r="AL10" s="5" t="s">
        <v>73</v>
      </c>
      <c r="AM10" s="6">
        <v>46119</v>
      </c>
      <c r="AN10" s="5" t="s">
        <v>52</v>
      </c>
    </row>
    <row r="11" spans="1:40" x14ac:dyDescent="0.25">
      <c r="A11" s="2" t="s">
        <v>200</v>
      </c>
      <c r="B11" s="2" t="s">
        <v>356</v>
      </c>
      <c r="C11" s="3">
        <v>46125</v>
      </c>
      <c r="D11" s="4">
        <v>554403926</v>
      </c>
      <c r="E11" s="5" t="s">
        <v>93</v>
      </c>
      <c r="F11" s="6">
        <v>46111</v>
      </c>
      <c r="G11" s="5" t="s">
        <v>64</v>
      </c>
      <c r="H11" s="5" t="s">
        <v>64</v>
      </c>
      <c r="I11" s="5" t="s">
        <v>94</v>
      </c>
      <c r="J11" s="5" t="s">
        <v>78</v>
      </c>
      <c r="K11" s="3">
        <v>46268</v>
      </c>
      <c r="L11" s="12">
        <f t="shared" ca="1" si="0"/>
        <v>176</v>
      </c>
      <c r="M11" s="12">
        <f t="shared" ca="1" si="1"/>
        <v>190</v>
      </c>
      <c r="N11" s="12">
        <f t="shared" ca="1" si="2"/>
        <v>-55</v>
      </c>
      <c r="O11" s="6">
        <v>46476</v>
      </c>
      <c r="P11" s="5" t="s">
        <v>57</v>
      </c>
      <c r="Q11" s="5" t="s">
        <v>66</v>
      </c>
      <c r="R11" s="5" t="s">
        <v>57</v>
      </c>
      <c r="S11" s="5" t="s">
        <v>47</v>
      </c>
      <c r="T11" s="5" t="s">
        <v>67</v>
      </c>
      <c r="U11" s="5" t="s">
        <v>47</v>
      </c>
      <c r="V11" s="5"/>
      <c r="W11" s="5"/>
      <c r="X11" s="5"/>
      <c r="Y11" s="5" t="s">
        <v>48</v>
      </c>
      <c r="Z11" s="7">
        <v>1426.25</v>
      </c>
      <c r="AA11" s="7">
        <v>0</v>
      </c>
      <c r="AB11" s="7">
        <v>0</v>
      </c>
      <c r="AC11" s="6">
        <v>46125</v>
      </c>
      <c r="AD11" s="7">
        <v>1426.25</v>
      </c>
      <c r="AE11" s="4">
        <v>131</v>
      </c>
      <c r="AF11" s="5" t="s">
        <v>79</v>
      </c>
      <c r="AG11" s="5"/>
      <c r="AH11" s="5"/>
      <c r="AI11" s="5"/>
      <c r="AJ11" s="4"/>
      <c r="AK11" s="5" t="s">
        <v>95</v>
      </c>
      <c r="AL11" s="5" t="s">
        <v>51</v>
      </c>
      <c r="AM11" s="6">
        <v>46119</v>
      </c>
      <c r="AN11" s="5" t="s">
        <v>52</v>
      </c>
    </row>
    <row r="12" spans="1:40" x14ac:dyDescent="0.25">
      <c r="A12" s="2" t="s">
        <v>200</v>
      </c>
      <c r="B12" s="2" t="s">
        <v>357</v>
      </c>
      <c r="C12" s="3">
        <v>46134</v>
      </c>
      <c r="D12" s="4">
        <v>566722180</v>
      </c>
      <c r="E12" s="5" t="s">
        <v>96</v>
      </c>
      <c r="F12" s="6">
        <v>46085</v>
      </c>
      <c r="G12" s="5" t="s">
        <v>70</v>
      </c>
      <c r="H12" s="5" t="s">
        <v>70</v>
      </c>
      <c r="I12" s="5" t="s">
        <v>64</v>
      </c>
      <c r="J12" s="5" t="s">
        <v>71</v>
      </c>
      <c r="K12" s="3">
        <v>46231</v>
      </c>
      <c r="L12" s="12">
        <f t="shared" ca="1" si="0"/>
        <v>-125</v>
      </c>
      <c r="M12" s="12">
        <f ca="1">IF($F12="","",$F12+90-TODAY())</f>
        <v>-125</v>
      </c>
      <c r="N12" s="12">
        <f t="shared" ref="N12:N23" ca="1" si="3">IF($C12="","",$C12+365-TODAY())</f>
        <v>199</v>
      </c>
      <c r="O12" s="6">
        <v>46175</v>
      </c>
      <c r="P12" s="5" t="s">
        <v>97</v>
      </c>
      <c r="Q12" s="5" t="s">
        <v>98</v>
      </c>
      <c r="R12" s="5" t="s">
        <v>97</v>
      </c>
      <c r="S12" s="5" t="s">
        <v>46</v>
      </c>
      <c r="T12" s="5" t="s">
        <v>57</v>
      </c>
      <c r="U12" s="5" t="s">
        <v>47</v>
      </c>
      <c r="V12" s="5"/>
      <c r="W12" s="5"/>
      <c r="X12" s="5"/>
      <c r="Y12" s="5" t="s">
        <v>72</v>
      </c>
      <c r="Z12" s="7">
        <v>1769.18</v>
      </c>
      <c r="AA12" s="7">
        <v>0</v>
      </c>
      <c r="AB12" s="7">
        <v>0</v>
      </c>
      <c r="AC12" s="6">
        <v>46134</v>
      </c>
      <c r="AD12" s="7">
        <v>1769.18</v>
      </c>
      <c r="AE12" s="4">
        <v>157</v>
      </c>
      <c r="AF12" s="5" t="s">
        <v>75</v>
      </c>
      <c r="AG12" s="5"/>
      <c r="AH12" s="5"/>
      <c r="AI12" s="5"/>
      <c r="AJ12" s="4"/>
      <c r="AK12" s="5" t="s">
        <v>99</v>
      </c>
      <c r="AL12" s="5" t="s">
        <v>60</v>
      </c>
      <c r="AM12" s="6">
        <v>46119</v>
      </c>
      <c r="AN12" s="5" t="s">
        <v>52</v>
      </c>
    </row>
    <row r="13" spans="1:40" x14ac:dyDescent="0.25">
      <c r="A13" s="2" t="s">
        <v>200</v>
      </c>
      <c r="B13" s="2" t="s">
        <v>345</v>
      </c>
      <c r="C13" s="3">
        <v>46141</v>
      </c>
      <c r="D13" s="4">
        <v>551769931</v>
      </c>
      <c r="E13" s="5" t="s">
        <v>100</v>
      </c>
      <c r="F13" s="6">
        <v>46086</v>
      </c>
      <c r="G13" s="5" t="s">
        <v>101</v>
      </c>
      <c r="H13" s="5" t="s">
        <v>101</v>
      </c>
      <c r="I13" s="5" t="s">
        <v>42</v>
      </c>
      <c r="J13" s="5" t="s">
        <v>43</v>
      </c>
      <c r="K13" s="3">
        <v>46265</v>
      </c>
      <c r="L13" s="12">
        <f t="shared" ca="1" si="0"/>
        <v>-124</v>
      </c>
      <c r="M13" s="12">
        <f ca="1">IF($C13="","",$C13+365-TODAY())</f>
        <v>206</v>
      </c>
      <c r="N13" s="12">
        <f t="shared" ca="1" si="3"/>
        <v>206</v>
      </c>
      <c r="O13" s="6">
        <v>46176</v>
      </c>
      <c r="P13" s="5" t="s">
        <v>97</v>
      </c>
      <c r="Q13" s="5" t="s">
        <v>102</v>
      </c>
      <c r="R13" s="5" t="s">
        <v>57</v>
      </c>
      <c r="S13" s="5" t="s">
        <v>47</v>
      </c>
      <c r="T13" s="5" t="s">
        <v>57</v>
      </c>
      <c r="U13" s="5" t="s">
        <v>47</v>
      </c>
      <c r="V13" s="5"/>
      <c r="W13" s="5"/>
      <c r="X13" s="5"/>
      <c r="Y13" s="5" t="s">
        <v>48</v>
      </c>
      <c r="Z13" s="7">
        <v>1372.91</v>
      </c>
      <c r="AA13" s="7">
        <v>0</v>
      </c>
      <c r="AB13" s="7">
        <v>0</v>
      </c>
      <c r="AC13" s="6">
        <v>46141</v>
      </c>
      <c r="AD13" s="7">
        <v>1372.91</v>
      </c>
      <c r="AE13" s="4">
        <v>156</v>
      </c>
      <c r="AF13" s="5" t="s">
        <v>79</v>
      </c>
      <c r="AG13" s="5"/>
      <c r="AH13" s="5"/>
      <c r="AI13" s="5"/>
      <c r="AJ13" s="4"/>
      <c r="AK13" s="5" t="s">
        <v>84</v>
      </c>
      <c r="AL13" s="5" t="s">
        <v>73</v>
      </c>
      <c r="AM13" s="6">
        <v>46119</v>
      </c>
      <c r="AN13" s="5" t="s">
        <v>52</v>
      </c>
    </row>
    <row r="14" spans="1:40" x14ac:dyDescent="0.25">
      <c r="A14" s="2" t="s">
        <v>354</v>
      </c>
      <c r="B14" s="2" t="s">
        <v>358</v>
      </c>
      <c r="C14" s="3">
        <v>46196</v>
      </c>
      <c r="D14" s="4">
        <v>551830492</v>
      </c>
      <c r="E14" s="5" t="s">
        <v>103</v>
      </c>
      <c r="F14" s="6">
        <v>46087</v>
      </c>
      <c r="G14" s="5" t="s">
        <v>104</v>
      </c>
      <c r="H14" s="5" t="s">
        <v>105</v>
      </c>
      <c r="I14" s="5" t="s">
        <v>104</v>
      </c>
      <c r="J14" s="5" t="s">
        <v>78</v>
      </c>
      <c r="K14" s="3">
        <v>46268</v>
      </c>
      <c r="L14" s="12">
        <f t="shared" ca="1" si="0"/>
        <v>-123</v>
      </c>
      <c r="M14" s="12">
        <f ca="1">IF($C14="","",$C14+180-TODAY())</f>
        <v>76</v>
      </c>
      <c r="N14" s="12">
        <f t="shared" ca="1" si="3"/>
        <v>261</v>
      </c>
      <c r="O14" s="6">
        <v>46177</v>
      </c>
      <c r="P14" s="5" t="s">
        <v>97</v>
      </c>
      <c r="Q14" s="5" t="s">
        <v>106</v>
      </c>
      <c r="R14" s="5" t="s">
        <v>44</v>
      </c>
      <c r="S14" s="5" t="s">
        <v>47</v>
      </c>
      <c r="T14" s="5" t="s">
        <v>57</v>
      </c>
      <c r="U14" s="5" t="s">
        <v>47</v>
      </c>
      <c r="V14" s="5"/>
      <c r="W14" s="5"/>
      <c r="X14" s="5"/>
      <c r="Y14" s="5" t="s">
        <v>48</v>
      </c>
      <c r="Z14" s="7">
        <v>1426.25</v>
      </c>
      <c r="AA14" s="7">
        <v>1223.69</v>
      </c>
      <c r="AB14" s="7">
        <v>354.8</v>
      </c>
      <c r="AC14" s="6">
        <v>46196</v>
      </c>
      <c r="AD14" s="7">
        <v>-152.24</v>
      </c>
      <c r="AE14" s="4">
        <v>155</v>
      </c>
      <c r="AF14" s="5" t="s">
        <v>83</v>
      </c>
      <c r="AG14" s="5"/>
      <c r="AH14" s="5"/>
      <c r="AI14" s="5"/>
      <c r="AJ14" s="4">
        <v>560056768</v>
      </c>
      <c r="AK14" s="5" t="s">
        <v>84</v>
      </c>
      <c r="AL14" s="5" t="s">
        <v>60</v>
      </c>
      <c r="AM14" s="6">
        <v>46119</v>
      </c>
      <c r="AN14" s="5" t="s">
        <v>52</v>
      </c>
    </row>
    <row r="15" spans="1:40" x14ac:dyDescent="0.25">
      <c r="A15" s="2" t="s">
        <v>200</v>
      </c>
      <c r="B15" s="2" t="s">
        <v>344</v>
      </c>
      <c r="C15" s="3">
        <v>46121</v>
      </c>
      <c r="D15" s="4">
        <v>551874008</v>
      </c>
      <c r="E15" s="5" t="s">
        <v>107</v>
      </c>
      <c r="F15" s="6">
        <v>46087</v>
      </c>
      <c r="G15" s="5" t="s">
        <v>101</v>
      </c>
      <c r="H15" s="5" t="s">
        <v>101</v>
      </c>
      <c r="I15" s="5" t="s">
        <v>42</v>
      </c>
      <c r="J15" s="5" t="s">
        <v>65</v>
      </c>
      <c r="K15" s="3">
        <v>46265</v>
      </c>
      <c r="L15" s="12">
        <f t="shared" ca="1" si="0"/>
        <v>-123</v>
      </c>
      <c r="M15" s="12">
        <f ca="1">IF($C15="","",$C15+365-TODAY())</f>
        <v>186</v>
      </c>
      <c r="N15" s="12">
        <f t="shared" ca="1" si="3"/>
        <v>186</v>
      </c>
      <c r="O15" s="6">
        <v>46177</v>
      </c>
      <c r="P15" s="5" t="s">
        <v>97</v>
      </c>
      <c r="Q15" s="5" t="s">
        <v>102</v>
      </c>
      <c r="R15" s="5" t="s">
        <v>57</v>
      </c>
      <c r="S15" s="5" t="s">
        <v>47</v>
      </c>
      <c r="T15" s="5" t="s">
        <v>57</v>
      </c>
      <c r="U15" s="5" t="s">
        <v>47</v>
      </c>
      <c r="V15" s="5"/>
      <c r="W15" s="5"/>
      <c r="X15" s="5"/>
      <c r="Y15" s="5" t="s">
        <v>48</v>
      </c>
      <c r="Z15" s="7">
        <v>1426.25</v>
      </c>
      <c r="AA15" s="7">
        <v>0</v>
      </c>
      <c r="AB15" s="7">
        <v>0</v>
      </c>
      <c r="AC15" s="6">
        <v>46121</v>
      </c>
      <c r="AD15" s="7">
        <v>1426.25</v>
      </c>
      <c r="AE15" s="4">
        <v>155</v>
      </c>
      <c r="AF15" s="5" t="s">
        <v>68</v>
      </c>
      <c r="AG15" s="5"/>
      <c r="AH15" s="5"/>
      <c r="AI15" s="5"/>
      <c r="AJ15" s="4"/>
      <c r="AK15" s="5" t="s">
        <v>80</v>
      </c>
      <c r="AL15" s="5" t="s">
        <v>73</v>
      </c>
      <c r="AM15" s="6">
        <v>46119</v>
      </c>
      <c r="AN15" s="5" t="s">
        <v>52</v>
      </c>
    </row>
    <row r="16" spans="1:40" x14ac:dyDescent="0.25">
      <c r="A16" s="2" t="s">
        <v>200</v>
      </c>
      <c r="B16" s="2" t="s">
        <v>339</v>
      </c>
      <c r="C16" s="3">
        <v>46121</v>
      </c>
      <c r="D16" s="4">
        <v>552405449</v>
      </c>
      <c r="E16" s="5" t="s">
        <v>108</v>
      </c>
      <c r="F16" s="6">
        <v>46092</v>
      </c>
      <c r="G16" s="5" t="s">
        <v>101</v>
      </c>
      <c r="H16" s="5" t="s">
        <v>101</v>
      </c>
      <c r="I16" s="5" t="s">
        <v>42</v>
      </c>
      <c r="J16" s="5" t="s">
        <v>78</v>
      </c>
      <c r="K16" s="3">
        <v>46257</v>
      </c>
      <c r="L16" s="12">
        <f t="shared" ca="1" si="0"/>
        <v>-118</v>
      </c>
      <c r="M16" s="12">
        <f ca="1">IF($C16="","",$C16+365-TODAY())</f>
        <v>186</v>
      </c>
      <c r="N16" s="12">
        <f t="shared" ca="1" si="3"/>
        <v>186</v>
      </c>
      <c r="O16" s="6">
        <v>46182</v>
      </c>
      <c r="P16" s="5" t="s">
        <v>97</v>
      </c>
      <c r="Q16" s="5" t="s">
        <v>102</v>
      </c>
      <c r="R16" s="5" t="s">
        <v>57</v>
      </c>
      <c r="S16" s="5" t="s">
        <v>47</v>
      </c>
      <c r="T16" s="5" t="s">
        <v>57</v>
      </c>
      <c r="U16" s="5" t="s">
        <v>47</v>
      </c>
      <c r="V16" s="5"/>
      <c r="W16" s="5"/>
      <c r="X16" s="5"/>
      <c r="Y16" s="5" t="s">
        <v>48</v>
      </c>
      <c r="Z16" s="7">
        <v>1426.25</v>
      </c>
      <c r="AA16" s="7">
        <v>0</v>
      </c>
      <c r="AB16" s="7">
        <v>0</v>
      </c>
      <c r="AC16" s="6">
        <v>46121</v>
      </c>
      <c r="AD16" s="7">
        <v>1426.25</v>
      </c>
      <c r="AE16" s="4">
        <v>150</v>
      </c>
      <c r="AF16" s="5" t="s">
        <v>79</v>
      </c>
      <c r="AG16" s="5"/>
      <c r="AH16" s="5"/>
      <c r="AI16" s="5"/>
      <c r="AJ16" s="4"/>
      <c r="AK16" s="5" t="s">
        <v>87</v>
      </c>
      <c r="AL16" s="5" t="s">
        <v>73</v>
      </c>
      <c r="AM16" s="6">
        <v>46119</v>
      </c>
      <c r="AN16" s="5" t="s">
        <v>52</v>
      </c>
    </row>
    <row r="17" spans="1:40" x14ac:dyDescent="0.25">
      <c r="A17" s="2" t="s">
        <v>61</v>
      </c>
      <c r="B17" s="2" t="s">
        <v>406</v>
      </c>
      <c r="C17" s="3">
        <v>46288</v>
      </c>
      <c r="D17" s="4">
        <v>563362999</v>
      </c>
      <c r="E17" s="5" t="s">
        <v>109</v>
      </c>
      <c r="F17" s="6">
        <v>46094</v>
      </c>
      <c r="G17" s="5" t="s">
        <v>104</v>
      </c>
      <c r="H17" s="5" t="s">
        <v>104</v>
      </c>
      <c r="I17" s="5" t="s">
        <v>42</v>
      </c>
      <c r="J17" s="5" t="s">
        <v>110</v>
      </c>
      <c r="K17" s="3">
        <v>46286</v>
      </c>
      <c r="L17" s="12">
        <f t="shared" ca="1" si="0"/>
        <v>-116</v>
      </c>
      <c r="M17" s="12">
        <f ca="1">IF($C17="","",$C17+180-TODAY())</f>
        <v>168</v>
      </c>
      <c r="N17" s="12">
        <f t="shared" ca="1" si="3"/>
        <v>353</v>
      </c>
      <c r="O17" s="6">
        <v>46184</v>
      </c>
      <c r="P17" s="5" t="s">
        <v>97</v>
      </c>
      <c r="Q17" s="5" t="s">
        <v>111</v>
      </c>
      <c r="R17" s="5" t="s">
        <v>44</v>
      </c>
      <c r="S17" s="5" t="s">
        <v>47</v>
      </c>
      <c r="T17" s="5" t="s">
        <v>57</v>
      </c>
      <c r="U17" s="5" t="s">
        <v>47</v>
      </c>
      <c r="V17" s="5" t="s">
        <v>112</v>
      </c>
      <c r="W17" s="5"/>
      <c r="X17" s="5"/>
      <c r="Y17" s="5" t="s">
        <v>48</v>
      </c>
      <c r="Z17" s="7">
        <v>1426.25</v>
      </c>
      <c r="AA17" s="7">
        <v>0</v>
      </c>
      <c r="AB17" s="7">
        <v>0</v>
      </c>
      <c r="AC17" s="6">
        <v>46223</v>
      </c>
      <c r="AD17" s="7">
        <v>1426.25</v>
      </c>
      <c r="AE17" s="4">
        <v>148</v>
      </c>
      <c r="AF17" s="5" t="s">
        <v>83</v>
      </c>
      <c r="AG17" s="5"/>
      <c r="AH17" s="5"/>
      <c r="AI17" s="5"/>
      <c r="AJ17" s="4"/>
      <c r="AK17" s="5" t="s">
        <v>95</v>
      </c>
      <c r="AL17" s="5" t="s">
        <v>60</v>
      </c>
      <c r="AM17" s="6">
        <v>46119</v>
      </c>
      <c r="AN17" s="5" t="s">
        <v>52</v>
      </c>
    </row>
    <row r="18" spans="1:40" x14ac:dyDescent="0.25">
      <c r="A18" s="2" t="s">
        <v>200</v>
      </c>
      <c r="B18" s="2" t="s">
        <v>359</v>
      </c>
      <c r="C18" s="3">
        <v>46135</v>
      </c>
      <c r="D18" s="4">
        <v>552859864</v>
      </c>
      <c r="E18" s="5" t="s">
        <v>113</v>
      </c>
      <c r="F18" s="6">
        <v>46097</v>
      </c>
      <c r="G18" s="5" t="s">
        <v>70</v>
      </c>
      <c r="H18" s="5" t="s">
        <v>70</v>
      </c>
      <c r="I18" s="5" t="s">
        <v>70</v>
      </c>
      <c r="J18" s="5" t="s">
        <v>65</v>
      </c>
      <c r="K18" s="3">
        <v>46268</v>
      </c>
      <c r="L18" s="12">
        <f t="shared" ca="1" si="0"/>
        <v>-113</v>
      </c>
      <c r="M18" s="12">
        <f ca="1">IF($F18="","",$F18+90-TODAY())</f>
        <v>-113</v>
      </c>
      <c r="N18" s="12">
        <f t="shared" ca="1" si="3"/>
        <v>200</v>
      </c>
      <c r="O18" s="6">
        <v>46187</v>
      </c>
      <c r="P18" s="5" t="s">
        <v>97</v>
      </c>
      <c r="Q18" s="5" t="s">
        <v>98</v>
      </c>
      <c r="R18" s="5" t="s">
        <v>97</v>
      </c>
      <c r="S18" s="5" t="s">
        <v>46</v>
      </c>
      <c r="T18" s="5" t="s">
        <v>57</v>
      </c>
      <c r="U18" s="5" t="s">
        <v>47</v>
      </c>
      <c r="V18" s="5"/>
      <c r="W18" s="5"/>
      <c r="X18" s="5"/>
      <c r="Y18" s="5" t="s">
        <v>48</v>
      </c>
      <c r="Z18" s="7">
        <v>1426.25</v>
      </c>
      <c r="AA18" s="7">
        <v>0</v>
      </c>
      <c r="AB18" s="7">
        <v>0</v>
      </c>
      <c r="AC18" s="6">
        <v>46135</v>
      </c>
      <c r="AD18" s="7">
        <v>1426.25</v>
      </c>
      <c r="AE18" s="4">
        <v>145</v>
      </c>
      <c r="AF18" s="5" t="s">
        <v>79</v>
      </c>
      <c r="AG18" s="5" t="s">
        <v>58</v>
      </c>
      <c r="AH18" s="5"/>
      <c r="AI18" s="5"/>
      <c r="AJ18" s="4"/>
      <c r="AK18" s="5" t="s">
        <v>59</v>
      </c>
      <c r="AL18" s="5" t="s">
        <v>51</v>
      </c>
      <c r="AM18" s="6">
        <v>46119</v>
      </c>
      <c r="AN18" s="5" t="s">
        <v>52</v>
      </c>
    </row>
    <row r="19" spans="1:40" x14ac:dyDescent="0.25">
      <c r="A19" s="2" t="s">
        <v>200</v>
      </c>
      <c r="B19" s="2" t="s">
        <v>360</v>
      </c>
      <c r="C19" s="3">
        <v>46161</v>
      </c>
      <c r="D19" s="4">
        <v>553133483</v>
      </c>
      <c r="E19" s="5" t="s">
        <v>114</v>
      </c>
      <c r="F19" s="6">
        <v>46099</v>
      </c>
      <c r="G19" s="5" t="s">
        <v>105</v>
      </c>
      <c r="H19" s="5" t="s">
        <v>105</v>
      </c>
      <c r="I19" s="5" t="s">
        <v>42</v>
      </c>
      <c r="J19" s="5" t="s">
        <v>78</v>
      </c>
      <c r="K19" s="3">
        <v>46268</v>
      </c>
      <c r="L19" s="12">
        <f t="shared" ca="1" si="0"/>
        <v>-111</v>
      </c>
      <c r="M19" s="12">
        <f ca="1">IF($C19="","",$C19+180-TODAY())</f>
        <v>41</v>
      </c>
      <c r="N19" s="12">
        <f t="shared" ca="1" si="3"/>
        <v>226</v>
      </c>
      <c r="O19" s="6">
        <v>46189</v>
      </c>
      <c r="P19" s="5" t="s">
        <v>97</v>
      </c>
      <c r="Q19" s="5" t="s">
        <v>106</v>
      </c>
      <c r="R19" s="5" t="s">
        <v>44</v>
      </c>
      <c r="S19" s="5" t="s">
        <v>47</v>
      </c>
      <c r="T19" s="5" t="s">
        <v>57</v>
      </c>
      <c r="U19" s="5" t="s">
        <v>47</v>
      </c>
      <c r="V19" s="5"/>
      <c r="W19" s="5"/>
      <c r="X19" s="5"/>
      <c r="Y19" s="5" t="s">
        <v>48</v>
      </c>
      <c r="Z19" s="7">
        <v>1426.25</v>
      </c>
      <c r="AA19" s="7">
        <v>0</v>
      </c>
      <c r="AB19" s="7">
        <v>0</v>
      </c>
      <c r="AC19" s="6">
        <v>46161</v>
      </c>
      <c r="AD19" s="7">
        <v>1426.25</v>
      </c>
      <c r="AE19" s="4">
        <v>143</v>
      </c>
      <c r="AF19" s="5" t="s">
        <v>83</v>
      </c>
      <c r="AG19" s="5"/>
      <c r="AH19" s="5"/>
      <c r="AI19" s="5"/>
      <c r="AJ19" s="4"/>
      <c r="AK19" s="5" t="s">
        <v>87</v>
      </c>
      <c r="AL19" s="5" t="s">
        <v>60</v>
      </c>
      <c r="AM19" s="6">
        <v>46119</v>
      </c>
      <c r="AN19" s="5" t="s">
        <v>52</v>
      </c>
    </row>
    <row r="20" spans="1:40" x14ac:dyDescent="0.25">
      <c r="A20" s="2" t="s">
        <v>200</v>
      </c>
      <c r="B20" s="2" t="s">
        <v>348</v>
      </c>
      <c r="C20" s="3">
        <v>46167</v>
      </c>
      <c r="D20" s="4">
        <v>553148506</v>
      </c>
      <c r="E20" s="5" t="s">
        <v>115</v>
      </c>
      <c r="F20" s="6">
        <v>46099</v>
      </c>
      <c r="G20" s="5" t="s">
        <v>101</v>
      </c>
      <c r="H20" s="5" t="s">
        <v>101</v>
      </c>
      <c r="I20" s="5" t="s">
        <v>42</v>
      </c>
      <c r="J20" s="5" t="s">
        <v>43</v>
      </c>
      <c r="K20" s="3">
        <v>46265</v>
      </c>
      <c r="L20" s="12">
        <f t="shared" ca="1" si="0"/>
        <v>-111</v>
      </c>
      <c r="M20" s="12">
        <f ca="1">IF($C20="","",$C20+365-TODAY())</f>
        <v>232</v>
      </c>
      <c r="N20" s="12">
        <f t="shared" ca="1" si="3"/>
        <v>232</v>
      </c>
      <c r="O20" s="6">
        <v>46189</v>
      </c>
      <c r="P20" s="5" t="s">
        <v>97</v>
      </c>
      <c r="Q20" s="5" t="s">
        <v>102</v>
      </c>
      <c r="R20" s="5" t="s">
        <v>57</v>
      </c>
      <c r="S20" s="5" t="s">
        <v>47</v>
      </c>
      <c r="T20" s="5" t="s">
        <v>57</v>
      </c>
      <c r="U20" s="5" t="s">
        <v>47</v>
      </c>
      <c r="V20" s="5"/>
      <c r="W20" s="5"/>
      <c r="X20" s="5"/>
      <c r="Y20" s="5" t="s">
        <v>48</v>
      </c>
      <c r="Z20" s="7">
        <v>1372.91</v>
      </c>
      <c r="AA20" s="7">
        <v>0</v>
      </c>
      <c r="AB20" s="7">
        <v>0</v>
      </c>
      <c r="AC20" s="6">
        <v>46167</v>
      </c>
      <c r="AD20" s="7">
        <v>1372.91</v>
      </c>
      <c r="AE20" s="4">
        <v>143</v>
      </c>
      <c r="AF20" s="5" t="s">
        <v>116</v>
      </c>
      <c r="AG20" s="5" t="s">
        <v>58</v>
      </c>
      <c r="AH20" s="5"/>
      <c r="AI20" s="5"/>
      <c r="AJ20" s="4"/>
      <c r="AK20" s="5" t="s">
        <v>69</v>
      </c>
      <c r="AL20" s="5" t="s">
        <v>60</v>
      </c>
      <c r="AM20" s="6">
        <v>46153</v>
      </c>
      <c r="AN20" s="5" t="s">
        <v>52</v>
      </c>
    </row>
    <row r="21" spans="1:40" x14ac:dyDescent="0.25">
      <c r="A21" s="2" t="s">
        <v>342</v>
      </c>
      <c r="B21" s="2" t="s">
        <v>347</v>
      </c>
      <c r="C21" s="3">
        <v>46185</v>
      </c>
      <c r="D21" s="4">
        <v>553362911</v>
      </c>
      <c r="E21" s="5" t="s">
        <v>117</v>
      </c>
      <c r="F21" s="6">
        <v>46101</v>
      </c>
      <c r="G21" s="5" t="s">
        <v>101</v>
      </c>
      <c r="H21" s="5" t="s">
        <v>101</v>
      </c>
      <c r="I21" s="5" t="s">
        <v>42</v>
      </c>
      <c r="J21" s="5" t="s">
        <v>78</v>
      </c>
      <c r="K21" s="3">
        <v>46266</v>
      </c>
      <c r="L21" s="12">
        <f t="shared" ca="1" si="0"/>
        <v>-109</v>
      </c>
      <c r="M21" s="12">
        <f ca="1">IF($C21="","",$C21+365-TODAY())</f>
        <v>250</v>
      </c>
      <c r="N21" s="12">
        <f t="shared" ca="1" si="3"/>
        <v>250</v>
      </c>
      <c r="O21" s="6">
        <v>46191</v>
      </c>
      <c r="P21" s="5" t="s">
        <v>97</v>
      </c>
      <c r="Q21" s="5" t="s">
        <v>102</v>
      </c>
      <c r="R21" s="5" t="s">
        <v>57</v>
      </c>
      <c r="S21" s="5" t="s">
        <v>47</v>
      </c>
      <c r="T21" s="5" t="s">
        <v>57</v>
      </c>
      <c r="U21" s="5" t="s">
        <v>47</v>
      </c>
      <c r="V21" s="5"/>
      <c r="W21" s="5"/>
      <c r="X21" s="5"/>
      <c r="Y21" s="5" t="s">
        <v>48</v>
      </c>
      <c r="Z21" s="7">
        <v>1426.25</v>
      </c>
      <c r="AA21" s="7">
        <v>1245.54</v>
      </c>
      <c r="AB21" s="7">
        <v>361.42</v>
      </c>
      <c r="AC21" s="6">
        <v>46185</v>
      </c>
      <c r="AD21" s="7">
        <v>-180.71</v>
      </c>
      <c r="AE21" s="4">
        <v>141</v>
      </c>
      <c r="AF21" s="5" t="s">
        <v>68</v>
      </c>
      <c r="AG21" s="5"/>
      <c r="AH21" s="5"/>
      <c r="AI21" s="5"/>
      <c r="AJ21" s="4"/>
      <c r="AK21" s="5" t="s">
        <v>59</v>
      </c>
      <c r="AL21" s="5" t="s">
        <v>73</v>
      </c>
      <c r="AM21" s="6">
        <v>46119</v>
      </c>
      <c r="AN21" s="5" t="s">
        <v>52</v>
      </c>
    </row>
    <row r="22" spans="1:40" x14ac:dyDescent="0.25">
      <c r="A22" s="2" t="s">
        <v>386</v>
      </c>
      <c r="B22" s="2" t="s">
        <v>388</v>
      </c>
      <c r="C22" s="3">
        <v>46124</v>
      </c>
      <c r="D22" s="4">
        <v>553498942</v>
      </c>
      <c r="E22" s="5" t="s">
        <v>118</v>
      </c>
      <c r="F22" s="6">
        <v>46101</v>
      </c>
      <c r="G22" s="5" t="s">
        <v>70</v>
      </c>
      <c r="H22" s="5" t="s">
        <v>70</v>
      </c>
      <c r="I22" s="5" t="s">
        <v>42</v>
      </c>
      <c r="J22" s="5" t="s">
        <v>65</v>
      </c>
      <c r="K22" s="3">
        <v>46268</v>
      </c>
      <c r="L22" s="12">
        <f t="shared" ca="1" si="0"/>
        <v>-109</v>
      </c>
      <c r="M22" s="12">
        <f ca="1">IF($F22="","",$F22+90-TODAY())</f>
        <v>-109</v>
      </c>
      <c r="N22" s="12">
        <f t="shared" ca="1" si="3"/>
        <v>189</v>
      </c>
      <c r="O22" s="6">
        <v>46191</v>
      </c>
      <c r="P22" s="5" t="s">
        <v>97</v>
      </c>
      <c r="Q22" s="5" t="s">
        <v>98</v>
      </c>
      <c r="R22" s="5" t="s">
        <v>97</v>
      </c>
      <c r="S22" s="5" t="s">
        <v>46</v>
      </c>
      <c r="T22" s="5" t="s">
        <v>57</v>
      </c>
      <c r="U22" s="5" t="s">
        <v>47</v>
      </c>
      <c r="V22" s="5"/>
      <c r="W22" s="5"/>
      <c r="X22" s="5"/>
      <c r="Y22" s="5" t="s">
        <v>48</v>
      </c>
      <c r="Z22" s="7">
        <v>1426.25</v>
      </c>
      <c r="AA22" s="7">
        <v>0</v>
      </c>
      <c r="AB22" s="7">
        <v>0</v>
      </c>
      <c r="AC22" s="6">
        <v>46124</v>
      </c>
      <c r="AD22" s="7">
        <v>1426.25</v>
      </c>
      <c r="AE22" s="4">
        <v>141</v>
      </c>
      <c r="AF22" s="5" t="s">
        <v>68</v>
      </c>
      <c r="AG22" s="5"/>
      <c r="AH22" s="5"/>
      <c r="AI22" s="5"/>
      <c r="AJ22" s="4"/>
      <c r="AK22" s="5" t="s">
        <v>119</v>
      </c>
      <c r="AL22" s="5" t="s">
        <v>73</v>
      </c>
      <c r="AM22" s="6">
        <v>46119</v>
      </c>
      <c r="AN22" s="5" t="s">
        <v>52</v>
      </c>
    </row>
    <row r="23" spans="1:40" x14ac:dyDescent="0.25">
      <c r="A23" s="2" t="s">
        <v>61</v>
      </c>
      <c r="B23" s="2" t="s">
        <v>349</v>
      </c>
      <c r="C23" s="3">
        <v>46141</v>
      </c>
      <c r="D23" s="4">
        <v>555169750</v>
      </c>
      <c r="E23" s="5" t="s">
        <v>115</v>
      </c>
      <c r="F23" s="6">
        <v>46104</v>
      </c>
      <c r="G23" s="5" t="s">
        <v>101</v>
      </c>
      <c r="H23" s="5" t="s">
        <v>101</v>
      </c>
      <c r="I23" s="5" t="s">
        <v>42</v>
      </c>
      <c r="J23" s="5" t="s">
        <v>120</v>
      </c>
      <c r="K23" s="3">
        <v>46266</v>
      </c>
      <c r="L23" s="12">
        <f t="shared" ca="1" si="0"/>
        <v>-106</v>
      </c>
      <c r="M23" s="12">
        <f ca="1">IF($C23="","",$C23+365-TODAY())</f>
        <v>206</v>
      </c>
      <c r="N23" s="12">
        <f t="shared" ca="1" si="3"/>
        <v>206</v>
      </c>
      <c r="O23" s="6">
        <v>46194</v>
      </c>
      <c r="P23" s="5" t="s">
        <v>97</v>
      </c>
      <c r="Q23" s="5" t="s">
        <v>102</v>
      </c>
      <c r="R23" s="5" t="s">
        <v>57</v>
      </c>
      <c r="S23" s="5" t="s">
        <v>47</v>
      </c>
      <c r="T23" s="5" t="s">
        <v>57</v>
      </c>
      <c r="U23" s="5" t="s">
        <v>47</v>
      </c>
      <c r="V23" s="5"/>
      <c r="W23" s="5"/>
      <c r="X23" s="5"/>
      <c r="Y23" s="5" t="s">
        <v>48</v>
      </c>
      <c r="Z23" s="7">
        <v>396.27</v>
      </c>
      <c r="AA23" s="7">
        <v>0</v>
      </c>
      <c r="AB23" s="7">
        <v>0</v>
      </c>
      <c r="AC23" s="6">
        <v>46141</v>
      </c>
      <c r="AD23" s="7">
        <v>396.27</v>
      </c>
      <c r="AE23" s="4">
        <v>138</v>
      </c>
      <c r="AF23" s="5" t="s">
        <v>121</v>
      </c>
      <c r="AG23" s="5" t="s">
        <v>122</v>
      </c>
      <c r="AH23" s="5"/>
      <c r="AI23" s="5"/>
      <c r="AJ23" s="4"/>
      <c r="AK23" s="5" t="s">
        <v>69</v>
      </c>
      <c r="AL23" s="5" t="s">
        <v>123</v>
      </c>
      <c r="AM23" s="6">
        <v>46105</v>
      </c>
      <c r="AN23" s="5" t="s">
        <v>52</v>
      </c>
    </row>
    <row r="24" spans="1:40" x14ac:dyDescent="0.25">
      <c r="A24" s="2" t="s">
        <v>61</v>
      </c>
      <c r="B24" s="2" t="s">
        <v>353</v>
      </c>
      <c r="C24" s="3">
        <v>46123</v>
      </c>
      <c r="D24" s="4">
        <v>554246495</v>
      </c>
      <c r="E24" s="5" t="s">
        <v>124</v>
      </c>
      <c r="F24" s="6">
        <v>46106</v>
      </c>
      <c r="G24" s="5" t="s">
        <v>86</v>
      </c>
      <c r="H24" s="5" t="s">
        <v>125</v>
      </c>
      <c r="I24" s="5" t="s">
        <v>86</v>
      </c>
      <c r="J24" s="5" t="s">
        <v>126</v>
      </c>
      <c r="K24" s="3">
        <v>46268</v>
      </c>
      <c r="L24" s="12">
        <f t="shared" ca="1" si="0"/>
        <v>-104</v>
      </c>
      <c r="M24" s="12">
        <f ca="1">IF($F24="","",$F24+90-TODAY())</f>
        <v>-104</v>
      </c>
      <c r="N24" s="12">
        <f ca="1">IF($C24="","",$C24+540-TODAY())</f>
        <v>363</v>
      </c>
      <c r="O24" s="6">
        <v>46196</v>
      </c>
      <c r="P24" s="5" t="s">
        <v>97</v>
      </c>
      <c r="Q24" s="5" t="s">
        <v>127</v>
      </c>
      <c r="R24" s="5" t="s">
        <v>97</v>
      </c>
      <c r="S24" s="5" t="s">
        <v>46</v>
      </c>
      <c r="T24" s="5" t="s">
        <v>393</v>
      </c>
      <c r="U24" s="5" t="s">
        <v>47</v>
      </c>
      <c r="V24" s="5"/>
      <c r="W24" s="5"/>
      <c r="X24" s="5"/>
      <c r="Y24" s="5" t="s">
        <v>48</v>
      </c>
      <c r="Z24" s="7">
        <v>1029.98</v>
      </c>
      <c r="AA24" s="7">
        <v>883.53</v>
      </c>
      <c r="AB24" s="7">
        <v>121.45</v>
      </c>
      <c r="AC24" s="6">
        <v>46123</v>
      </c>
      <c r="AD24" s="7">
        <v>25</v>
      </c>
      <c r="AE24" s="4">
        <v>136</v>
      </c>
      <c r="AF24" s="5" t="s">
        <v>49</v>
      </c>
      <c r="AG24" s="5"/>
      <c r="AH24" s="5"/>
      <c r="AI24" s="5"/>
      <c r="AJ24" s="4">
        <v>557570817</v>
      </c>
      <c r="AK24" s="5" t="s">
        <v>91</v>
      </c>
      <c r="AL24" s="5" t="s">
        <v>73</v>
      </c>
      <c r="AM24" s="6">
        <v>46119</v>
      </c>
      <c r="AN24" s="5" t="s">
        <v>52</v>
      </c>
    </row>
    <row r="25" spans="1:40" x14ac:dyDescent="0.25">
      <c r="A25" s="2" t="s">
        <v>200</v>
      </c>
      <c r="B25" s="2" t="s">
        <v>346</v>
      </c>
      <c r="C25" s="3">
        <v>46141</v>
      </c>
      <c r="D25" s="4">
        <v>554088972</v>
      </c>
      <c r="E25" s="5" t="s">
        <v>128</v>
      </c>
      <c r="F25" s="6">
        <v>46108</v>
      </c>
      <c r="G25" s="5" t="s">
        <v>101</v>
      </c>
      <c r="H25" s="5" t="s">
        <v>101</v>
      </c>
      <c r="I25" s="5" t="s">
        <v>42</v>
      </c>
      <c r="J25" s="5" t="s">
        <v>55</v>
      </c>
      <c r="K25" s="3">
        <v>46266</v>
      </c>
      <c r="L25" s="12">
        <f t="shared" ca="1" si="0"/>
        <v>-102</v>
      </c>
      <c r="M25" s="12">
        <f ca="1">IF($C25="","",$C25+365-TODAY())</f>
        <v>206</v>
      </c>
      <c r="N25" s="12">
        <f ca="1">IF($C25="","",$C25+365-TODAY())</f>
        <v>206</v>
      </c>
      <c r="O25" s="6">
        <v>46198</v>
      </c>
      <c r="P25" s="5" t="s">
        <v>97</v>
      </c>
      <c r="Q25" s="5" t="s">
        <v>102</v>
      </c>
      <c r="R25" s="5" t="s">
        <v>57</v>
      </c>
      <c r="S25" s="5" t="s">
        <v>47</v>
      </c>
      <c r="T25" s="5" t="s">
        <v>57</v>
      </c>
      <c r="U25" s="5" t="s">
        <v>47</v>
      </c>
      <c r="V25" s="5"/>
      <c r="W25" s="5"/>
      <c r="X25" s="5"/>
      <c r="Y25" s="5" t="s">
        <v>48</v>
      </c>
      <c r="Z25" s="7">
        <v>1372.91</v>
      </c>
      <c r="AA25" s="7">
        <v>0</v>
      </c>
      <c r="AB25" s="7">
        <v>0</v>
      </c>
      <c r="AC25" s="6">
        <v>46141</v>
      </c>
      <c r="AD25" s="7">
        <v>1372.91</v>
      </c>
      <c r="AE25" s="4">
        <v>134</v>
      </c>
      <c r="AF25" s="5" t="s">
        <v>79</v>
      </c>
      <c r="AG25" s="5"/>
      <c r="AH25" s="5"/>
      <c r="AI25" s="5"/>
      <c r="AJ25" s="4"/>
      <c r="AK25" s="5" t="s">
        <v>84</v>
      </c>
      <c r="AL25" s="5" t="s">
        <v>60</v>
      </c>
      <c r="AM25" s="6">
        <v>46119</v>
      </c>
      <c r="AN25" s="5" t="s">
        <v>52</v>
      </c>
    </row>
    <row r="26" spans="1:40" x14ac:dyDescent="0.25">
      <c r="A26" s="2" t="s">
        <v>200</v>
      </c>
      <c r="B26" s="2" t="s">
        <v>361</v>
      </c>
      <c r="C26" s="3">
        <v>46197</v>
      </c>
      <c r="D26" s="4">
        <v>563362114</v>
      </c>
      <c r="E26" s="5" t="s">
        <v>129</v>
      </c>
      <c r="F26" s="6">
        <v>46108</v>
      </c>
      <c r="G26" s="5" t="s">
        <v>104</v>
      </c>
      <c r="H26" s="5" t="s">
        <v>104</v>
      </c>
      <c r="I26" s="5" t="s">
        <v>42</v>
      </c>
      <c r="J26" s="5" t="s">
        <v>130</v>
      </c>
      <c r="K26" s="3">
        <v>46148</v>
      </c>
      <c r="L26" s="12">
        <f t="shared" ca="1" si="0"/>
        <v>-102</v>
      </c>
      <c r="M26" s="12">
        <f ca="1">IF($C26="","",$C26+180-TODAY())</f>
        <v>77</v>
      </c>
      <c r="N26" s="12">
        <f ca="1">IF($C26="","",$C26+365-TODAY())</f>
        <v>262</v>
      </c>
      <c r="O26" s="6">
        <v>46198</v>
      </c>
      <c r="P26" s="5" t="s">
        <v>97</v>
      </c>
      <c r="Q26" s="5" t="s">
        <v>111</v>
      </c>
      <c r="R26" s="5" t="s">
        <v>44</v>
      </c>
      <c r="S26" s="5" t="s">
        <v>47</v>
      </c>
      <c r="T26" s="5" t="s">
        <v>57</v>
      </c>
      <c r="U26" s="5" t="s">
        <v>47</v>
      </c>
      <c r="V26" s="5" t="s">
        <v>112</v>
      </c>
      <c r="W26" s="5"/>
      <c r="X26" s="5"/>
      <c r="Y26" s="5" t="s">
        <v>48</v>
      </c>
      <c r="Z26" s="7">
        <v>1426.25</v>
      </c>
      <c r="AA26" s="7">
        <v>0</v>
      </c>
      <c r="AB26" s="7">
        <v>0</v>
      </c>
      <c r="AC26" s="6">
        <v>46197</v>
      </c>
      <c r="AD26" s="7">
        <v>1426.25</v>
      </c>
      <c r="AE26" s="4">
        <v>134</v>
      </c>
      <c r="AF26" s="5" t="s">
        <v>79</v>
      </c>
      <c r="AG26" s="5"/>
      <c r="AH26" s="5"/>
      <c r="AI26" s="5"/>
      <c r="AJ26" s="4"/>
      <c r="AK26" s="5" t="s">
        <v>84</v>
      </c>
      <c r="AL26" s="5" t="s">
        <v>60</v>
      </c>
      <c r="AM26" s="6">
        <v>46119</v>
      </c>
      <c r="AN26" s="5" t="s">
        <v>52</v>
      </c>
    </row>
    <row r="27" spans="1:40" x14ac:dyDescent="0.25">
      <c r="A27" s="2" t="s">
        <v>354</v>
      </c>
      <c r="B27" s="2" t="s">
        <v>407</v>
      </c>
      <c r="C27" s="3">
        <v>46184</v>
      </c>
      <c r="D27" s="4">
        <v>553283455</v>
      </c>
      <c r="E27" s="5" t="s">
        <v>131</v>
      </c>
      <c r="F27" s="6">
        <v>46100</v>
      </c>
      <c r="G27" s="5" t="s">
        <v>132</v>
      </c>
      <c r="H27" s="5" t="s">
        <v>132</v>
      </c>
      <c r="I27" s="5" t="s">
        <v>42</v>
      </c>
      <c r="J27" s="5" t="s">
        <v>78</v>
      </c>
      <c r="K27" s="3">
        <v>46300</v>
      </c>
      <c r="L27" s="12">
        <f t="shared" ca="1" si="0"/>
        <v>-80</v>
      </c>
      <c r="M27" s="12">
        <f ca="1">IF($C27="","",$C27+180-TODAY())</f>
        <v>64</v>
      </c>
      <c r="N27" s="12">
        <f ca="1">IF($C27="","",$C27+180-TODAY())</f>
        <v>64</v>
      </c>
      <c r="O27" s="6">
        <v>46220</v>
      </c>
      <c r="P27" s="5" t="s">
        <v>67</v>
      </c>
      <c r="Q27" s="5" t="s">
        <v>133</v>
      </c>
      <c r="R27" s="5" t="s">
        <v>44</v>
      </c>
      <c r="S27" s="5" t="s">
        <v>47</v>
      </c>
      <c r="T27" s="5" t="s">
        <v>44</v>
      </c>
      <c r="U27" s="5" t="s">
        <v>47</v>
      </c>
      <c r="V27" s="5"/>
      <c r="W27" s="5"/>
      <c r="X27" s="5"/>
      <c r="Y27" s="5" t="s">
        <v>48</v>
      </c>
      <c r="Z27" s="7">
        <v>1426.25</v>
      </c>
      <c r="AA27" s="7">
        <v>0</v>
      </c>
      <c r="AB27" s="7">
        <v>0</v>
      </c>
      <c r="AC27" s="6">
        <v>46184</v>
      </c>
      <c r="AD27" s="7">
        <v>1426.25</v>
      </c>
      <c r="AE27" s="4">
        <v>142</v>
      </c>
      <c r="AF27" s="5" t="s">
        <v>49</v>
      </c>
      <c r="AG27" s="5"/>
      <c r="AH27" s="5"/>
      <c r="AI27" s="5"/>
      <c r="AJ27" s="4"/>
      <c r="AK27" s="5" t="s">
        <v>87</v>
      </c>
      <c r="AL27" s="5" t="s">
        <v>73</v>
      </c>
      <c r="AM27" s="6">
        <v>46119</v>
      </c>
      <c r="AN27" s="5" t="s">
        <v>52</v>
      </c>
    </row>
    <row r="28" spans="1:40" x14ac:dyDescent="0.25">
      <c r="A28" s="2" t="s">
        <v>200</v>
      </c>
      <c r="B28" s="2" t="s">
        <v>362</v>
      </c>
      <c r="C28" s="3">
        <v>46128</v>
      </c>
      <c r="D28" s="4">
        <v>554404221</v>
      </c>
      <c r="E28" s="5" t="s">
        <v>134</v>
      </c>
      <c r="F28" s="6">
        <v>46112</v>
      </c>
      <c r="G28" s="5" t="s">
        <v>135</v>
      </c>
      <c r="H28" s="5" t="s">
        <v>135</v>
      </c>
      <c r="I28" s="5" t="s">
        <v>42</v>
      </c>
      <c r="J28" s="5" t="s">
        <v>136</v>
      </c>
      <c r="K28" s="3">
        <v>46268</v>
      </c>
      <c r="L28" s="12">
        <f t="shared" ca="1" si="0"/>
        <v>-68</v>
      </c>
      <c r="M28" s="12">
        <f ca="1">IF($C28="","",$C28+365-TODAY())</f>
        <v>193</v>
      </c>
      <c r="N28" s="12">
        <f ca="1">IF($C28="","",$C28+90-TODAY())</f>
        <v>-82</v>
      </c>
      <c r="O28" s="6">
        <v>46232</v>
      </c>
      <c r="P28" s="5" t="s">
        <v>67</v>
      </c>
      <c r="Q28" s="5" t="s">
        <v>137</v>
      </c>
      <c r="R28" s="5" t="s">
        <v>57</v>
      </c>
      <c r="S28" s="5" t="s">
        <v>47</v>
      </c>
      <c r="T28" s="5" t="s">
        <v>97</v>
      </c>
      <c r="U28" s="5" t="s">
        <v>47</v>
      </c>
      <c r="V28" s="5"/>
      <c r="W28" s="5"/>
      <c r="X28" s="5"/>
      <c r="Y28" s="5" t="s">
        <v>48</v>
      </c>
      <c r="Z28" s="7">
        <v>976.64</v>
      </c>
      <c r="AA28" s="7">
        <v>0</v>
      </c>
      <c r="AB28" s="7">
        <v>0</v>
      </c>
      <c r="AC28" s="6">
        <v>46128</v>
      </c>
      <c r="AD28" s="7">
        <v>976.64</v>
      </c>
      <c r="AE28" s="4">
        <v>130</v>
      </c>
      <c r="AF28" s="5" t="s">
        <v>68</v>
      </c>
      <c r="AG28" s="5"/>
      <c r="AH28" s="5"/>
      <c r="AI28" s="5"/>
      <c r="AJ28" s="4"/>
      <c r="AK28" s="5" t="s">
        <v>84</v>
      </c>
      <c r="AL28" s="5" t="s">
        <v>51</v>
      </c>
      <c r="AM28" s="6">
        <v>46119</v>
      </c>
      <c r="AN28" s="5" t="s">
        <v>52</v>
      </c>
    </row>
    <row r="29" spans="1:40" x14ac:dyDescent="0.25">
      <c r="A29" s="2" t="s">
        <v>200</v>
      </c>
      <c r="B29" s="2" t="s">
        <v>364</v>
      </c>
      <c r="C29" s="3">
        <v>46128</v>
      </c>
      <c r="D29" s="4">
        <v>553124954</v>
      </c>
      <c r="E29" s="5" t="s">
        <v>138</v>
      </c>
      <c r="F29" s="6">
        <v>46099</v>
      </c>
      <c r="G29" s="5" t="s">
        <v>139</v>
      </c>
      <c r="H29" s="5" t="s">
        <v>139</v>
      </c>
      <c r="I29" s="5" t="s">
        <v>42</v>
      </c>
      <c r="J29" s="5" t="s">
        <v>43</v>
      </c>
      <c r="K29" s="3">
        <v>46269</v>
      </c>
      <c r="L29" s="12" t="str">
        <f t="shared" ca="1" si="0"/>
        <v/>
      </c>
      <c r="M29" s="12"/>
      <c r="N29" s="12"/>
      <c r="O29" s="6"/>
      <c r="P29" s="5"/>
      <c r="Q29" s="5" t="s">
        <v>140</v>
      </c>
      <c r="R29" s="5"/>
      <c r="S29" s="5"/>
      <c r="T29" s="5"/>
      <c r="U29" s="5"/>
      <c r="V29" s="5"/>
      <c r="W29" s="5"/>
      <c r="X29" s="5"/>
      <c r="Y29" s="5" t="s">
        <v>48</v>
      </c>
      <c r="Z29" s="7">
        <v>1372.91</v>
      </c>
      <c r="AA29" s="7">
        <v>0</v>
      </c>
      <c r="AB29" s="7">
        <v>0</v>
      </c>
      <c r="AC29" s="6">
        <v>46128</v>
      </c>
      <c r="AD29" s="7">
        <v>1372.91</v>
      </c>
      <c r="AE29" s="4">
        <v>143</v>
      </c>
      <c r="AF29" s="5" t="s">
        <v>68</v>
      </c>
      <c r="AG29" s="5"/>
      <c r="AH29" s="5"/>
      <c r="AI29" s="5"/>
      <c r="AJ29" s="4"/>
      <c r="AK29" s="5" t="s">
        <v>119</v>
      </c>
      <c r="AL29" s="5" t="s">
        <v>73</v>
      </c>
      <c r="AM29" s="6">
        <v>46119</v>
      </c>
      <c r="AN29" s="5" t="s">
        <v>52</v>
      </c>
    </row>
    <row r="30" spans="1:40" x14ac:dyDescent="0.25">
      <c r="A30" s="2" t="s">
        <v>342</v>
      </c>
      <c r="B30" s="2" t="s">
        <v>363</v>
      </c>
      <c r="C30" s="3">
        <v>46164</v>
      </c>
      <c r="D30" s="4">
        <v>553577987</v>
      </c>
      <c r="E30" s="5" t="s">
        <v>141</v>
      </c>
      <c r="F30" s="6">
        <v>46104</v>
      </c>
      <c r="G30" s="5" t="s">
        <v>142</v>
      </c>
      <c r="H30" s="5" t="s">
        <v>143</v>
      </c>
      <c r="I30" s="5" t="s">
        <v>142</v>
      </c>
      <c r="J30" s="5" t="s">
        <v>144</v>
      </c>
      <c r="K30" s="3">
        <v>46269</v>
      </c>
      <c r="L30" s="12" t="str">
        <f t="shared" ca="1" si="0"/>
        <v/>
      </c>
      <c r="M30" s="12"/>
      <c r="N30" s="12"/>
      <c r="O30" s="6"/>
      <c r="P30" s="5"/>
      <c r="Q30" s="5" t="s">
        <v>140</v>
      </c>
      <c r="R30" s="5"/>
      <c r="S30" s="5"/>
      <c r="T30" s="5"/>
      <c r="U30" s="5"/>
      <c r="V30" s="5"/>
      <c r="W30" s="5"/>
      <c r="X30" s="5"/>
      <c r="Y30" s="5" t="s">
        <v>145</v>
      </c>
      <c r="Z30" s="7">
        <v>1822.52</v>
      </c>
      <c r="AA30" s="7">
        <v>1549.83</v>
      </c>
      <c r="AB30" s="7">
        <v>217.27</v>
      </c>
      <c r="AC30" s="6">
        <v>46164</v>
      </c>
      <c r="AD30" s="7">
        <v>55.42</v>
      </c>
      <c r="AE30" s="4">
        <v>138</v>
      </c>
      <c r="AF30" s="5" t="s">
        <v>68</v>
      </c>
      <c r="AG30" s="5"/>
      <c r="AH30" s="5"/>
      <c r="AI30" s="5"/>
      <c r="AJ30" s="4">
        <v>557766116</v>
      </c>
      <c r="AK30" s="5" t="s">
        <v>87</v>
      </c>
      <c r="AL30" s="5" t="s">
        <v>51</v>
      </c>
      <c r="AM30" s="6">
        <v>46119</v>
      </c>
      <c r="AN30" s="5" t="s">
        <v>52</v>
      </c>
    </row>
  </sheetData>
  <autoFilter ref="A1:AN30" xr:uid="{00000000-0009-0000-0000-000000000000}"/>
  <conditionalFormatting sqref="L2:L30">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30">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30">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30">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30" xr:uid="{00000000-0002-0000-0000-000000000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1"/>
  <sheetViews>
    <sheetView zoomScale="90" workbookViewId="0">
      <pane xSplit="2" ySplit="1" topLeftCell="C2" activePane="bottomRight" state="frozen"/>
      <selection pane="topRight"/>
      <selection pane="bottomLeft"/>
      <selection pane="bottomRight" activeCell="B17" sqref="B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28515625" customWidth="1"/>
    <col min="14" max="14" width="15.42578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t="s">
        <v>401</v>
      </c>
      <c r="C2" s="3">
        <v>46141</v>
      </c>
      <c r="D2" s="4">
        <v>551735634</v>
      </c>
      <c r="E2" s="5" t="s">
        <v>146</v>
      </c>
      <c r="F2" s="6">
        <v>46085</v>
      </c>
      <c r="G2" s="5" t="s">
        <v>147</v>
      </c>
      <c r="H2" s="5" t="s">
        <v>147</v>
      </c>
      <c r="I2" s="5" t="s">
        <v>148</v>
      </c>
      <c r="J2" s="5" t="s">
        <v>149</v>
      </c>
      <c r="K2" s="3">
        <v>46300</v>
      </c>
      <c r="L2" s="12">
        <f t="shared" ref="L2:L11" ca="1" si="0">IF($O2="","",$O2-TODAY())</f>
        <v>150</v>
      </c>
      <c r="M2" s="12">
        <f t="shared" ref="M2:M10" ca="1" si="1">IF($C2="","",$C2+365-TODAY())</f>
        <v>206</v>
      </c>
      <c r="N2" s="12">
        <f t="shared" ref="N2:N8" ca="1" si="2">IF($C2="","",$C2+120-TODAY())</f>
        <v>-39</v>
      </c>
      <c r="O2" s="6">
        <v>46450</v>
      </c>
      <c r="P2" s="5" t="s">
        <v>57</v>
      </c>
      <c r="Q2" s="5" t="s">
        <v>66</v>
      </c>
      <c r="R2" s="5" t="s">
        <v>57</v>
      </c>
      <c r="S2" s="5" t="s">
        <v>47</v>
      </c>
      <c r="T2" s="5" t="s">
        <v>67</v>
      </c>
      <c r="U2" s="5" t="s">
        <v>47</v>
      </c>
      <c r="V2" s="5" t="s">
        <v>150</v>
      </c>
      <c r="W2" s="5"/>
      <c r="X2" s="5"/>
      <c r="Y2" s="5" t="s">
        <v>48</v>
      </c>
      <c r="Z2" s="7">
        <v>4520.1099999999997</v>
      </c>
      <c r="AA2" s="7">
        <v>0</v>
      </c>
      <c r="AB2" s="7">
        <v>0</v>
      </c>
      <c r="AC2" s="6">
        <v>46141</v>
      </c>
      <c r="AD2" s="7">
        <v>4520.1099999999997</v>
      </c>
      <c r="AE2" s="4">
        <v>157</v>
      </c>
      <c r="AF2" s="5" t="s">
        <v>151</v>
      </c>
      <c r="AG2" s="5"/>
      <c r="AH2" s="5"/>
      <c r="AI2" s="5"/>
      <c r="AJ2" s="4"/>
      <c r="AK2" s="5" t="s">
        <v>152</v>
      </c>
      <c r="AL2" s="5" t="s">
        <v>153</v>
      </c>
      <c r="AM2" s="6">
        <v>46099</v>
      </c>
      <c r="AN2" s="5" t="s">
        <v>154</v>
      </c>
    </row>
    <row r="3" spans="1:40" x14ac:dyDescent="0.25">
      <c r="A3" s="2" t="s">
        <v>61</v>
      </c>
      <c r="B3" s="2" t="s">
        <v>401</v>
      </c>
      <c r="C3" s="3">
        <v>46121</v>
      </c>
      <c r="D3" s="4">
        <v>553103783</v>
      </c>
      <c r="E3" s="5" t="s">
        <v>155</v>
      </c>
      <c r="F3" s="6">
        <v>46097</v>
      </c>
      <c r="G3" s="5" t="s">
        <v>147</v>
      </c>
      <c r="H3" s="5" t="s">
        <v>147</v>
      </c>
      <c r="I3" s="5" t="s">
        <v>156</v>
      </c>
      <c r="J3" s="5" t="s">
        <v>157</v>
      </c>
      <c r="K3" s="3">
        <v>46300</v>
      </c>
      <c r="L3" s="12">
        <f t="shared" ca="1" si="0"/>
        <v>162</v>
      </c>
      <c r="M3" s="12">
        <f t="shared" ca="1" si="1"/>
        <v>186</v>
      </c>
      <c r="N3" s="12">
        <f t="shared" ca="1" si="2"/>
        <v>-59</v>
      </c>
      <c r="O3" s="6">
        <v>46462</v>
      </c>
      <c r="P3" s="5" t="s">
        <v>57</v>
      </c>
      <c r="Q3" s="5" t="s">
        <v>66</v>
      </c>
      <c r="R3" s="5" t="s">
        <v>57</v>
      </c>
      <c r="S3" s="5" t="s">
        <v>47</v>
      </c>
      <c r="T3" s="5" t="s">
        <v>67</v>
      </c>
      <c r="U3" s="5" t="s">
        <v>47</v>
      </c>
      <c r="V3" s="5" t="s">
        <v>150</v>
      </c>
      <c r="W3" s="5"/>
      <c r="X3" s="5"/>
      <c r="Y3" s="5" t="s">
        <v>48</v>
      </c>
      <c r="Z3" s="7">
        <v>6392.96</v>
      </c>
      <c r="AA3" s="7">
        <v>0</v>
      </c>
      <c r="AB3" s="7">
        <v>0</v>
      </c>
      <c r="AC3" s="6">
        <v>46121</v>
      </c>
      <c r="AD3" s="7">
        <v>6392.96</v>
      </c>
      <c r="AE3" s="4">
        <v>145</v>
      </c>
      <c r="AF3" s="5" t="s">
        <v>158</v>
      </c>
      <c r="AG3" s="5" t="s">
        <v>159</v>
      </c>
      <c r="AH3" s="5"/>
      <c r="AI3" s="5"/>
      <c r="AJ3" s="4"/>
      <c r="AK3" s="5" t="s">
        <v>152</v>
      </c>
      <c r="AL3" s="5" t="s">
        <v>160</v>
      </c>
      <c r="AM3" s="6">
        <v>46099</v>
      </c>
      <c r="AN3" s="5" t="s">
        <v>154</v>
      </c>
    </row>
    <row r="4" spans="1:40" x14ac:dyDescent="0.25">
      <c r="A4" s="2" t="s">
        <v>61</v>
      </c>
      <c r="B4" s="2" t="s">
        <v>342</v>
      </c>
      <c r="C4" s="3">
        <v>46249</v>
      </c>
      <c r="D4" s="4">
        <v>557717115</v>
      </c>
      <c r="E4" s="5" t="s">
        <v>161</v>
      </c>
      <c r="F4" s="6">
        <v>46097</v>
      </c>
      <c r="G4" s="5" t="s">
        <v>147</v>
      </c>
      <c r="H4" s="5" t="s">
        <v>147</v>
      </c>
      <c r="I4" s="5" t="s">
        <v>162</v>
      </c>
      <c r="J4" s="5" t="s">
        <v>163</v>
      </c>
      <c r="K4" s="3">
        <v>46261</v>
      </c>
      <c r="L4" s="12">
        <f t="shared" ca="1" si="0"/>
        <v>162</v>
      </c>
      <c r="M4" s="12">
        <f t="shared" ca="1" si="1"/>
        <v>314</v>
      </c>
      <c r="N4" s="12">
        <f t="shared" ca="1" si="2"/>
        <v>69</v>
      </c>
      <c r="O4" s="6">
        <v>46462</v>
      </c>
      <c r="P4" s="5" t="s">
        <v>57</v>
      </c>
      <c r="Q4" s="5" t="s">
        <v>66</v>
      </c>
      <c r="R4" s="5" t="s">
        <v>57</v>
      </c>
      <c r="S4" s="5" t="s">
        <v>47</v>
      </c>
      <c r="T4" s="5" t="s">
        <v>67</v>
      </c>
      <c r="U4" s="5" t="s">
        <v>47</v>
      </c>
      <c r="V4" s="5" t="s">
        <v>164</v>
      </c>
      <c r="W4" s="5"/>
      <c r="X4" s="5"/>
      <c r="Y4" s="5" t="s">
        <v>165</v>
      </c>
      <c r="Z4" s="7">
        <v>18176.900000000001</v>
      </c>
      <c r="AA4" s="7">
        <v>0</v>
      </c>
      <c r="AB4" s="7">
        <v>542.44000000000005</v>
      </c>
      <c r="AC4" s="6">
        <v>46165</v>
      </c>
      <c r="AD4" s="7">
        <v>17634.46</v>
      </c>
      <c r="AE4" s="4">
        <v>145</v>
      </c>
      <c r="AF4" s="5" t="s">
        <v>166</v>
      </c>
      <c r="AG4" s="5" t="s">
        <v>167</v>
      </c>
      <c r="AH4" s="5"/>
      <c r="AI4" s="5"/>
      <c r="AJ4" s="4"/>
      <c r="AK4" s="5" t="s">
        <v>168</v>
      </c>
      <c r="AL4" s="5" t="s">
        <v>153</v>
      </c>
      <c r="AM4" s="6">
        <v>46115</v>
      </c>
      <c r="AN4" s="5" t="s">
        <v>154</v>
      </c>
    </row>
    <row r="5" spans="1:40" x14ac:dyDescent="0.25">
      <c r="A5" s="2" t="s">
        <v>200</v>
      </c>
      <c r="B5" s="2" t="s">
        <v>402</v>
      </c>
      <c r="C5" s="3">
        <v>46122</v>
      </c>
      <c r="D5" s="4">
        <v>554946837</v>
      </c>
      <c r="E5" s="5" t="s">
        <v>169</v>
      </c>
      <c r="F5" s="6">
        <v>46104</v>
      </c>
      <c r="G5" s="5" t="s">
        <v>147</v>
      </c>
      <c r="H5" s="5" t="s">
        <v>147</v>
      </c>
      <c r="I5" s="5" t="s">
        <v>156</v>
      </c>
      <c r="J5" s="5" t="s">
        <v>157</v>
      </c>
      <c r="K5" s="3">
        <v>46300</v>
      </c>
      <c r="L5" s="12">
        <f t="shared" ca="1" si="0"/>
        <v>169</v>
      </c>
      <c r="M5" s="12">
        <f t="shared" ca="1" si="1"/>
        <v>187</v>
      </c>
      <c r="N5" s="12">
        <f t="shared" ca="1" si="2"/>
        <v>-58</v>
      </c>
      <c r="O5" s="6">
        <v>46469</v>
      </c>
      <c r="P5" s="5" t="s">
        <v>57</v>
      </c>
      <c r="Q5" s="5" t="s">
        <v>66</v>
      </c>
      <c r="R5" s="5" t="s">
        <v>57</v>
      </c>
      <c r="S5" s="5" t="s">
        <v>47</v>
      </c>
      <c r="T5" s="5" t="s">
        <v>67</v>
      </c>
      <c r="U5" s="5" t="s">
        <v>47</v>
      </c>
      <c r="V5" s="5" t="s">
        <v>150</v>
      </c>
      <c r="W5" s="5"/>
      <c r="X5" s="5"/>
      <c r="Y5" s="5" t="s">
        <v>48</v>
      </c>
      <c r="Z5" s="7">
        <v>6392.96</v>
      </c>
      <c r="AA5" s="7">
        <v>0</v>
      </c>
      <c r="AB5" s="7">
        <v>0</v>
      </c>
      <c r="AC5" s="6">
        <v>46122</v>
      </c>
      <c r="AD5" s="7">
        <v>6392.96</v>
      </c>
      <c r="AE5" s="4">
        <v>138</v>
      </c>
      <c r="AF5" s="5" t="s">
        <v>170</v>
      </c>
      <c r="AG5" s="5" t="s">
        <v>171</v>
      </c>
      <c r="AH5" s="5" t="s">
        <v>159</v>
      </c>
      <c r="AI5" s="5"/>
      <c r="AJ5" s="4"/>
      <c r="AK5" s="5" t="s">
        <v>152</v>
      </c>
      <c r="AL5" s="5" t="s">
        <v>172</v>
      </c>
      <c r="AM5" s="6">
        <v>46118</v>
      </c>
      <c r="AN5" s="5" t="s">
        <v>154</v>
      </c>
    </row>
    <row r="6" spans="1:40" x14ac:dyDescent="0.25">
      <c r="A6" s="2" t="s">
        <v>61</v>
      </c>
      <c r="B6" s="2" t="s">
        <v>403</v>
      </c>
      <c r="C6" s="3">
        <v>46156</v>
      </c>
      <c r="D6" s="4">
        <v>556757813</v>
      </c>
      <c r="E6" s="5" t="s">
        <v>173</v>
      </c>
      <c r="F6" s="6">
        <v>46104</v>
      </c>
      <c r="G6" s="5" t="s">
        <v>174</v>
      </c>
      <c r="H6" s="5" t="s">
        <v>174</v>
      </c>
      <c r="I6" s="5" t="s">
        <v>77</v>
      </c>
      <c r="J6" s="5" t="s">
        <v>175</v>
      </c>
      <c r="K6" s="3">
        <v>46300</v>
      </c>
      <c r="L6" s="12">
        <f t="shared" ca="1" si="0"/>
        <v>169</v>
      </c>
      <c r="M6" s="12">
        <f t="shared" ca="1" si="1"/>
        <v>221</v>
      </c>
      <c r="N6" s="12">
        <f t="shared" ca="1" si="2"/>
        <v>-24</v>
      </c>
      <c r="O6" s="6">
        <v>46469</v>
      </c>
      <c r="P6" s="5" t="s">
        <v>57</v>
      </c>
      <c r="Q6" s="5" t="s">
        <v>66</v>
      </c>
      <c r="R6" s="5" t="s">
        <v>57</v>
      </c>
      <c r="S6" s="5" t="s">
        <v>47</v>
      </c>
      <c r="T6" s="5" t="s">
        <v>67</v>
      </c>
      <c r="U6" s="5" t="s">
        <v>47</v>
      </c>
      <c r="V6" s="5" t="s">
        <v>176</v>
      </c>
      <c r="W6" s="5"/>
      <c r="X6" s="5"/>
      <c r="Y6" s="5" t="s">
        <v>177</v>
      </c>
      <c r="Z6" s="7">
        <v>36353.800000000003</v>
      </c>
      <c r="AA6" s="7">
        <v>0</v>
      </c>
      <c r="AB6" s="7">
        <v>0</v>
      </c>
      <c r="AC6" s="6">
        <v>46156</v>
      </c>
      <c r="AD6" s="7">
        <v>36353.800000000003</v>
      </c>
      <c r="AE6" s="4">
        <v>138</v>
      </c>
      <c r="AF6" s="5" t="s">
        <v>166</v>
      </c>
      <c r="AG6" s="5" t="s">
        <v>159</v>
      </c>
      <c r="AH6" s="5"/>
      <c r="AI6" s="5"/>
      <c r="AJ6" s="4"/>
      <c r="AK6" s="5" t="s">
        <v>87</v>
      </c>
      <c r="AL6" s="5" t="s">
        <v>178</v>
      </c>
      <c r="AM6" s="6">
        <v>46133</v>
      </c>
      <c r="AN6" s="5" t="s">
        <v>154</v>
      </c>
    </row>
    <row r="7" spans="1:40" x14ac:dyDescent="0.25">
      <c r="A7" s="2" t="s">
        <v>61</v>
      </c>
      <c r="B7" s="2" t="s">
        <v>342</v>
      </c>
      <c r="C7" s="3">
        <v>46249</v>
      </c>
      <c r="D7" s="4">
        <v>556761529</v>
      </c>
      <c r="E7" s="5" t="s">
        <v>179</v>
      </c>
      <c r="F7" s="6">
        <v>46111</v>
      </c>
      <c r="G7" s="5" t="s">
        <v>147</v>
      </c>
      <c r="H7" s="5" t="s">
        <v>147</v>
      </c>
      <c r="I7" s="5" t="s">
        <v>70</v>
      </c>
      <c r="J7" s="5" t="s">
        <v>180</v>
      </c>
      <c r="K7" s="3">
        <v>46261</v>
      </c>
      <c r="L7" s="12">
        <f t="shared" ca="1" si="0"/>
        <v>176</v>
      </c>
      <c r="M7" s="12">
        <f t="shared" ca="1" si="1"/>
        <v>314</v>
      </c>
      <c r="N7" s="12">
        <f t="shared" ca="1" si="2"/>
        <v>69</v>
      </c>
      <c r="O7" s="6">
        <v>46476</v>
      </c>
      <c r="P7" s="5" t="s">
        <v>57</v>
      </c>
      <c r="Q7" s="5" t="s">
        <v>66</v>
      </c>
      <c r="R7" s="5" t="s">
        <v>57</v>
      </c>
      <c r="S7" s="5" t="s">
        <v>47</v>
      </c>
      <c r="T7" s="5" t="s">
        <v>67</v>
      </c>
      <c r="U7" s="5" t="s">
        <v>47</v>
      </c>
      <c r="V7" s="5" t="s">
        <v>176</v>
      </c>
      <c r="W7" s="5"/>
      <c r="X7" s="5"/>
      <c r="Y7" s="5" t="s">
        <v>165</v>
      </c>
      <c r="Z7" s="7">
        <v>18176.900000000001</v>
      </c>
      <c r="AA7" s="7">
        <v>0</v>
      </c>
      <c r="AB7" s="7">
        <v>542.44000000000005</v>
      </c>
      <c r="AC7" s="6">
        <v>46154</v>
      </c>
      <c r="AD7" s="7">
        <v>17634.46</v>
      </c>
      <c r="AE7" s="4">
        <v>131</v>
      </c>
      <c r="AF7" s="5" t="s">
        <v>166</v>
      </c>
      <c r="AG7" s="5" t="s">
        <v>159</v>
      </c>
      <c r="AH7" s="5"/>
      <c r="AI7" s="5"/>
      <c r="AJ7" s="4"/>
      <c r="AK7" s="5" t="s">
        <v>168</v>
      </c>
      <c r="AL7" s="5" t="s">
        <v>153</v>
      </c>
      <c r="AM7" s="6">
        <v>46133</v>
      </c>
      <c r="AN7" s="5" t="s">
        <v>154</v>
      </c>
    </row>
    <row r="8" spans="1:40" x14ac:dyDescent="0.25">
      <c r="A8" s="2" t="s">
        <v>61</v>
      </c>
      <c r="B8" s="2" t="s">
        <v>404</v>
      </c>
      <c r="C8" s="3">
        <v>46121</v>
      </c>
      <c r="D8" s="4">
        <v>554941943</v>
      </c>
      <c r="E8" s="5" t="s">
        <v>181</v>
      </c>
      <c r="F8" s="6">
        <v>46112</v>
      </c>
      <c r="G8" s="5" t="s">
        <v>147</v>
      </c>
      <c r="H8" s="5" t="s">
        <v>147</v>
      </c>
      <c r="I8" s="5" t="s">
        <v>182</v>
      </c>
      <c r="J8" s="5" t="s">
        <v>157</v>
      </c>
      <c r="K8" s="3">
        <v>46300</v>
      </c>
      <c r="L8" s="12">
        <f t="shared" ca="1" si="0"/>
        <v>177</v>
      </c>
      <c r="M8" s="12">
        <f t="shared" ca="1" si="1"/>
        <v>186</v>
      </c>
      <c r="N8" s="12">
        <f t="shared" ca="1" si="2"/>
        <v>-59</v>
      </c>
      <c r="O8" s="6">
        <v>46477</v>
      </c>
      <c r="P8" s="5" t="s">
        <v>57</v>
      </c>
      <c r="Q8" s="5" t="s">
        <v>66</v>
      </c>
      <c r="R8" s="5" t="s">
        <v>57</v>
      </c>
      <c r="S8" s="5" t="s">
        <v>47</v>
      </c>
      <c r="T8" s="5" t="s">
        <v>67</v>
      </c>
      <c r="U8" s="5" t="s">
        <v>47</v>
      </c>
      <c r="V8" s="5" t="s">
        <v>150</v>
      </c>
      <c r="W8" s="5"/>
      <c r="X8" s="5"/>
      <c r="Y8" s="5" t="s">
        <v>48</v>
      </c>
      <c r="Z8" s="7">
        <v>6392.96</v>
      </c>
      <c r="AA8" s="7">
        <v>0</v>
      </c>
      <c r="AB8" s="7">
        <v>0</v>
      </c>
      <c r="AC8" s="6">
        <v>46121</v>
      </c>
      <c r="AD8" s="7">
        <v>6392.96</v>
      </c>
      <c r="AE8" s="4">
        <v>130</v>
      </c>
      <c r="AF8" s="5" t="s">
        <v>166</v>
      </c>
      <c r="AG8" s="5" t="s">
        <v>183</v>
      </c>
      <c r="AH8" s="5" t="s">
        <v>184</v>
      </c>
      <c r="AI8" s="5"/>
      <c r="AJ8" s="4"/>
      <c r="AK8" s="5" t="s">
        <v>152</v>
      </c>
      <c r="AL8" s="5" t="s">
        <v>185</v>
      </c>
      <c r="AM8" s="6">
        <v>46118</v>
      </c>
      <c r="AN8" s="5" t="s">
        <v>154</v>
      </c>
    </row>
    <row r="9" spans="1:40" x14ac:dyDescent="0.25">
      <c r="A9" s="2" t="s">
        <v>61</v>
      </c>
      <c r="B9" s="2" t="s">
        <v>341</v>
      </c>
      <c r="C9" s="3">
        <v>46129</v>
      </c>
      <c r="D9" s="4">
        <v>555728365</v>
      </c>
      <c r="E9" s="5" t="s">
        <v>186</v>
      </c>
      <c r="F9" s="6">
        <v>46092</v>
      </c>
      <c r="G9" s="5" t="s">
        <v>101</v>
      </c>
      <c r="H9" s="5" t="s">
        <v>101</v>
      </c>
      <c r="I9" s="5" t="s">
        <v>42</v>
      </c>
      <c r="J9" s="5" t="s">
        <v>187</v>
      </c>
      <c r="K9" s="3">
        <v>46257</v>
      </c>
      <c r="L9" s="12">
        <f t="shared" ca="1" si="0"/>
        <v>-118</v>
      </c>
      <c r="M9" s="12">
        <f t="shared" ca="1" si="1"/>
        <v>194</v>
      </c>
      <c r="N9" s="12">
        <f ca="1">IF($C9="","",$C9+365-TODAY())</f>
        <v>194</v>
      </c>
      <c r="O9" s="6">
        <v>46182</v>
      </c>
      <c r="P9" s="5" t="s">
        <v>97</v>
      </c>
      <c r="Q9" s="5" t="s">
        <v>102</v>
      </c>
      <c r="R9" s="5" t="s">
        <v>57</v>
      </c>
      <c r="S9" s="5" t="s">
        <v>47</v>
      </c>
      <c r="T9" s="5" t="s">
        <v>57</v>
      </c>
      <c r="U9" s="5" t="s">
        <v>47</v>
      </c>
      <c r="V9" s="5" t="s">
        <v>188</v>
      </c>
      <c r="W9" s="5"/>
      <c r="X9" s="5"/>
      <c r="Y9" s="5" t="s">
        <v>48</v>
      </c>
      <c r="Z9" s="7">
        <v>6392.96</v>
      </c>
      <c r="AA9" s="7">
        <v>0</v>
      </c>
      <c r="AB9" s="7">
        <v>0</v>
      </c>
      <c r="AC9" s="6"/>
      <c r="AD9" s="7">
        <v>6392.96</v>
      </c>
      <c r="AE9" s="4">
        <v>150</v>
      </c>
      <c r="AF9" s="5" t="s">
        <v>158</v>
      </c>
      <c r="AG9" s="5" t="s">
        <v>189</v>
      </c>
      <c r="AH9" s="5"/>
      <c r="AI9" s="5"/>
      <c r="AJ9" s="4"/>
      <c r="AK9" s="5" t="s">
        <v>80</v>
      </c>
      <c r="AL9" s="5" t="s">
        <v>73</v>
      </c>
      <c r="AM9" s="6">
        <v>46125</v>
      </c>
      <c r="AN9" s="5" t="s">
        <v>154</v>
      </c>
    </row>
    <row r="10" spans="1:40" x14ac:dyDescent="0.25">
      <c r="A10" s="2" t="s">
        <v>61</v>
      </c>
      <c r="B10" s="2" t="s">
        <v>340</v>
      </c>
      <c r="C10" s="3">
        <v>46227</v>
      </c>
      <c r="D10" s="4">
        <v>552871981</v>
      </c>
      <c r="E10" s="5" t="s">
        <v>190</v>
      </c>
      <c r="F10" s="6">
        <v>46097</v>
      </c>
      <c r="G10" s="5" t="s">
        <v>101</v>
      </c>
      <c r="H10" s="5" t="s">
        <v>101</v>
      </c>
      <c r="I10" s="5" t="s">
        <v>42</v>
      </c>
      <c r="J10" s="5" t="s">
        <v>191</v>
      </c>
      <c r="K10" s="3">
        <v>46245</v>
      </c>
      <c r="L10" s="12">
        <f t="shared" ca="1" si="0"/>
        <v>-113</v>
      </c>
      <c r="M10" s="12">
        <f t="shared" ca="1" si="1"/>
        <v>292</v>
      </c>
      <c r="N10" s="12">
        <f ca="1">IF($C10="","",$C10+365-TODAY())</f>
        <v>292</v>
      </c>
      <c r="O10" s="6">
        <v>46187</v>
      </c>
      <c r="P10" s="5" t="s">
        <v>97</v>
      </c>
      <c r="Q10" s="5" t="s">
        <v>102</v>
      </c>
      <c r="R10" s="5" t="s">
        <v>57</v>
      </c>
      <c r="S10" s="5" t="s">
        <v>47</v>
      </c>
      <c r="T10" s="5" t="s">
        <v>57</v>
      </c>
      <c r="U10" s="5" t="s">
        <v>47</v>
      </c>
      <c r="V10" s="5" t="s">
        <v>176</v>
      </c>
      <c r="W10" s="5"/>
      <c r="X10" s="5"/>
      <c r="Y10" s="5" t="s">
        <v>177</v>
      </c>
      <c r="Z10" s="7">
        <v>5916.4</v>
      </c>
      <c r="AA10" s="7">
        <v>0</v>
      </c>
      <c r="AB10" s="7">
        <v>0</v>
      </c>
      <c r="AC10" s="6"/>
      <c r="AD10" s="7">
        <v>5916.4</v>
      </c>
      <c r="AE10" s="4">
        <v>145</v>
      </c>
      <c r="AF10" s="5" t="s">
        <v>192</v>
      </c>
      <c r="AG10" s="5" t="s">
        <v>193</v>
      </c>
      <c r="AH10" s="5" t="s">
        <v>194</v>
      </c>
      <c r="AI10" s="5"/>
      <c r="AJ10" s="4"/>
      <c r="AK10" s="5" t="s">
        <v>195</v>
      </c>
      <c r="AL10" s="5" t="s">
        <v>73</v>
      </c>
      <c r="AM10" s="6">
        <v>46217</v>
      </c>
      <c r="AN10" s="5" t="s">
        <v>154</v>
      </c>
    </row>
    <row r="11" spans="1:40" x14ac:dyDescent="0.25">
      <c r="A11" s="2" t="s">
        <v>200</v>
      </c>
      <c r="B11" s="2" t="s">
        <v>400</v>
      </c>
      <c r="C11" s="3">
        <v>46216</v>
      </c>
      <c r="D11" s="4">
        <v>554940052</v>
      </c>
      <c r="E11" s="5" t="s">
        <v>196</v>
      </c>
      <c r="F11" s="6">
        <v>46107</v>
      </c>
      <c r="G11" s="5" t="s">
        <v>197</v>
      </c>
      <c r="H11" s="5" t="s">
        <v>105</v>
      </c>
      <c r="I11" s="5" t="s">
        <v>197</v>
      </c>
      <c r="J11" s="5" t="s">
        <v>187</v>
      </c>
      <c r="K11" s="3">
        <v>46300</v>
      </c>
      <c r="L11" s="12">
        <f t="shared" ca="1" si="0"/>
        <v>-103</v>
      </c>
      <c r="M11" s="12">
        <f ca="1">IF($C11="","",$C11+180-TODAY())</f>
        <v>96</v>
      </c>
      <c r="N11" s="12">
        <f ca="1">IF($C11="","",$C11+365-TODAY())</f>
        <v>281</v>
      </c>
      <c r="O11" s="6">
        <v>46197</v>
      </c>
      <c r="P11" s="5" t="s">
        <v>97</v>
      </c>
      <c r="Q11" s="5" t="s">
        <v>106</v>
      </c>
      <c r="R11" s="5" t="s">
        <v>44</v>
      </c>
      <c r="S11" s="5" t="s">
        <v>47</v>
      </c>
      <c r="T11" s="5" t="s">
        <v>57</v>
      </c>
      <c r="U11" s="5" t="s">
        <v>47</v>
      </c>
      <c r="V11" s="5" t="s">
        <v>188</v>
      </c>
      <c r="W11" s="5"/>
      <c r="X11" s="5"/>
      <c r="Y11" s="5" t="s">
        <v>48</v>
      </c>
      <c r="Z11" s="7">
        <v>6392.96</v>
      </c>
      <c r="AA11" s="7">
        <v>5793.21</v>
      </c>
      <c r="AB11" s="7">
        <v>0</v>
      </c>
      <c r="AC11" s="6">
        <v>46216</v>
      </c>
      <c r="AD11" s="7">
        <v>599.75</v>
      </c>
      <c r="AE11" s="4">
        <v>135</v>
      </c>
      <c r="AF11" s="5" t="s">
        <v>158</v>
      </c>
      <c r="AG11" s="5" t="s">
        <v>189</v>
      </c>
      <c r="AH11" s="5" t="s">
        <v>198</v>
      </c>
      <c r="AI11" s="5"/>
      <c r="AJ11" s="4">
        <v>561872992</v>
      </c>
      <c r="AK11" s="5" t="s">
        <v>199</v>
      </c>
      <c r="AL11" s="5" t="s">
        <v>73</v>
      </c>
      <c r="AM11" s="6">
        <v>46118</v>
      </c>
      <c r="AN11" s="5" t="s">
        <v>154</v>
      </c>
    </row>
  </sheetData>
  <autoFilter ref="A1:AN11" xr:uid="{00000000-0009-0000-0000-000001000000}"/>
  <conditionalFormatting sqref="L2:L11">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11">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11">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11">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11" xr:uid="{00000000-0002-0000-0100-000000000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3"/>
  <sheetViews>
    <sheetView zoomScale="90" workbookViewId="0">
      <pane xSplit="2" ySplit="1" topLeftCell="C2" activePane="bottomRight" state="frozen"/>
      <selection pane="topRight"/>
      <selection pane="bottomLeft"/>
      <selection pane="bottomRight" activeCell="F32" sqref="F3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28515625" customWidth="1"/>
    <col min="8" max="8" width="34" customWidth="1"/>
    <col min="9" max="9" width="40" hidden="1" customWidth="1"/>
    <col min="10" max="10" width="35.5703125" customWidth="1"/>
    <col min="11" max="11" width="14" customWidth="1"/>
    <col min="12" max="12" width="12" customWidth="1"/>
    <col min="13" max="13" width="18.8554687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201</v>
      </c>
      <c r="C2" s="3">
        <v>46217</v>
      </c>
      <c r="D2" s="4">
        <v>555067836</v>
      </c>
      <c r="E2" s="5" t="s">
        <v>202</v>
      </c>
      <c r="F2" s="6">
        <v>46083</v>
      </c>
      <c r="G2" s="5" t="s">
        <v>104</v>
      </c>
      <c r="H2" s="5" t="s">
        <v>104</v>
      </c>
      <c r="I2" s="5" t="s">
        <v>104</v>
      </c>
      <c r="J2" s="5" t="s">
        <v>203</v>
      </c>
      <c r="K2" s="3">
        <v>46197</v>
      </c>
      <c r="L2" s="12">
        <f ca="1">IF($O2="","",$O2-TODAY())</f>
        <v>-127</v>
      </c>
      <c r="M2" s="12">
        <f ca="1">IF($C2="","",$C2+180-TODAY())</f>
        <v>97</v>
      </c>
      <c r="N2" s="12">
        <f ca="1">IF($C2="","",$C2+365-TODAY())</f>
        <v>282</v>
      </c>
      <c r="O2" s="6">
        <v>46173</v>
      </c>
      <c r="P2" s="5" t="s">
        <v>97</v>
      </c>
      <c r="Q2" s="5" t="s">
        <v>111</v>
      </c>
      <c r="R2" s="5" t="s">
        <v>44</v>
      </c>
      <c r="S2" s="5" t="s">
        <v>47</v>
      </c>
      <c r="T2" s="5" t="s">
        <v>57</v>
      </c>
      <c r="U2" s="5" t="s">
        <v>47</v>
      </c>
      <c r="V2" s="5" t="s">
        <v>204</v>
      </c>
      <c r="W2" s="5" t="s">
        <v>205</v>
      </c>
      <c r="X2" s="5" t="s">
        <v>206</v>
      </c>
      <c r="Y2" s="5" t="s">
        <v>207</v>
      </c>
      <c r="Z2" s="7">
        <v>10134.879999999999</v>
      </c>
      <c r="AA2" s="7">
        <v>0</v>
      </c>
      <c r="AB2" s="7">
        <v>0</v>
      </c>
      <c r="AC2" s="6">
        <v>46217</v>
      </c>
      <c r="AD2" s="7">
        <v>10134.879999999999</v>
      </c>
      <c r="AE2" s="4">
        <v>159</v>
      </c>
      <c r="AF2" s="5" t="s">
        <v>151</v>
      </c>
      <c r="AG2" s="5" t="s">
        <v>208</v>
      </c>
      <c r="AH2" s="5" t="s">
        <v>209</v>
      </c>
      <c r="AI2" s="5"/>
      <c r="AJ2" s="4"/>
      <c r="AK2" s="5" t="s">
        <v>210</v>
      </c>
      <c r="AL2" s="5" t="s">
        <v>211</v>
      </c>
      <c r="AM2" s="6">
        <v>46119</v>
      </c>
      <c r="AN2" s="5" t="s">
        <v>212</v>
      </c>
    </row>
    <row r="3" spans="1:40" x14ac:dyDescent="0.25">
      <c r="A3" s="2" t="s">
        <v>386</v>
      </c>
      <c r="B3" s="2" t="s">
        <v>389</v>
      </c>
      <c r="C3" s="3">
        <v>46132</v>
      </c>
      <c r="D3" s="4">
        <v>555069563</v>
      </c>
      <c r="E3" s="5" t="s">
        <v>215</v>
      </c>
      <c r="F3" s="6">
        <v>46089</v>
      </c>
      <c r="G3" s="5" t="s">
        <v>216</v>
      </c>
      <c r="H3" s="5" t="s">
        <v>216</v>
      </c>
      <c r="I3" s="5" t="s">
        <v>217</v>
      </c>
      <c r="J3" s="5" t="s">
        <v>218</v>
      </c>
      <c r="K3" s="3">
        <v>46197</v>
      </c>
      <c r="L3" s="12" t="str">
        <f ca="1">IF($O3="","",$O3-TODAY())</f>
        <v/>
      </c>
      <c r="M3" s="12"/>
      <c r="N3" s="12">
        <f ca="1">IF($C3="","",$C3+180-TODAY())</f>
        <v>12</v>
      </c>
      <c r="O3" s="6"/>
      <c r="P3" s="5"/>
      <c r="Q3" s="5" t="s">
        <v>219</v>
      </c>
      <c r="R3" s="5"/>
      <c r="S3" s="5"/>
      <c r="T3" s="5" t="s">
        <v>44</v>
      </c>
      <c r="U3" s="5" t="s">
        <v>47</v>
      </c>
      <c r="V3" s="5" t="s">
        <v>220</v>
      </c>
      <c r="W3" s="5" t="s">
        <v>221</v>
      </c>
      <c r="X3" s="5"/>
      <c r="Y3" s="5" t="s">
        <v>222</v>
      </c>
      <c r="Z3" s="7">
        <v>70557.69</v>
      </c>
      <c r="AA3" s="7">
        <v>0</v>
      </c>
      <c r="AB3" s="7">
        <v>0</v>
      </c>
      <c r="AC3" s="6">
        <v>46132</v>
      </c>
      <c r="AD3" s="7">
        <v>70557.69</v>
      </c>
      <c r="AE3" s="4">
        <v>152</v>
      </c>
      <c r="AF3" s="5" t="s">
        <v>213</v>
      </c>
      <c r="AG3" s="5" t="s">
        <v>208</v>
      </c>
      <c r="AH3" s="5" t="s">
        <v>214</v>
      </c>
      <c r="AI3" s="5"/>
      <c r="AJ3" s="4"/>
      <c r="AK3" s="5" t="s">
        <v>210</v>
      </c>
      <c r="AL3" s="5" t="s">
        <v>60</v>
      </c>
      <c r="AM3" s="6">
        <v>46119</v>
      </c>
      <c r="AN3" s="5" t="s">
        <v>212</v>
      </c>
    </row>
  </sheetData>
  <autoFilter ref="A1:AN3" xr:uid="{00000000-0009-0000-0000-000002000000}"/>
  <conditionalFormatting sqref="L2:L3">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3">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3">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3">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3" xr:uid="{00000000-0002-0000-0200-000000000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4"/>
  <sheetViews>
    <sheetView zoomScale="90" workbookViewId="0">
      <pane xSplit="2" ySplit="1" topLeftCell="C2" activePane="bottomRight" state="frozen"/>
      <selection pane="topRight"/>
      <selection pane="bottomLeft"/>
      <selection pane="bottomRight" activeCell="G24" sqref="G2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42578125" customWidth="1"/>
    <col min="11" max="11" width="14" customWidth="1"/>
    <col min="12" max="12" width="12" customWidth="1"/>
    <col min="13" max="13" width="19" customWidth="1"/>
    <col min="14" max="14" width="15.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374</v>
      </c>
      <c r="C2" s="3">
        <v>46107</v>
      </c>
      <c r="D2" s="4">
        <v>553613990</v>
      </c>
      <c r="E2" s="5" t="s">
        <v>223</v>
      </c>
      <c r="F2" s="6">
        <v>46083</v>
      </c>
      <c r="G2" s="5" t="s">
        <v>64</v>
      </c>
      <c r="H2" s="5" t="s">
        <v>64</v>
      </c>
      <c r="I2" s="5" t="s">
        <v>77</v>
      </c>
      <c r="J2" s="5" t="s">
        <v>224</v>
      </c>
      <c r="K2" s="3">
        <v>46279</v>
      </c>
      <c r="L2" s="12">
        <f t="shared" ref="L2:L14" ca="1" si="0">IF($O2="","",$O2-TODAY())</f>
        <v>148</v>
      </c>
      <c r="M2" s="12">
        <f t="shared" ref="M2:M7" ca="1" si="1">IF($C2="","",$C2+365-TODAY())</f>
        <v>172</v>
      </c>
      <c r="N2" s="12">
        <f t="shared" ref="N2:N7" ca="1" si="2">IF($C2="","",$C2+120-TODAY())</f>
        <v>-73</v>
      </c>
      <c r="O2" s="6">
        <v>46448</v>
      </c>
      <c r="P2" s="5" t="s">
        <v>57</v>
      </c>
      <c r="Q2" s="5" t="s">
        <v>66</v>
      </c>
      <c r="R2" s="5" t="s">
        <v>57</v>
      </c>
      <c r="S2" s="5" t="s">
        <v>47</v>
      </c>
      <c r="T2" s="5" t="s">
        <v>67</v>
      </c>
      <c r="U2" s="5" t="s">
        <v>47</v>
      </c>
      <c r="V2" s="5"/>
      <c r="W2" s="5"/>
      <c r="X2" s="5"/>
      <c r="Y2" s="5" t="s">
        <v>48</v>
      </c>
      <c r="Z2" s="7">
        <v>5784.24</v>
      </c>
      <c r="AA2" s="7">
        <v>0</v>
      </c>
      <c r="AB2" s="7">
        <v>0</v>
      </c>
      <c r="AC2" s="6">
        <v>46107</v>
      </c>
      <c r="AD2" s="7">
        <v>5784.24</v>
      </c>
      <c r="AE2" s="4">
        <v>159</v>
      </c>
      <c r="AF2" s="5" t="s">
        <v>167</v>
      </c>
      <c r="AG2" s="5" t="s">
        <v>158</v>
      </c>
      <c r="AH2" s="5"/>
      <c r="AI2" s="5"/>
      <c r="AJ2" s="4"/>
      <c r="AK2" s="5" t="s">
        <v>225</v>
      </c>
      <c r="AL2" s="5" t="s">
        <v>211</v>
      </c>
      <c r="AM2" s="6">
        <v>46105</v>
      </c>
      <c r="AN2" s="5" t="s">
        <v>226</v>
      </c>
    </row>
    <row r="3" spans="1:40" x14ac:dyDescent="0.25">
      <c r="A3" s="2" t="s">
        <v>200</v>
      </c>
      <c r="B3" s="13" t="s">
        <v>376</v>
      </c>
      <c r="C3" s="3">
        <v>46203</v>
      </c>
      <c r="D3" s="4">
        <v>552282896</v>
      </c>
      <c r="E3" s="5" t="s">
        <v>227</v>
      </c>
      <c r="F3" s="6">
        <v>46085</v>
      </c>
      <c r="G3" s="5" t="s">
        <v>64</v>
      </c>
      <c r="H3" s="5" t="s">
        <v>64</v>
      </c>
      <c r="I3" s="5" t="s">
        <v>70</v>
      </c>
      <c r="J3" s="5" t="s">
        <v>228</v>
      </c>
      <c r="K3" s="3">
        <v>46279</v>
      </c>
      <c r="L3" s="12">
        <f t="shared" ca="1" si="0"/>
        <v>150</v>
      </c>
      <c r="M3" s="12">
        <f t="shared" ca="1" si="1"/>
        <v>268</v>
      </c>
      <c r="N3" s="12">
        <f t="shared" ca="1" si="2"/>
        <v>23</v>
      </c>
      <c r="O3" s="6">
        <v>46450</v>
      </c>
      <c r="P3" s="5" t="s">
        <v>57</v>
      </c>
      <c r="Q3" s="5" t="s">
        <v>66</v>
      </c>
      <c r="R3" s="5" t="s">
        <v>57</v>
      </c>
      <c r="S3" s="5" t="s">
        <v>47</v>
      </c>
      <c r="T3" s="5" t="s">
        <v>67</v>
      </c>
      <c r="U3" s="5" t="s">
        <v>47</v>
      </c>
      <c r="V3" s="5"/>
      <c r="W3" s="5"/>
      <c r="X3" s="5"/>
      <c r="Y3" s="5" t="s">
        <v>48</v>
      </c>
      <c r="Z3" s="7">
        <v>9056.39</v>
      </c>
      <c r="AA3" s="7">
        <v>0</v>
      </c>
      <c r="AB3" s="7">
        <v>0</v>
      </c>
      <c r="AC3" s="6">
        <v>46203</v>
      </c>
      <c r="AD3" s="7">
        <v>9056.39</v>
      </c>
      <c r="AE3" s="4">
        <v>157</v>
      </c>
      <c r="AF3" s="5" t="s">
        <v>229</v>
      </c>
      <c r="AG3" s="5" t="s">
        <v>230</v>
      </c>
      <c r="AH3" s="5" t="s">
        <v>231</v>
      </c>
      <c r="AI3" s="5" t="s">
        <v>232</v>
      </c>
      <c r="AJ3" s="4"/>
      <c r="AK3" s="5" t="s">
        <v>233</v>
      </c>
      <c r="AL3" s="5" t="s">
        <v>211</v>
      </c>
      <c r="AM3" s="6">
        <v>46197</v>
      </c>
      <c r="AN3" s="5" t="s">
        <v>226</v>
      </c>
    </row>
    <row r="4" spans="1:40" x14ac:dyDescent="0.25">
      <c r="A4" s="2" t="s">
        <v>354</v>
      </c>
      <c r="B4" s="2" t="s">
        <v>375</v>
      </c>
      <c r="C4" s="3">
        <v>46108</v>
      </c>
      <c r="D4" s="4">
        <v>553223068</v>
      </c>
      <c r="E4" s="5" t="s">
        <v>235</v>
      </c>
      <c r="F4" s="6">
        <v>46099</v>
      </c>
      <c r="G4" s="5" t="s">
        <v>64</v>
      </c>
      <c r="H4" s="5" t="s">
        <v>64</v>
      </c>
      <c r="I4" s="5" t="s">
        <v>70</v>
      </c>
      <c r="J4" s="5" t="s">
        <v>234</v>
      </c>
      <c r="K4" s="3">
        <v>46266</v>
      </c>
      <c r="L4" s="12">
        <f t="shared" ca="1" si="0"/>
        <v>164</v>
      </c>
      <c r="M4" s="12">
        <f t="shared" ca="1" si="1"/>
        <v>173</v>
      </c>
      <c r="N4" s="12">
        <f t="shared" ca="1" si="2"/>
        <v>-72</v>
      </c>
      <c r="O4" s="6">
        <v>46464</v>
      </c>
      <c r="P4" s="5" t="s">
        <v>57</v>
      </c>
      <c r="Q4" s="5" t="s">
        <v>66</v>
      </c>
      <c r="R4" s="5" t="s">
        <v>57</v>
      </c>
      <c r="S4" s="5" t="s">
        <v>47</v>
      </c>
      <c r="T4" s="5" t="s">
        <v>67</v>
      </c>
      <c r="U4" s="5" t="s">
        <v>47</v>
      </c>
      <c r="V4" s="5"/>
      <c r="W4" s="5"/>
      <c r="X4" s="5"/>
      <c r="Y4" s="5" t="s">
        <v>48</v>
      </c>
      <c r="Z4" s="7">
        <v>2493.33</v>
      </c>
      <c r="AA4" s="7">
        <v>0</v>
      </c>
      <c r="AB4" s="7">
        <v>0</v>
      </c>
      <c r="AC4" s="6">
        <v>46108</v>
      </c>
      <c r="AD4" s="7">
        <v>2493.33</v>
      </c>
      <c r="AE4" s="4">
        <v>143</v>
      </c>
      <c r="AF4" s="5" t="s">
        <v>236</v>
      </c>
      <c r="AG4" s="5" t="s">
        <v>237</v>
      </c>
      <c r="AH4" s="5"/>
      <c r="AI4" s="5"/>
      <c r="AJ4" s="4"/>
      <c r="AK4" s="5" t="s">
        <v>238</v>
      </c>
      <c r="AL4" s="5" t="s">
        <v>239</v>
      </c>
      <c r="AM4" s="6">
        <v>46101</v>
      </c>
      <c r="AN4" s="5" t="s">
        <v>226</v>
      </c>
    </row>
    <row r="5" spans="1:40" x14ac:dyDescent="0.25">
      <c r="A5" s="2" t="s">
        <v>200</v>
      </c>
      <c r="B5" s="2" t="s">
        <v>377</v>
      </c>
      <c r="C5" s="3">
        <v>46203</v>
      </c>
      <c r="D5" s="4">
        <v>555372244</v>
      </c>
      <c r="E5" s="5" t="s">
        <v>240</v>
      </c>
      <c r="F5" s="6">
        <v>46104</v>
      </c>
      <c r="G5" s="5" t="s">
        <v>64</v>
      </c>
      <c r="H5" s="5" t="s">
        <v>64</v>
      </c>
      <c r="I5" s="5" t="s">
        <v>70</v>
      </c>
      <c r="J5" s="5" t="s">
        <v>241</v>
      </c>
      <c r="K5" s="3">
        <v>46279</v>
      </c>
      <c r="L5" s="12">
        <f t="shared" ca="1" si="0"/>
        <v>169</v>
      </c>
      <c r="M5" s="12">
        <f t="shared" ca="1" si="1"/>
        <v>268</v>
      </c>
      <c r="N5" s="12">
        <f t="shared" ca="1" si="2"/>
        <v>23</v>
      </c>
      <c r="O5" s="6">
        <v>46469</v>
      </c>
      <c r="P5" s="5" t="s">
        <v>57</v>
      </c>
      <c r="Q5" s="5" t="s">
        <v>66</v>
      </c>
      <c r="R5" s="5" t="s">
        <v>57</v>
      </c>
      <c r="S5" s="5" t="s">
        <v>47</v>
      </c>
      <c r="T5" s="5" t="s">
        <v>67</v>
      </c>
      <c r="U5" s="5" t="s">
        <v>47</v>
      </c>
      <c r="V5" s="5" t="s">
        <v>242</v>
      </c>
      <c r="W5" s="5"/>
      <c r="X5" s="5"/>
      <c r="Y5" s="5" t="s">
        <v>48</v>
      </c>
      <c r="Z5" s="7">
        <v>19949.23</v>
      </c>
      <c r="AA5" s="7">
        <v>0</v>
      </c>
      <c r="AB5" s="7">
        <v>0</v>
      </c>
      <c r="AC5" s="6">
        <v>46203</v>
      </c>
      <c r="AD5" s="7">
        <v>19949.23</v>
      </c>
      <c r="AE5" s="4">
        <v>138</v>
      </c>
      <c r="AF5" s="5" t="s">
        <v>243</v>
      </c>
      <c r="AG5" s="5" t="s">
        <v>244</v>
      </c>
      <c r="AH5" s="5" t="s">
        <v>121</v>
      </c>
      <c r="AI5" s="5" t="s">
        <v>158</v>
      </c>
      <c r="AJ5" s="4"/>
      <c r="AK5" s="5" t="s">
        <v>233</v>
      </c>
      <c r="AL5" s="5" t="s">
        <v>211</v>
      </c>
      <c r="AM5" s="6">
        <v>46197</v>
      </c>
      <c r="AN5" s="5" t="s">
        <v>226</v>
      </c>
    </row>
    <row r="6" spans="1:40" x14ac:dyDescent="0.25">
      <c r="A6" s="2" t="s">
        <v>354</v>
      </c>
      <c r="B6" s="2" t="s">
        <v>378</v>
      </c>
      <c r="C6" s="3">
        <v>46122</v>
      </c>
      <c r="D6" s="4">
        <v>553825634</v>
      </c>
      <c r="E6" s="5" t="s">
        <v>245</v>
      </c>
      <c r="F6" s="6">
        <v>46106</v>
      </c>
      <c r="G6" s="5" t="s">
        <v>86</v>
      </c>
      <c r="H6" s="5" t="s">
        <v>64</v>
      </c>
      <c r="I6" s="5" t="s">
        <v>86</v>
      </c>
      <c r="J6" s="5" t="s">
        <v>234</v>
      </c>
      <c r="K6" s="3">
        <v>46279</v>
      </c>
      <c r="L6" s="12">
        <f t="shared" ca="1" si="0"/>
        <v>171</v>
      </c>
      <c r="M6" s="12">
        <f t="shared" ca="1" si="1"/>
        <v>187</v>
      </c>
      <c r="N6" s="12">
        <f t="shared" ca="1" si="2"/>
        <v>-58</v>
      </c>
      <c r="O6" s="6">
        <v>46471</v>
      </c>
      <c r="P6" s="5" t="s">
        <v>57</v>
      </c>
      <c r="Q6" s="5" t="s">
        <v>66</v>
      </c>
      <c r="R6" s="5" t="s">
        <v>57</v>
      </c>
      <c r="S6" s="5" t="s">
        <v>47</v>
      </c>
      <c r="T6" s="5" t="s">
        <v>67</v>
      </c>
      <c r="U6" s="5" t="s">
        <v>47</v>
      </c>
      <c r="V6" s="5"/>
      <c r="W6" s="5"/>
      <c r="X6" s="5"/>
      <c r="Y6" s="5" t="s">
        <v>48</v>
      </c>
      <c r="Z6" s="7">
        <v>2493.33</v>
      </c>
      <c r="AA6" s="7">
        <v>2351.73</v>
      </c>
      <c r="AB6" s="7">
        <v>110.6</v>
      </c>
      <c r="AC6" s="6">
        <v>46122</v>
      </c>
      <c r="AD6" s="7">
        <v>31</v>
      </c>
      <c r="AE6" s="4">
        <v>136</v>
      </c>
      <c r="AF6" s="5" t="s">
        <v>246</v>
      </c>
      <c r="AG6" s="5"/>
      <c r="AH6" s="5"/>
      <c r="AI6" s="5"/>
      <c r="AJ6" s="4">
        <v>557571095</v>
      </c>
      <c r="AK6" s="5" t="s">
        <v>84</v>
      </c>
      <c r="AL6" s="5" t="s">
        <v>239</v>
      </c>
      <c r="AM6" s="6">
        <v>46107</v>
      </c>
      <c r="AN6" s="5" t="s">
        <v>226</v>
      </c>
    </row>
    <row r="7" spans="1:40" x14ac:dyDescent="0.25">
      <c r="A7" s="2" t="s">
        <v>354</v>
      </c>
      <c r="B7" s="2" t="s">
        <v>378</v>
      </c>
      <c r="C7" s="3">
        <v>46126</v>
      </c>
      <c r="D7" s="4">
        <v>554186385</v>
      </c>
      <c r="E7" s="5" t="s">
        <v>247</v>
      </c>
      <c r="F7" s="6">
        <v>46108</v>
      </c>
      <c r="G7" s="5" t="s">
        <v>248</v>
      </c>
      <c r="H7" s="5" t="s">
        <v>64</v>
      </c>
      <c r="I7" s="5" t="s">
        <v>248</v>
      </c>
      <c r="J7" s="5" t="s">
        <v>249</v>
      </c>
      <c r="K7" s="3">
        <v>46279</v>
      </c>
      <c r="L7" s="12">
        <f t="shared" ca="1" si="0"/>
        <v>173</v>
      </c>
      <c r="M7" s="12">
        <f t="shared" ca="1" si="1"/>
        <v>191</v>
      </c>
      <c r="N7" s="12">
        <f t="shared" ca="1" si="2"/>
        <v>-54</v>
      </c>
      <c r="O7" s="6">
        <v>46473</v>
      </c>
      <c r="P7" s="5" t="s">
        <v>57</v>
      </c>
      <c r="Q7" s="5" t="s">
        <v>66</v>
      </c>
      <c r="R7" s="5" t="s">
        <v>57</v>
      </c>
      <c r="S7" s="5" t="s">
        <v>47</v>
      </c>
      <c r="T7" s="5" t="s">
        <v>67</v>
      </c>
      <c r="U7" s="5" t="s">
        <v>47</v>
      </c>
      <c r="V7" s="5" t="s">
        <v>221</v>
      </c>
      <c r="W7" s="5"/>
      <c r="X7" s="5"/>
      <c r="Y7" s="5" t="s">
        <v>48</v>
      </c>
      <c r="Z7" s="7">
        <v>5614.63</v>
      </c>
      <c r="AA7" s="7">
        <v>4889.05</v>
      </c>
      <c r="AB7" s="7">
        <v>578.1</v>
      </c>
      <c r="AC7" s="6">
        <v>46126</v>
      </c>
      <c r="AD7" s="7">
        <v>147.47999999999999</v>
      </c>
      <c r="AE7" s="4">
        <v>134</v>
      </c>
      <c r="AF7" s="5" t="s">
        <v>250</v>
      </c>
      <c r="AG7" s="5"/>
      <c r="AH7" s="5"/>
      <c r="AI7" s="5"/>
      <c r="AJ7" s="4">
        <v>557570916</v>
      </c>
      <c r="AK7" s="5" t="s">
        <v>119</v>
      </c>
      <c r="AL7" s="5" t="s">
        <v>211</v>
      </c>
      <c r="AM7" s="6">
        <v>46112</v>
      </c>
      <c r="AN7" s="5" t="s">
        <v>226</v>
      </c>
    </row>
    <row r="8" spans="1:40" x14ac:dyDescent="0.25">
      <c r="A8" s="2" t="s">
        <v>200</v>
      </c>
      <c r="B8" s="2" t="s">
        <v>384</v>
      </c>
      <c r="C8" s="3">
        <v>46204</v>
      </c>
      <c r="D8" s="4">
        <v>552284225</v>
      </c>
      <c r="E8" s="5" t="s">
        <v>251</v>
      </c>
      <c r="F8" s="6">
        <v>46085</v>
      </c>
      <c r="G8" s="5" t="s">
        <v>252</v>
      </c>
      <c r="H8" s="5" t="s">
        <v>252</v>
      </c>
      <c r="I8" s="5" t="s">
        <v>42</v>
      </c>
      <c r="J8" s="5" t="s">
        <v>253</v>
      </c>
      <c r="K8" s="3"/>
      <c r="L8" s="12">
        <f t="shared" ca="1" si="0"/>
        <v>-125</v>
      </c>
      <c r="M8" s="12">
        <f ca="1">IF($F8="","",$F8+90-TODAY())</f>
        <v>-125</v>
      </c>
      <c r="N8" s="12">
        <f ca="1">IF($C8="","",$C8+180-TODAY())</f>
        <v>84</v>
      </c>
      <c r="O8" s="6">
        <v>46175</v>
      </c>
      <c r="P8" s="5" t="s">
        <v>97</v>
      </c>
      <c r="Q8" s="5" t="s">
        <v>254</v>
      </c>
      <c r="R8" s="5" t="s">
        <v>97</v>
      </c>
      <c r="S8" s="5" t="s">
        <v>46</v>
      </c>
      <c r="T8" s="5" t="s">
        <v>44</v>
      </c>
      <c r="U8" s="5" t="s">
        <v>47</v>
      </c>
      <c r="V8" s="5"/>
      <c r="W8" s="5"/>
      <c r="X8" s="5"/>
      <c r="Y8" s="5" t="s">
        <v>48</v>
      </c>
      <c r="Z8" s="7">
        <v>1433.32</v>
      </c>
      <c r="AA8" s="7">
        <v>0</v>
      </c>
      <c r="AB8" s="7">
        <v>0</v>
      </c>
      <c r="AC8" s="6">
        <v>46204</v>
      </c>
      <c r="AD8" s="7">
        <v>1433.32</v>
      </c>
      <c r="AE8" s="4">
        <v>157</v>
      </c>
      <c r="AF8" s="5" t="s">
        <v>229</v>
      </c>
      <c r="AG8" s="5" t="s">
        <v>231</v>
      </c>
      <c r="AH8" s="5" t="s">
        <v>158</v>
      </c>
      <c r="AI8" s="5" t="s">
        <v>255</v>
      </c>
      <c r="AJ8" s="4"/>
      <c r="AK8" s="5" t="s">
        <v>233</v>
      </c>
      <c r="AL8" s="5" t="s">
        <v>211</v>
      </c>
      <c r="AM8" s="6">
        <v>46197</v>
      </c>
      <c r="AN8" s="5" t="s">
        <v>226</v>
      </c>
    </row>
    <row r="9" spans="1:40" x14ac:dyDescent="0.25">
      <c r="A9" s="2" t="s">
        <v>200</v>
      </c>
      <c r="B9" s="2" t="s">
        <v>379</v>
      </c>
      <c r="C9" s="3">
        <v>46097</v>
      </c>
      <c r="D9" s="4">
        <v>551964467</v>
      </c>
      <c r="E9" s="5" t="s">
        <v>256</v>
      </c>
      <c r="F9" s="6">
        <v>46087</v>
      </c>
      <c r="G9" s="5" t="s">
        <v>125</v>
      </c>
      <c r="H9" s="5" t="s">
        <v>125</v>
      </c>
      <c r="I9" s="5" t="s">
        <v>42</v>
      </c>
      <c r="J9" s="5" t="s">
        <v>257</v>
      </c>
      <c r="K9" s="3">
        <v>46279</v>
      </c>
      <c r="L9" s="12">
        <f t="shared" ca="1" si="0"/>
        <v>-123</v>
      </c>
      <c r="M9" s="12">
        <f ca="1">IF($F9="","",$F9+90-TODAY())</f>
        <v>-123</v>
      </c>
      <c r="N9" s="12">
        <f ca="1">IF($C9="","",$C9+540-TODAY())</f>
        <v>337</v>
      </c>
      <c r="O9" s="6">
        <v>46177</v>
      </c>
      <c r="P9" s="5" t="s">
        <v>97</v>
      </c>
      <c r="Q9" s="5" t="s">
        <v>127</v>
      </c>
      <c r="R9" s="5" t="s">
        <v>97</v>
      </c>
      <c r="S9" s="5" t="s">
        <v>46</v>
      </c>
      <c r="T9" s="5" t="s">
        <v>393</v>
      </c>
      <c r="U9" s="5" t="s">
        <v>47</v>
      </c>
      <c r="V9" s="5"/>
      <c r="W9" s="5"/>
      <c r="X9" s="5"/>
      <c r="Y9" s="5" t="s">
        <v>48</v>
      </c>
      <c r="Z9" s="7">
        <v>7623.07</v>
      </c>
      <c r="AA9" s="7">
        <v>0</v>
      </c>
      <c r="AB9" s="7">
        <v>0</v>
      </c>
      <c r="AC9" s="6">
        <v>46097</v>
      </c>
      <c r="AD9" s="7">
        <v>7623.07</v>
      </c>
      <c r="AE9" s="4">
        <v>155</v>
      </c>
      <c r="AF9" s="5" t="s">
        <v>159</v>
      </c>
      <c r="AG9" s="5"/>
      <c r="AH9" s="5"/>
      <c r="AI9" s="5"/>
      <c r="AJ9" s="4"/>
      <c r="AK9" s="5" t="s">
        <v>119</v>
      </c>
      <c r="AL9" s="5" t="s">
        <v>211</v>
      </c>
      <c r="AM9" s="6">
        <v>46091</v>
      </c>
      <c r="AN9" s="5" t="s">
        <v>226</v>
      </c>
    </row>
    <row r="10" spans="1:40" x14ac:dyDescent="0.25">
      <c r="A10" s="2" t="s">
        <v>342</v>
      </c>
      <c r="B10" s="2" t="s">
        <v>343</v>
      </c>
      <c r="C10" s="3">
        <v>46203</v>
      </c>
      <c r="D10" s="4">
        <v>553643849</v>
      </c>
      <c r="E10" s="5" t="s">
        <v>258</v>
      </c>
      <c r="F10" s="6">
        <v>46087</v>
      </c>
      <c r="G10" s="5" t="s">
        <v>70</v>
      </c>
      <c r="H10" s="5" t="s">
        <v>70</v>
      </c>
      <c r="I10" s="5" t="s">
        <v>42</v>
      </c>
      <c r="J10" s="5" t="s">
        <v>259</v>
      </c>
      <c r="K10" s="3"/>
      <c r="L10" s="12">
        <f t="shared" ca="1" si="0"/>
        <v>-123</v>
      </c>
      <c r="M10" s="12">
        <f ca="1">IF($F10="","",$F10+90-TODAY())</f>
        <v>-123</v>
      </c>
      <c r="N10" s="12">
        <f ca="1">IF($C10="","",$C10+365-TODAY())</f>
        <v>268</v>
      </c>
      <c r="O10" s="6">
        <v>46177</v>
      </c>
      <c r="P10" s="5" t="s">
        <v>97</v>
      </c>
      <c r="Q10" s="5" t="s">
        <v>98</v>
      </c>
      <c r="R10" s="5" t="s">
        <v>97</v>
      </c>
      <c r="S10" s="5" t="s">
        <v>46</v>
      </c>
      <c r="T10" s="5" t="s">
        <v>57</v>
      </c>
      <c r="U10" s="5" t="s">
        <v>47</v>
      </c>
      <c r="V10" s="5" t="s">
        <v>260</v>
      </c>
      <c r="W10" s="5"/>
      <c r="X10" s="5"/>
      <c r="Y10" s="5" t="s">
        <v>48</v>
      </c>
      <c r="Z10" s="7">
        <v>18400.34</v>
      </c>
      <c r="AA10" s="7">
        <v>0</v>
      </c>
      <c r="AB10" s="7">
        <v>0</v>
      </c>
      <c r="AC10" s="6"/>
      <c r="AD10" s="7">
        <v>18400.34</v>
      </c>
      <c r="AE10" s="4">
        <v>155</v>
      </c>
      <c r="AF10" s="5" t="s">
        <v>261</v>
      </c>
      <c r="AG10" s="5" t="s">
        <v>262</v>
      </c>
      <c r="AH10" s="5"/>
      <c r="AI10" s="5"/>
      <c r="AJ10" s="4"/>
      <c r="AK10" s="5" t="s">
        <v>263</v>
      </c>
      <c r="AL10" s="5" t="s">
        <v>264</v>
      </c>
      <c r="AM10" s="6">
        <v>46197</v>
      </c>
      <c r="AN10" s="5" t="s">
        <v>226</v>
      </c>
    </row>
    <row r="11" spans="1:40" x14ac:dyDescent="0.25">
      <c r="A11" s="2" t="s">
        <v>200</v>
      </c>
      <c r="B11" s="2" t="s">
        <v>380</v>
      </c>
      <c r="C11" s="3">
        <v>46108</v>
      </c>
      <c r="D11" s="4">
        <v>553652690</v>
      </c>
      <c r="E11" s="5" t="s">
        <v>265</v>
      </c>
      <c r="F11" s="6">
        <v>46093</v>
      </c>
      <c r="G11" s="5" t="s">
        <v>125</v>
      </c>
      <c r="H11" s="5" t="s">
        <v>125</v>
      </c>
      <c r="I11" s="5" t="s">
        <v>42</v>
      </c>
      <c r="J11" s="5" t="s">
        <v>266</v>
      </c>
      <c r="K11" s="3">
        <v>46265</v>
      </c>
      <c r="L11" s="12">
        <f t="shared" ca="1" si="0"/>
        <v>-117</v>
      </c>
      <c r="M11" s="12">
        <f ca="1">IF($F11="","",$F11+90-TODAY())</f>
        <v>-117</v>
      </c>
      <c r="N11" s="12">
        <f ca="1">IF($C11="","",$C11+540-TODAY())</f>
        <v>348</v>
      </c>
      <c r="O11" s="6">
        <v>46183</v>
      </c>
      <c r="P11" s="5" t="s">
        <v>97</v>
      </c>
      <c r="Q11" s="5" t="s">
        <v>127</v>
      </c>
      <c r="R11" s="5" t="s">
        <v>97</v>
      </c>
      <c r="S11" s="5" t="s">
        <v>46</v>
      </c>
      <c r="T11" s="5" t="s">
        <v>393</v>
      </c>
      <c r="U11" s="5" t="s">
        <v>47</v>
      </c>
      <c r="V11" s="5" t="s">
        <v>260</v>
      </c>
      <c r="W11" s="5"/>
      <c r="X11" s="5"/>
      <c r="Y11" s="5" t="s">
        <v>48</v>
      </c>
      <c r="Z11" s="7">
        <v>18400.34</v>
      </c>
      <c r="AA11" s="7">
        <v>0</v>
      </c>
      <c r="AB11" s="7">
        <v>0</v>
      </c>
      <c r="AC11" s="6">
        <v>46108</v>
      </c>
      <c r="AD11" s="7">
        <v>18400.34</v>
      </c>
      <c r="AE11" s="4">
        <v>149</v>
      </c>
      <c r="AF11" s="5" t="s">
        <v>158</v>
      </c>
      <c r="AG11" s="5" t="s">
        <v>267</v>
      </c>
      <c r="AH11" s="5"/>
      <c r="AI11" s="5"/>
      <c r="AJ11" s="4"/>
      <c r="AK11" s="5" t="s">
        <v>263</v>
      </c>
      <c r="AL11" s="5" t="s">
        <v>264</v>
      </c>
      <c r="AM11" s="6">
        <v>46105</v>
      </c>
      <c r="AN11" s="5" t="s">
        <v>226</v>
      </c>
    </row>
    <row r="12" spans="1:40" x14ac:dyDescent="0.25">
      <c r="A12" s="2" t="s">
        <v>200</v>
      </c>
      <c r="B12" s="2" t="s">
        <v>381</v>
      </c>
      <c r="C12" s="3">
        <v>46220</v>
      </c>
      <c r="D12" s="4">
        <v>553656838</v>
      </c>
      <c r="E12" s="5" t="s">
        <v>268</v>
      </c>
      <c r="F12" s="6">
        <v>46093</v>
      </c>
      <c r="G12" s="5" t="s">
        <v>125</v>
      </c>
      <c r="H12" s="5" t="s">
        <v>125</v>
      </c>
      <c r="I12" s="5" t="s">
        <v>42</v>
      </c>
      <c r="J12" s="5" t="s">
        <v>269</v>
      </c>
      <c r="K12" s="3">
        <v>46279</v>
      </c>
      <c r="L12" s="12">
        <f t="shared" ca="1" si="0"/>
        <v>-117</v>
      </c>
      <c r="M12" s="12">
        <f ca="1">IF($F12="","",$F12+90-TODAY())</f>
        <v>-117</v>
      </c>
      <c r="N12" s="12">
        <f ca="1">IF($C12="","",$C12+540-TODAY())</f>
        <v>460</v>
      </c>
      <c r="O12" s="6">
        <v>46183</v>
      </c>
      <c r="P12" s="5" t="s">
        <v>97</v>
      </c>
      <c r="Q12" s="5" t="s">
        <v>127</v>
      </c>
      <c r="R12" s="5" t="s">
        <v>97</v>
      </c>
      <c r="S12" s="5" t="s">
        <v>46</v>
      </c>
      <c r="T12" s="5" t="s">
        <v>393</v>
      </c>
      <c r="U12" s="5" t="s">
        <v>47</v>
      </c>
      <c r="V12" s="5"/>
      <c r="W12" s="5"/>
      <c r="X12" s="5"/>
      <c r="Y12" s="5" t="s">
        <v>48</v>
      </c>
      <c r="Z12" s="7">
        <v>12650.96</v>
      </c>
      <c r="AA12" s="7">
        <v>0</v>
      </c>
      <c r="AB12" s="7">
        <v>0</v>
      </c>
      <c r="AC12" s="6">
        <v>46220</v>
      </c>
      <c r="AD12" s="7">
        <v>12650.96</v>
      </c>
      <c r="AE12" s="4">
        <v>149</v>
      </c>
      <c r="AF12" s="5" t="s">
        <v>158</v>
      </c>
      <c r="AG12" s="5" t="s">
        <v>270</v>
      </c>
      <c r="AH12" s="5"/>
      <c r="AI12" s="5"/>
      <c r="AJ12" s="4"/>
      <c r="AK12" s="5" t="s">
        <v>263</v>
      </c>
      <c r="AL12" s="5" t="s">
        <v>264</v>
      </c>
      <c r="AM12" s="6">
        <v>46105</v>
      </c>
      <c r="AN12" s="5" t="s">
        <v>226</v>
      </c>
    </row>
    <row r="13" spans="1:40" x14ac:dyDescent="0.25">
      <c r="A13" s="2" t="s">
        <v>200</v>
      </c>
      <c r="B13" s="2" t="s">
        <v>382</v>
      </c>
      <c r="C13" s="3">
        <v>46127</v>
      </c>
      <c r="D13" s="4">
        <v>555351211</v>
      </c>
      <c r="E13" s="5" t="s">
        <v>271</v>
      </c>
      <c r="F13" s="6">
        <v>46093</v>
      </c>
      <c r="G13" s="5" t="s">
        <v>104</v>
      </c>
      <c r="H13" s="5" t="s">
        <v>104</v>
      </c>
      <c r="I13" s="5" t="s">
        <v>42</v>
      </c>
      <c r="J13" s="5" t="s">
        <v>272</v>
      </c>
      <c r="K13" s="3">
        <v>46279</v>
      </c>
      <c r="L13" s="12">
        <f t="shared" ca="1" si="0"/>
        <v>-117</v>
      </c>
      <c r="M13" s="12">
        <f ca="1">IF($C13="","",$C13+180-TODAY())</f>
        <v>7</v>
      </c>
      <c r="N13" s="12">
        <f ca="1">IF($C13="","",$C13+365-TODAY())</f>
        <v>192</v>
      </c>
      <c r="O13" s="6">
        <v>46183</v>
      </c>
      <c r="P13" s="5" t="s">
        <v>97</v>
      </c>
      <c r="Q13" s="5" t="s">
        <v>111</v>
      </c>
      <c r="R13" s="5" t="s">
        <v>44</v>
      </c>
      <c r="S13" s="5" t="s">
        <v>47</v>
      </c>
      <c r="T13" s="5" t="s">
        <v>57</v>
      </c>
      <c r="U13" s="5" t="s">
        <v>47</v>
      </c>
      <c r="V13" s="5"/>
      <c r="W13" s="5"/>
      <c r="X13" s="5"/>
      <c r="Y13" s="5" t="s">
        <v>48</v>
      </c>
      <c r="Z13" s="7">
        <v>8277.57</v>
      </c>
      <c r="AA13" s="7">
        <v>0</v>
      </c>
      <c r="AB13" s="7">
        <v>0</v>
      </c>
      <c r="AC13" s="6">
        <v>46127</v>
      </c>
      <c r="AD13" s="7">
        <v>8277.57</v>
      </c>
      <c r="AE13" s="4">
        <v>149</v>
      </c>
      <c r="AF13" s="5" t="s">
        <v>167</v>
      </c>
      <c r="AG13" s="5" t="s">
        <v>158</v>
      </c>
      <c r="AH13" s="5"/>
      <c r="AI13" s="5"/>
      <c r="AJ13" s="4"/>
      <c r="AK13" s="5" t="s">
        <v>225</v>
      </c>
      <c r="AL13" s="5" t="s">
        <v>211</v>
      </c>
      <c r="AM13" s="6">
        <v>46120</v>
      </c>
      <c r="AN13" s="5" t="s">
        <v>226</v>
      </c>
    </row>
    <row r="14" spans="1:40" x14ac:dyDescent="0.25">
      <c r="A14" s="2" t="s">
        <v>354</v>
      </c>
      <c r="B14" s="2" t="s">
        <v>383</v>
      </c>
      <c r="C14" s="3">
        <v>46163</v>
      </c>
      <c r="D14" s="4">
        <v>553378154</v>
      </c>
      <c r="E14" s="5" t="s">
        <v>273</v>
      </c>
      <c r="F14" s="6">
        <v>46101</v>
      </c>
      <c r="G14" s="5" t="s">
        <v>274</v>
      </c>
      <c r="H14" s="5" t="s">
        <v>274</v>
      </c>
      <c r="I14" s="5" t="s">
        <v>42</v>
      </c>
      <c r="J14" s="5" t="s">
        <v>257</v>
      </c>
      <c r="K14" s="3">
        <v>46268</v>
      </c>
      <c r="L14" s="12">
        <f t="shared" ca="1" si="0"/>
        <v>-79</v>
      </c>
      <c r="M14" s="12">
        <f ca="1">IF($C14="","",$C14+180-TODAY())</f>
        <v>43</v>
      </c>
      <c r="N14" s="12">
        <f ca="1">IF($C14="","",$C14+180-TODAY())</f>
        <v>43</v>
      </c>
      <c r="O14" s="6">
        <v>46221</v>
      </c>
      <c r="P14" s="5" t="s">
        <v>67</v>
      </c>
      <c r="Q14" s="5" t="s">
        <v>275</v>
      </c>
      <c r="R14" s="5" t="s">
        <v>44</v>
      </c>
      <c r="S14" s="5" t="s">
        <v>47</v>
      </c>
      <c r="T14" s="5" t="s">
        <v>44</v>
      </c>
      <c r="U14" s="5" t="s">
        <v>47</v>
      </c>
      <c r="V14" s="5"/>
      <c r="W14" s="5"/>
      <c r="X14" s="5"/>
      <c r="Y14" s="5" t="s">
        <v>48</v>
      </c>
      <c r="Z14" s="7">
        <v>7623.07</v>
      </c>
      <c r="AA14" s="7">
        <v>0</v>
      </c>
      <c r="AB14" s="7">
        <v>0</v>
      </c>
      <c r="AC14" s="6">
        <v>46163</v>
      </c>
      <c r="AD14" s="7">
        <v>7623.07</v>
      </c>
      <c r="AE14" s="4">
        <v>141</v>
      </c>
      <c r="AF14" s="5" t="s">
        <v>159</v>
      </c>
      <c r="AG14" s="5"/>
      <c r="AH14" s="5"/>
      <c r="AI14" s="5"/>
      <c r="AJ14" s="4"/>
      <c r="AK14" s="5" t="s">
        <v>84</v>
      </c>
      <c r="AL14" s="5" t="s">
        <v>239</v>
      </c>
      <c r="AM14" s="6">
        <v>46105</v>
      </c>
      <c r="AN14" s="5" t="s">
        <v>226</v>
      </c>
    </row>
  </sheetData>
  <autoFilter ref="A1:AN14" xr:uid="{00000000-0009-0000-0000-000003000000}"/>
  <conditionalFormatting sqref="L2:L14">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4">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4">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4">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4" xr:uid="{00000000-0002-0000-0300-000000000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3"/>
  <sheetViews>
    <sheetView zoomScale="90" workbookViewId="0">
      <pane xSplit="2" ySplit="1" topLeftCell="C2" activePane="bottomRight" state="frozen"/>
      <selection pane="topRight"/>
      <selection pane="bottomLeft"/>
      <selection pane="bottomRight" activeCell="B5" sqref="B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29.28515625" customWidth="1"/>
    <col min="11" max="11" width="14" customWidth="1"/>
    <col min="12" max="12" width="12" customWidth="1"/>
    <col min="13" max="13" width="18.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365</v>
      </c>
      <c r="C2" s="3">
        <v>46113</v>
      </c>
      <c r="D2" s="4">
        <v>571606148</v>
      </c>
      <c r="E2" s="5" t="s">
        <v>277</v>
      </c>
      <c r="F2" s="6">
        <v>46091</v>
      </c>
      <c r="G2" s="5" t="s">
        <v>64</v>
      </c>
      <c r="H2" s="5" t="s">
        <v>64</v>
      </c>
      <c r="I2" s="5" t="s">
        <v>77</v>
      </c>
      <c r="J2" s="5" t="s">
        <v>278</v>
      </c>
      <c r="K2" s="3">
        <v>46278</v>
      </c>
      <c r="L2" s="12">
        <f t="shared" ref="L2:L13" ca="1" si="0">IF($O2="","",$O2-TODAY())</f>
        <v>156</v>
      </c>
      <c r="M2" s="12">
        <f ca="1">IF($C2="","",$C2+365-TODAY())</f>
        <v>178</v>
      </c>
      <c r="N2" s="12">
        <f ca="1">IF($C2="","",$C2+120-TODAY())</f>
        <v>-67</v>
      </c>
      <c r="O2" s="6">
        <v>46456</v>
      </c>
      <c r="P2" s="5" t="s">
        <v>57</v>
      </c>
      <c r="Q2" s="5" t="s">
        <v>66</v>
      </c>
      <c r="R2" s="5" t="s">
        <v>57</v>
      </c>
      <c r="S2" s="5" t="s">
        <v>47</v>
      </c>
      <c r="T2" s="5" t="s">
        <v>67</v>
      </c>
      <c r="U2" s="5" t="s">
        <v>47</v>
      </c>
      <c r="V2" s="5"/>
      <c r="W2" s="5"/>
      <c r="X2" s="5"/>
      <c r="Y2" s="5" t="s">
        <v>48</v>
      </c>
      <c r="Z2" s="7">
        <v>1294.23</v>
      </c>
      <c r="AA2" s="7">
        <v>0</v>
      </c>
      <c r="AB2" s="7">
        <v>0</v>
      </c>
      <c r="AC2" s="6">
        <v>46113</v>
      </c>
      <c r="AD2" s="7">
        <v>1294.23</v>
      </c>
      <c r="AE2" s="4">
        <v>151</v>
      </c>
      <c r="AF2" s="5" t="s">
        <v>279</v>
      </c>
      <c r="AG2" s="5" t="s">
        <v>280</v>
      </c>
      <c r="AH2" s="5" t="s">
        <v>213</v>
      </c>
      <c r="AI2" s="5"/>
      <c r="AJ2" s="4"/>
      <c r="AK2" s="5" t="s">
        <v>84</v>
      </c>
      <c r="AL2" s="5" t="s">
        <v>60</v>
      </c>
      <c r="AM2" s="6">
        <v>46106</v>
      </c>
      <c r="AN2" s="5" t="s">
        <v>276</v>
      </c>
    </row>
    <row r="3" spans="1:40" x14ac:dyDescent="0.25">
      <c r="A3" s="2" t="s">
        <v>200</v>
      </c>
      <c r="B3" s="2" t="s">
        <v>365</v>
      </c>
      <c r="C3" s="3">
        <v>46126</v>
      </c>
      <c r="D3" s="4">
        <v>571606263</v>
      </c>
      <c r="E3" s="5" t="s">
        <v>281</v>
      </c>
      <c r="F3" s="6">
        <v>46112</v>
      </c>
      <c r="G3" s="5" t="s">
        <v>64</v>
      </c>
      <c r="H3" s="5" t="s">
        <v>64</v>
      </c>
      <c r="I3" s="5" t="s">
        <v>105</v>
      </c>
      <c r="J3" s="5" t="s">
        <v>282</v>
      </c>
      <c r="K3" s="3">
        <v>46278</v>
      </c>
      <c r="L3" s="12">
        <f t="shared" ca="1" si="0"/>
        <v>177</v>
      </c>
      <c r="M3" s="12">
        <f ca="1">IF($C3="","",$C3+365-TODAY())</f>
        <v>191</v>
      </c>
      <c r="N3" s="12">
        <f ca="1">IF($C3="","",$C3+120-TODAY())</f>
        <v>-54</v>
      </c>
      <c r="O3" s="6">
        <v>46477</v>
      </c>
      <c r="P3" s="5" t="s">
        <v>57</v>
      </c>
      <c r="Q3" s="5" t="s">
        <v>66</v>
      </c>
      <c r="R3" s="5" t="s">
        <v>57</v>
      </c>
      <c r="S3" s="5" t="s">
        <v>47</v>
      </c>
      <c r="T3" s="5" t="s">
        <v>67</v>
      </c>
      <c r="U3" s="5" t="s">
        <v>47</v>
      </c>
      <c r="V3" s="5"/>
      <c r="W3" s="5"/>
      <c r="X3" s="5"/>
      <c r="Y3" s="5" t="s">
        <v>48</v>
      </c>
      <c r="Z3" s="7">
        <v>2173.29</v>
      </c>
      <c r="AA3" s="7">
        <v>0</v>
      </c>
      <c r="AB3" s="7">
        <v>0</v>
      </c>
      <c r="AC3" s="6">
        <v>46126</v>
      </c>
      <c r="AD3" s="7">
        <v>2173.29</v>
      </c>
      <c r="AE3" s="4">
        <v>130</v>
      </c>
      <c r="AF3" s="5" t="s">
        <v>283</v>
      </c>
      <c r="AG3" s="5" t="s">
        <v>284</v>
      </c>
      <c r="AH3" s="5" t="s">
        <v>280</v>
      </c>
      <c r="AI3" s="5"/>
      <c r="AJ3" s="4"/>
      <c r="AK3" s="5" t="s">
        <v>84</v>
      </c>
      <c r="AL3" s="5" t="s">
        <v>60</v>
      </c>
      <c r="AM3" s="6">
        <v>46121</v>
      </c>
      <c r="AN3" s="5" t="s">
        <v>276</v>
      </c>
    </row>
    <row r="4" spans="1:40" x14ac:dyDescent="0.25">
      <c r="A4" s="2" t="s">
        <v>200</v>
      </c>
      <c r="B4" s="13" t="s">
        <v>366</v>
      </c>
      <c r="C4" s="3">
        <v>46113</v>
      </c>
      <c r="D4" s="4">
        <v>571606836</v>
      </c>
      <c r="E4" s="15" t="s">
        <v>288</v>
      </c>
      <c r="F4" s="6">
        <v>46084</v>
      </c>
      <c r="G4" s="5" t="s">
        <v>289</v>
      </c>
      <c r="H4" s="5" t="s">
        <v>289</v>
      </c>
      <c r="I4" s="5" t="s">
        <v>42</v>
      </c>
      <c r="J4" s="5" t="s">
        <v>282</v>
      </c>
      <c r="K4" s="3">
        <v>46278</v>
      </c>
      <c r="L4" s="12">
        <f t="shared" ca="1" si="0"/>
        <v>-126</v>
      </c>
      <c r="M4" s="12">
        <f ca="1">IF($F4="","",$F4+90-TODAY())</f>
        <v>-126</v>
      </c>
      <c r="N4" s="12">
        <f ca="1">IF($C4="","",$C4+180-TODAY())</f>
        <v>-7</v>
      </c>
      <c r="O4" s="6">
        <v>46174</v>
      </c>
      <c r="P4" s="5" t="s">
        <v>97</v>
      </c>
      <c r="Q4" s="5" t="s">
        <v>254</v>
      </c>
      <c r="R4" s="5" t="s">
        <v>97</v>
      </c>
      <c r="S4" s="5" t="s">
        <v>46</v>
      </c>
      <c r="T4" s="5" t="s">
        <v>44</v>
      </c>
      <c r="U4" s="5" t="s">
        <v>47</v>
      </c>
      <c r="V4" s="5"/>
      <c r="W4" s="5"/>
      <c r="X4" s="5"/>
      <c r="Y4" s="5" t="s">
        <v>48</v>
      </c>
      <c r="Z4" s="7">
        <v>2173.29</v>
      </c>
      <c r="AA4" s="7">
        <v>0</v>
      </c>
      <c r="AB4" s="7">
        <v>0</v>
      </c>
      <c r="AC4" s="6">
        <v>46113</v>
      </c>
      <c r="AD4" s="7">
        <v>2173.29</v>
      </c>
      <c r="AE4" s="4">
        <v>158</v>
      </c>
      <c r="AF4" s="5" t="s">
        <v>158</v>
      </c>
      <c r="AG4" s="5" t="s">
        <v>290</v>
      </c>
      <c r="AH4" s="5" t="s">
        <v>291</v>
      </c>
      <c r="AI4" s="5" t="s">
        <v>286</v>
      </c>
      <c r="AJ4" s="4"/>
      <c r="AK4" s="5" t="s">
        <v>84</v>
      </c>
      <c r="AL4" s="5" t="s">
        <v>60</v>
      </c>
      <c r="AM4" s="6">
        <v>46106</v>
      </c>
      <c r="AN4" s="5" t="s">
        <v>276</v>
      </c>
    </row>
    <row r="5" spans="1:40" x14ac:dyDescent="0.25">
      <c r="A5" s="2" t="s">
        <v>200</v>
      </c>
      <c r="B5" s="13" t="s">
        <v>368</v>
      </c>
      <c r="C5" s="3">
        <v>46135</v>
      </c>
      <c r="D5" s="4">
        <v>571607238</v>
      </c>
      <c r="E5" s="5" t="s">
        <v>292</v>
      </c>
      <c r="F5" s="6">
        <v>46098</v>
      </c>
      <c r="G5" s="5" t="s">
        <v>105</v>
      </c>
      <c r="H5" s="5" t="s">
        <v>105</v>
      </c>
      <c r="I5" s="5" t="s">
        <v>70</v>
      </c>
      <c r="J5" s="5" t="s">
        <v>278</v>
      </c>
      <c r="K5" s="3">
        <v>46278</v>
      </c>
      <c r="L5" s="12">
        <f t="shared" ca="1" si="0"/>
        <v>-112</v>
      </c>
      <c r="M5" s="12">
        <f ca="1">IF($C5="","",$C5+180-TODAY())</f>
        <v>15</v>
      </c>
      <c r="N5" s="12">
        <f ca="1">IF($C5="","",$C5+365-TODAY())</f>
        <v>200</v>
      </c>
      <c r="O5" s="6">
        <v>46188</v>
      </c>
      <c r="P5" s="5" t="s">
        <v>97</v>
      </c>
      <c r="Q5" s="5" t="s">
        <v>106</v>
      </c>
      <c r="R5" s="5" t="s">
        <v>44</v>
      </c>
      <c r="S5" s="5" t="s">
        <v>47</v>
      </c>
      <c r="T5" s="5" t="s">
        <v>57</v>
      </c>
      <c r="U5" s="5" t="s">
        <v>47</v>
      </c>
      <c r="V5" s="5"/>
      <c r="W5" s="5"/>
      <c r="X5" s="5"/>
      <c r="Y5" s="5" t="s">
        <v>48</v>
      </c>
      <c r="Z5" s="7">
        <v>1294.23</v>
      </c>
      <c r="AA5" s="7">
        <v>0</v>
      </c>
      <c r="AB5" s="7">
        <v>0</v>
      </c>
      <c r="AC5" s="6">
        <v>46135</v>
      </c>
      <c r="AD5" s="7">
        <v>1294.23</v>
      </c>
      <c r="AE5" s="4">
        <v>144</v>
      </c>
      <c r="AF5" s="5" t="s">
        <v>293</v>
      </c>
      <c r="AG5" s="5" t="s">
        <v>294</v>
      </c>
      <c r="AH5" s="5"/>
      <c r="AI5" s="5"/>
      <c r="AJ5" s="4"/>
      <c r="AK5" s="5" t="s">
        <v>84</v>
      </c>
      <c r="AL5" s="5" t="s">
        <v>60</v>
      </c>
      <c r="AM5" s="6">
        <v>46119</v>
      </c>
      <c r="AN5" s="5" t="s">
        <v>276</v>
      </c>
    </row>
    <row r="6" spans="1:40" x14ac:dyDescent="0.25">
      <c r="A6" s="2" t="s">
        <v>386</v>
      </c>
      <c r="B6" s="13" t="s">
        <v>390</v>
      </c>
      <c r="C6" s="3">
        <v>46220</v>
      </c>
      <c r="D6" s="4">
        <v>553063753</v>
      </c>
      <c r="E6" s="5" t="s">
        <v>295</v>
      </c>
      <c r="F6" s="6">
        <v>46099</v>
      </c>
      <c r="G6" s="5" t="s">
        <v>125</v>
      </c>
      <c r="H6" s="5" t="s">
        <v>125</v>
      </c>
      <c r="I6" s="5" t="s">
        <v>42</v>
      </c>
      <c r="J6" s="5" t="s">
        <v>296</v>
      </c>
      <c r="K6" s="3"/>
      <c r="L6" s="12">
        <f t="shared" ca="1" si="0"/>
        <v>-111</v>
      </c>
      <c r="M6" s="12">
        <f ca="1">IF($F6="","",$F6+90-TODAY())</f>
        <v>-111</v>
      </c>
      <c r="N6" s="12">
        <f ca="1">IF($C6="","",$C6+540-TODAY())</f>
        <v>460</v>
      </c>
      <c r="O6" s="6">
        <v>46189</v>
      </c>
      <c r="P6" s="5" t="s">
        <v>97</v>
      </c>
      <c r="Q6" s="5" t="s">
        <v>127</v>
      </c>
      <c r="R6" s="5" t="s">
        <v>97</v>
      </c>
      <c r="S6" s="5" t="s">
        <v>46</v>
      </c>
      <c r="T6" s="5" t="s">
        <v>393</v>
      </c>
      <c r="U6" s="5" t="s">
        <v>47</v>
      </c>
      <c r="V6" s="5"/>
      <c r="W6" s="5"/>
      <c r="X6" s="5"/>
      <c r="Y6" s="5" t="s">
        <v>48</v>
      </c>
      <c r="Z6" s="7">
        <v>3822.49</v>
      </c>
      <c r="AA6" s="7">
        <v>0</v>
      </c>
      <c r="AB6" s="7">
        <v>0</v>
      </c>
      <c r="AC6" s="6">
        <v>46220</v>
      </c>
      <c r="AD6" s="7">
        <v>3822.49</v>
      </c>
      <c r="AE6" s="4">
        <v>143</v>
      </c>
      <c r="AF6" s="5" t="s">
        <v>297</v>
      </c>
      <c r="AG6" s="5" t="s">
        <v>170</v>
      </c>
      <c r="AH6" s="5" t="s">
        <v>122</v>
      </c>
      <c r="AI6" s="5" t="s">
        <v>280</v>
      </c>
      <c r="AJ6" s="4"/>
      <c r="AK6" s="5" t="s">
        <v>199</v>
      </c>
      <c r="AL6" s="5" t="s">
        <v>73</v>
      </c>
      <c r="AM6" s="6">
        <v>46125</v>
      </c>
      <c r="AN6" s="5" t="s">
        <v>276</v>
      </c>
    </row>
    <row r="7" spans="1:40" x14ac:dyDescent="0.25">
      <c r="A7" s="13" t="s">
        <v>391</v>
      </c>
      <c r="B7" s="13" t="s">
        <v>369</v>
      </c>
      <c r="C7" s="3">
        <v>46114</v>
      </c>
      <c r="D7" s="4">
        <v>553857983</v>
      </c>
      <c r="E7" s="5" t="s">
        <v>298</v>
      </c>
      <c r="F7" s="6">
        <v>46099</v>
      </c>
      <c r="G7" s="5" t="s">
        <v>299</v>
      </c>
      <c r="H7" s="5" t="s">
        <v>289</v>
      </c>
      <c r="I7" s="5" t="s">
        <v>299</v>
      </c>
      <c r="J7" s="5" t="s">
        <v>300</v>
      </c>
      <c r="K7" s="3">
        <v>46278</v>
      </c>
      <c r="L7" s="12">
        <f t="shared" ca="1" si="0"/>
        <v>-111</v>
      </c>
      <c r="M7" s="12">
        <f ca="1">IF($F7="","",$F7+90-TODAY())</f>
        <v>-111</v>
      </c>
      <c r="N7" s="12">
        <f ca="1">IF($C7="","",$C7+180-TODAY())</f>
        <v>-6</v>
      </c>
      <c r="O7" s="6">
        <v>46189</v>
      </c>
      <c r="P7" s="5" t="s">
        <v>97</v>
      </c>
      <c r="Q7" s="5" t="s">
        <v>254</v>
      </c>
      <c r="R7" s="5" t="s">
        <v>97</v>
      </c>
      <c r="S7" s="5" t="s">
        <v>46</v>
      </c>
      <c r="T7" s="5" t="s">
        <v>44</v>
      </c>
      <c r="U7" s="5" t="s">
        <v>47</v>
      </c>
      <c r="V7" s="5"/>
      <c r="W7" s="5"/>
      <c r="X7" s="5"/>
      <c r="Y7" s="5" t="s">
        <v>48</v>
      </c>
      <c r="Z7" s="7">
        <v>1649.2</v>
      </c>
      <c r="AA7" s="7">
        <v>1420.82</v>
      </c>
      <c r="AB7" s="7">
        <v>160.93</v>
      </c>
      <c r="AC7" s="6">
        <v>46114</v>
      </c>
      <c r="AD7" s="7">
        <v>67.45</v>
      </c>
      <c r="AE7" s="4">
        <v>143</v>
      </c>
      <c r="AF7" s="5" t="s">
        <v>301</v>
      </c>
      <c r="AG7" s="5"/>
      <c r="AH7" s="5"/>
      <c r="AI7" s="5"/>
      <c r="AJ7" s="4">
        <v>571607938</v>
      </c>
      <c r="AK7" s="5" t="s">
        <v>91</v>
      </c>
      <c r="AL7" s="5" t="s">
        <v>302</v>
      </c>
      <c r="AM7" s="6">
        <v>46106</v>
      </c>
      <c r="AN7" s="5" t="s">
        <v>276</v>
      </c>
    </row>
    <row r="8" spans="1:40" x14ac:dyDescent="0.25">
      <c r="A8" s="2" t="s">
        <v>61</v>
      </c>
      <c r="B8" s="13" t="s">
        <v>367</v>
      </c>
      <c r="C8" s="3">
        <v>46127</v>
      </c>
      <c r="D8" s="4">
        <v>569508762</v>
      </c>
      <c r="E8" s="5" t="s">
        <v>303</v>
      </c>
      <c r="F8" s="6">
        <v>46105</v>
      </c>
      <c r="G8" s="5" t="s">
        <v>289</v>
      </c>
      <c r="H8" s="5" t="s">
        <v>289</v>
      </c>
      <c r="I8" s="5" t="s">
        <v>42</v>
      </c>
      <c r="J8" s="5" t="s">
        <v>278</v>
      </c>
      <c r="K8" s="3">
        <v>46269</v>
      </c>
      <c r="L8" s="12">
        <f t="shared" ca="1" si="0"/>
        <v>-105</v>
      </c>
      <c r="M8" s="12">
        <f ca="1">IF($F8="","",$F8+90-TODAY())</f>
        <v>-105</v>
      </c>
      <c r="N8" s="12">
        <f ca="1">IF($C8="","",$C8+180-TODAY())</f>
        <v>7</v>
      </c>
      <c r="O8" s="6">
        <v>46195</v>
      </c>
      <c r="P8" s="5" t="s">
        <v>97</v>
      </c>
      <c r="Q8" s="5" t="s">
        <v>254</v>
      </c>
      <c r="R8" s="5" t="s">
        <v>97</v>
      </c>
      <c r="S8" s="5" t="s">
        <v>46</v>
      </c>
      <c r="T8" s="5" t="s">
        <v>44</v>
      </c>
      <c r="U8" s="5" t="s">
        <v>47</v>
      </c>
      <c r="V8" s="5"/>
      <c r="W8" s="5"/>
      <c r="X8" s="5"/>
      <c r="Y8" s="5" t="s">
        <v>48</v>
      </c>
      <c r="Z8" s="7">
        <v>1294.23</v>
      </c>
      <c r="AA8" s="7">
        <v>0</v>
      </c>
      <c r="AB8" s="7">
        <v>0</v>
      </c>
      <c r="AC8" s="6"/>
      <c r="AD8" s="7">
        <v>1294.23</v>
      </c>
      <c r="AE8" s="4">
        <v>137</v>
      </c>
      <c r="AF8" s="5" t="s">
        <v>151</v>
      </c>
      <c r="AG8" s="5" t="s">
        <v>280</v>
      </c>
      <c r="AH8" s="5" t="s">
        <v>304</v>
      </c>
      <c r="AI8" s="5"/>
      <c r="AJ8" s="4"/>
      <c r="AK8" s="5" t="s">
        <v>84</v>
      </c>
      <c r="AL8" s="5" t="s">
        <v>60</v>
      </c>
      <c r="AM8" s="6">
        <v>46121</v>
      </c>
      <c r="AN8" s="5" t="s">
        <v>276</v>
      </c>
    </row>
    <row r="9" spans="1:40" x14ac:dyDescent="0.25">
      <c r="A9" s="2" t="s">
        <v>200</v>
      </c>
      <c r="B9" s="13" t="s">
        <v>370</v>
      </c>
      <c r="C9" s="3">
        <v>46126</v>
      </c>
      <c r="D9" s="4">
        <v>571608266</v>
      </c>
      <c r="E9" s="5" t="s">
        <v>305</v>
      </c>
      <c r="F9" s="6">
        <v>46105</v>
      </c>
      <c r="G9" s="5" t="s">
        <v>101</v>
      </c>
      <c r="H9" s="5" t="s">
        <v>101</v>
      </c>
      <c r="I9" s="5" t="s">
        <v>42</v>
      </c>
      <c r="J9" s="5" t="s">
        <v>278</v>
      </c>
      <c r="K9" s="3">
        <v>46278</v>
      </c>
      <c r="L9" s="12">
        <f t="shared" ca="1" si="0"/>
        <v>-105</v>
      </c>
      <c r="M9" s="12">
        <f ca="1">IF($C9="","",$C9+365-TODAY())</f>
        <v>191</v>
      </c>
      <c r="N9" s="12">
        <f ca="1">IF($C9="","",$C9+365-TODAY())</f>
        <v>191</v>
      </c>
      <c r="O9" s="6">
        <v>46195</v>
      </c>
      <c r="P9" s="5" t="s">
        <v>97</v>
      </c>
      <c r="Q9" s="5" t="s">
        <v>102</v>
      </c>
      <c r="R9" s="5" t="s">
        <v>57</v>
      </c>
      <c r="S9" s="5" t="s">
        <v>47</v>
      </c>
      <c r="T9" s="5" t="s">
        <v>57</v>
      </c>
      <c r="U9" s="5" t="s">
        <v>47</v>
      </c>
      <c r="V9" s="5"/>
      <c r="W9" s="5"/>
      <c r="X9" s="5"/>
      <c r="Y9" s="5" t="s">
        <v>48</v>
      </c>
      <c r="Z9" s="7">
        <v>1294.23</v>
      </c>
      <c r="AA9" s="7">
        <v>0</v>
      </c>
      <c r="AB9" s="7">
        <v>0</v>
      </c>
      <c r="AC9" s="6">
        <v>46126</v>
      </c>
      <c r="AD9" s="7">
        <v>1294.23</v>
      </c>
      <c r="AE9" s="4">
        <v>137</v>
      </c>
      <c r="AF9" s="5" t="s">
        <v>213</v>
      </c>
      <c r="AG9" s="5" t="s">
        <v>166</v>
      </c>
      <c r="AH9" s="5" t="s">
        <v>285</v>
      </c>
      <c r="AI9" s="5"/>
      <c r="AJ9" s="4"/>
      <c r="AK9" s="5" t="s">
        <v>84</v>
      </c>
      <c r="AL9" s="5" t="s">
        <v>60</v>
      </c>
      <c r="AM9" s="6">
        <v>46121</v>
      </c>
      <c r="AN9" s="5" t="s">
        <v>276</v>
      </c>
    </row>
    <row r="10" spans="1:40" x14ac:dyDescent="0.25">
      <c r="A10" s="2" t="s">
        <v>200</v>
      </c>
      <c r="B10" s="2" t="s">
        <v>385</v>
      </c>
      <c r="C10" s="3">
        <v>46113</v>
      </c>
      <c r="D10" s="14">
        <v>553787632</v>
      </c>
      <c r="E10" s="5" t="s">
        <v>306</v>
      </c>
      <c r="F10" s="6">
        <v>46085</v>
      </c>
      <c r="G10" s="5" t="s">
        <v>307</v>
      </c>
      <c r="H10" s="5" t="s">
        <v>307</v>
      </c>
      <c r="I10" s="5" t="s">
        <v>42</v>
      </c>
      <c r="J10" s="15" t="s">
        <v>371</v>
      </c>
      <c r="K10" s="3">
        <v>46282</v>
      </c>
      <c r="L10" s="12">
        <f t="shared" ca="1" si="0"/>
        <v>-95</v>
      </c>
      <c r="M10" s="12">
        <f t="shared" ref="M10:N12" ca="1" si="1">IF($C10="","",$C10+180-TODAY())</f>
        <v>-7</v>
      </c>
      <c r="N10" s="12">
        <f t="shared" ca="1" si="1"/>
        <v>-7</v>
      </c>
      <c r="O10" s="6">
        <v>46205</v>
      </c>
      <c r="P10" s="5" t="s">
        <v>67</v>
      </c>
      <c r="Q10" s="5" t="s">
        <v>275</v>
      </c>
      <c r="R10" s="5" t="s">
        <v>44</v>
      </c>
      <c r="S10" s="5" t="s">
        <v>47</v>
      </c>
      <c r="T10" s="5" t="s">
        <v>44</v>
      </c>
      <c r="U10" s="5" t="s">
        <v>47</v>
      </c>
      <c r="V10" s="5"/>
      <c r="W10" s="5"/>
      <c r="X10" s="5"/>
      <c r="Y10" s="5" t="s">
        <v>48</v>
      </c>
      <c r="Z10" s="7">
        <v>2943.43</v>
      </c>
      <c r="AA10" s="7">
        <v>0</v>
      </c>
      <c r="AB10" s="7">
        <v>0</v>
      </c>
      <c r="AC10" s="6">
        <v>46113</v>
      </c>
      <c r="AD10" s="7">
        <v>2943.43</v>
      </c>
      <c r="AE10" s="4">
        <v>157</v>
      </c>
      <c r="AF10" s="5" t="s">
        <v>301</v>
      </c>
      <c r="AG10" s="5" t="s">
        <v>287</v>
      </c>
      <c r="AH10" s="5"/>
      <c r="AI10" s="5"/>
      <c r="AJ10" s="4"/>
      <c r="AK10" s="5" t="s">
        <v>91</v>
      </c>
      <c r="AL10" s="5" t="s">
        <v>302</v>
      </c>
      <c r="AM10" s="6">
        <v>46106</v>
      </c>
      <c r="AN10" s="5" t="s">
        <v>276</v>
      </c>
    </row>
    <row r="11" spans="1:40" x14ac:dyDescent="0.25">
      <c r="A11" s="2" t="s">
        <v>61</v>
      </c>
      <c r="B11" s="13" t="s">
        <v>372</v>
      </c>
      <c r="C11" s="3">
        <v>46129</v>
      </c>
      <c r="D11" s="4">
        <v>553810379</v>
      </c>
      <c r="E11" s="5" t="s">
        <v>308</v>
      </c>
      <c r="F11" s="6">
        <v>46092</v>
      </c>
      <c r="G11" s="5" t="s">
        <v>309</v>
      </c>
      <c r="H11" s="5" t="s">
        <v>309</v>
      </c>
      <c r="I11" s="5" t="s">
        <v>42</v>
      </c>
      <c r="J11" s="5" t="s">
        <v>310</v>
      </c>
      <c r="K11" s="16">
        <v>46278</v>
      </c>
      <c r="L11" s="12">
        <f t="shared" ca="1" si="0"/>
        <v>-88</v>
      </c>
      <c r="M11" s="12">
        <f t="shared" ca="1" si="1"/>
        <v>9</v>
      </c>
      <c r="N11" s="12">
        <f t="shared" ca="1" si="1"/>
        <v>9</v>
      </c>
      <c r="O11" s="6">
        <v>46212</v>
      </c>
      <c r="P11" s="5" t="s">
        <v>67</v>
      </c>
      <c r="Q11" s="5" t="s">
        <v>133</v>
      </c>
      <c r="R11" s="5" t="s">
        <v>44</v>
      </c>
      <c r="S11" s="5" t="s">
        <v>47</v>
      </c>
      <c r="T11" s="5" t="s">
        <v>44</v>
      </c>
      <c r="U11" s="5" t="s">
        <v>47</v>
      </c>
      <c r="V11" s="5"/>
      <c r="W11" s="5"/>
      <c r="X11" s="5"/>
      <c r="Y11" s="5" t="s">
        <v>48</v>
      </c>
      <c r="Z11" s="7">
        <v>879.06</v>
      </c>
      <c r="AA11" s="7">
        <v>0</v>
      </c>
      <c r="AB11" s="7">
        <v>0</v>
      </c>
      <c r="AC11" s="6">
        <v>46129</v>
      </c>
      <c r="AD11" s="7">
        <v>879.06</v>
      </c>
      <c r="AE11" s="4">
        <v>150</v>
      </c>
      <c r="AF11" s="5" t="s">
        <v>301</v>
      </c>
      <c r="AG11" s="5" t="s">
        <v>287</v>
      </c>
      <c r="AH11" s="5"/>
      <c r="AI11" s="5"/>
      <c r="AJ11" s="4"/>
      <c r="AK11" s="5" t="s">
        <v>91</v>
      </c>
      <c r="AL11" s="5" t="s">
        <v>302</v>
      </c>
      <c r="AM11" s="6">
        <v>46106</v>
      </c>
      <c r="AN11" s="5" t="s">
        <v>276</v>
      </c>
    </row>
    <row r="12" spans="1:40" x14ac:dyDescent="0.25">
      <c r="A12" s="2" t="s">
        <v>61</v>
      </c>
      <c r="B12" s="13" t="s">
        <v>372</v>
      </c>
      <c r="C12" s="3">
        <v>46127</v>
      </c>
      <c r="D12" s="4">
        <v>555438747</v>
      </c>
      <c r="E12" s="5" t="s">
        <v>311</v>
      </c>
      <c r="F12" s="6">
        <v>46112</v>
      </c>
      <c r="G12" s="5" t="s">
        <v>307</v>
      </c>
      <c r="H12" s="5" t="s">
        <v>307</v>
      </c>
      <c r="I12" s="5" t="s">
        <v>42</v>
      </c>
      <c r="J12" s="5" t="s">
        <v>310</v>
      </c>
      <c r="K12" s="16">
        <v>46278</v>
      </c>
      <c r="L12" s="12">
        <f t="shared" ca="1" si="0"/>
        <v>-68</v>
      </c>
      <c r="M12" s="12">
        <f t="shared" ca="1" si="1"/>
        <v>7</v>
      </c>
      <c r="N12" s="12">
        <f t="shared" ca="1" si="1"/>
        <v>7</v>
      </c>
      <c r="O12" s="6">
        <v>46232</v>
      </c>
      <c r="P12" s="5" t="s">
        <v>67</v>
      </c>
      <c r="Q12" s="5" t="s">
        <v>275</v>
      </c>
      <c r="R12" s="5" t="s">
        <v>44</v>
      </c>
      <c r="S12" s="5" t="s">
        <v>47</v>
      </c>
      <c r="T12" s="5" t="s">
        <v>44</v>
      </c>
      <c r="U12" s="5" t="s">
        <v>47</v>
      </c>
      <c r="V12" s="5"/>
      <c r="W12" s="5"/>
      <c r="X12" s="5"/>
      <c r="Y12" s="5" t="s">
        <v>48</v>
      </c>
      <c r="Z12" s="7">
        <v>879.06</v>
      </c>
      <c r="AA12" s="7">
        <v>0</v>
      </c>
      <c r="AB12" s="7">
        <v>0</v>
      </c>
      <c r="AC12" s="6">
        <v>46127</v>
      </c>
      <c r="AD12" s="7">
        <v>879.06</v>
      </c>
      <c r="AE12" s="4">
        <v>130</v>
      </c>
      <c r="AF12" s="5" t="s">
        <v>287</v>
      </c>
      <c r="AG12" s="5" t="s">
        <v>280</v>
      </c>
      <c r="AH12" s="5"/>
      <c r="AI12" s="5"/>
      <c r="AJ12" s="4"/>
      <c r="AK12" s="5" t="s">
        <v>84</v>
      </c>
      <c r="AL12" s="5" t="s">
        <v>60</v>
      </c>
      <c r="AM12" s="6">
        <v>46121</v>
      </c>
      <c r="AN12" s="5" t="s">
        <v>276</v>
      </c>
    </row>
    <row r="13" spans="1:40" x14ac:dyDescent="0.25">
      <c r="A13" s="2" t="s">
        <v>200</v>
      </c>
      <c r="B13" s="2" t="s">
        <v>373</v>
      </c>
      <c r="C13" s="3">
        <v>46146</v>
      </c>
      <c r="D13" s="4">
        <v>571612561</v>
      </c>
      <c r="E13" s="5" t="s">
        <v>312</v>
      </c>
      <c r="F13" s="6">
        <v>46098</v>
      </c>
      <c r="G13" s="5" t="s">
        <v>313</v>
      </c>
      <c r="H13" s="5" t="s">
        <v>313</v>
      </c>
      <c r="I13" s="5" t="s">
        <v>42</v>
      </c>
      <c r="J13" s="5" t="s">
        <v>296</v>
      </c>
      <c r="K13" s="16">
        <v>46278</v>
      </c>
      <c r="L13" s="12">
        <f t="shared" ca="1" si="0"/>
        <v>-112</v>
      </c>
      <c r="M13" s="12">
        <f ca="1">IF($C13="","",$C13+365-TODAY())</f>
        <v>211</v>
      </c>
      <c r="N13" s="12">
        <f ca="1">IF($C13="","",$C13+365-TODAY())</f>
        <v>211</v>
      </c>
      <c r="O13" s="6">
        <v>46188</v>
      </c>
      <c r="P13" s="5" t="s">
        <v>97</v>
      </c>
      <c r="Q13" s="5" t="s">
        <v>314</v>
      </c>
      <c r="R13" s="5" t="s">
        <v>57</v>
      </c>
      <c r="S13" s="5" t="s">
        <v>47</v>
      </c>
      <c r="T13" s="5" t="s">
        <v>57</v>
      </c>
      <c r="U13" s="5" t="s">
        <v>47</v>
      </c>
      <c r="V13" s="5"/>
      <c r="W13" s="5"/>
      <c r="X13" s="5"/>
      <c r="Y13" s="5" t="s">
        <v>48</v>
      </c>
      <c r="Z13" s="7">
        <v>3822.49</v>
      </c>
      <c r="AA13" s="7">
        <v>0</v>
      </c>
      <c r="AB13" s="7">
        <v>0</v>
      </c>
      <c r="AC13" s="6">
        <v>46146</v>
      </c>
      <c r="AD13" s="7">
        <v>3822.49</v>
      </c>
      <c r="AE13" s="4">
        <v>144</v>
      </c>
      <c r="AF13" s="5" t="s">
        <v>315</v>
      </c>
      <c r="AG13" s="5" t="s">
        <v>316</v>
      </c>
      <c r="AH13" s="5" t="s">
        <v>290</v>
      </c>
      <c r="AI13" s="5"/>
      <c r="AJ13" s="4"/>
      <c r="AK13" s="5" t="s">
        <v>84</v>
      </c>
      <c r="AL13" s="5" t="s">
        <v>60</v>
      </c>
      <c r="AM13" s="6">
        <v>46106</v>
      </c>
      <c r="AN13" s="5" t="s">
        <v>276</v>
      </c>
    </row>
  </sheetData>
  <autoFilter ref="A1:AN13" xr:uid="{00000000-0009-0000-0000-000004000000}"/>
  <conditionalFormatting sqref="L2:L13">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3">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3">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3">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13" xr:uid="{00000000-0002-0000-0400-000000000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317</v>
      </c>
    </row>
    <row r="2" spans="1:1" x14ac:dyDescent="0.25">
      <c r="A2" s="9"/>
    </row>
    <row r="3" spans="1:1" x14ac:dyDescent="0.25">
      <c r="A3" s="9" t="s">
        <v>394</v>
      </c>
    </row>
    <row r="4" spans="1:1" x14ac:dyDescent="0.25">
      <c r="A4" s="9"/>
    </row>
    <row r="5" spans="1:1" x14ac:dyDescent="0.25">
      <c r="A5" s="10" t="s">
        <v>318</v>
      </c>
    </row>
    <row r="6" spans="1:1" ht="45" x14ac:dyDescent="0.25">
      <c r="A6" s="9" t="s">
        <v>395</v>
      </c>
    </row>
    <row r="7" spans="1:1" x14ac:dyDescent="0.25">
      <c r="A7" s="9" t="s">
        <v>396</v>
      </c>
    </row>
    <row r="8" spans="1:1" x14ac:dyDescent="0.25">
      <c r="A8" s="9" t="s">
        <v>319</v>
      </c>
    </row>
    <row r="9" spans="1:1" x14ac:dyDescent="0.25">
      <c r="A9" s="9" t="s">
        <v>320</v>
      </c>
    </row>
    <row r="10" spans="1:1" x14ac:dyDescent="0.25">
      <c r="A10" s="9" t="s">
        <v>397</v>
      </c>
    </row>
    <row r="11" spans="1:1" x14ac:dyDescent="0.25">
      <c r="A11" s="9" t="s">
        <v>321</v>
      </c>
    </row>
    <row r="12" spans="1:1" x14ac:dyDescent="0.25">
      <c r="A12" s="9" t="s">
        <v>398</v>
      </c>
    </row>
    <row r="13" spans="1:1" x14ac:dyDescent="0.25">
      <c r="A13" s="9"/>
    </row>
    <row r="14" spans="1:1" ht="30" x14ac:dyDescent="0.25">
      <c r="A14" s="9" t="s">
        <v>322</v>
      </c>
    </row>
    <row r="15" spans="1:1" ht="45" x14ac:dyDescent="0.25">
      <c r="A15" s="9" t="s">
        <v>323</v>
      </c>
    </row>
    <row r="16" spans="1:1" ht="30" x14ac:dyDescent="0.25">
      <c r="A16" s="9" t="s">
        <v>324</v>
      </c>
    </row>
    <row r="17" spans="1:1" ht="30" x14ac:dyDescent="0.25">
      <c r="A17" s="9" t="s">
        <v>325</v>
      </c>
    </row>
    <row r="18" spans="1:1" x14ac:dyDescent="0.25">
      <c r="A18" s="9"/>
    </row>
    <row r="19" spans="1:1" x14ac:dyDescent="0.25">
      <c r="A19" s="10" t="s">
        <v>326</v>
      </c>
    </row>
    <row r="20" spans="1:1" ht="45" x14ac:dyDescent="0.25">
      <c r="A20" s="9" t="s">
        <v>327</v>
      </c>
    </row>
    <row r="21" spans="1:1" x14ac:dyDescent="0.25">
      <c r="A21" s="9" t="s">
        <v>392</v>
      </c>
    </row>
    <row r="22" spans="1:1" ht="30" x14ac:dyDescent="0.25">
      <c r="A22" s="9" t="s">
        <v>328</v>
      </c>
    </row>
    <row r="23" spans="1:1" x14ac:dyDescent="0.25">
      <c r="A23" s="9"/>
    </row>
    <row r="24" spans="1:1" x14ac:dyDescent="0.25">
      <c r="A24" s="10" t="s">
        <v>329</v>
      </c>
    </row>
    <row r="25" spans="1:1" ht="30" x14ac:dyDescent="0.25">
      <c r="A25" s="9" t="s">
        <v>330</v>
      </c>
    </row>
    <row r="26" spans="1:1" ht="45" x14ac:dyDescent="0.25">
      <c r="A26" s="9" t="s">
        <v>331</v>
      </c>
    </row>
    <row r="27" spans="1:1" x14ac:dyDescent="0.25">
      <c r="A27" s="9"/>
    </row>
    <row r="28" spans="1:1" x14ac:dyDescent="0.25">
      <c r="A28" s="10" t="s">
        <v>332</v>
      </c>
    </row>
    <row r="29" spans="1:1" ht="45" x14ac:dyDescent="0.25">
      <c r="A29" s="9" t="s">
        <v>333</v>
      </c>
    </row>
    <row r="30" spans="1:1" ht="45" x14ac:dyDescent="0.25">
      <c r="A30" s="9" t="s">
        <v>334</v>
      </c>
    </row>
    <row r="31" spans="1:1" ht="30" x14ac:dyDescent="0.25">
      <c r="A31" s="9" t="s">
        <v>335</v>
      </c>
    </row>
    <row r="32" spans="1:1" x14ac:dyDescent="0.25">
      <c r="A32" s="9"/>
    </row>
    <row r="33" spans="1:1" x14ac:dyDescent="0.25">
      <c r="A33" s="10" t="s">
        <v>336</v>
      </c>
    </row>
    <row r="34" spans="1:1" ht="45" x14ac:dyDescent="0.25">
      <c r="A34" s="9" t="s">
        <v>399</v>
      </c>
    </row>
    <row r="35" spans="1:1" ht="30" x14ac:dyDescent="0.25">
      <c r="A35" s="9" t="s">
        <v>337</v>
      </c>
    </row>
    <row r="36" spans="1:1" x14ac:dyDescent="0.25">
      <c r="A36" s="9"/>
    </row>
    <row r="37" spans="1:1" x14ac:dyDescent="0.25">
      <c r="A37" s="9" t="s">
        <v>338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2026-10-05T23:12:41Z</dcterms:modified>
  <cp:category/>
  <cp:contentStatus/>
</cp:coreProperties>
</file>