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sappaindocs-my.sharepoint.com/personal/lmora_asappaindocs_com/Documents/2026/SPC26S1/"/>
    </mc:Choice>
  </mc:AlternateContent>
  <xr:revisionPtr revIDLastSave="533" documentId="11_D39C65176A5BAB9FA220B8CCF675AE0DB1EC8002" xr6:coauthVersionLast="47" xr6:coauthVersionMax="47" xr10:uidLastSave="{D09A7099-393B-474F-88D8-52AD7F3C2585}"/>
  <bookViews>
    <workbookView xWindow="-28920" yWindow="-1875" windowWidth="29040" windowHeight="15720" activeTab="2" xr2:uid="{00000000-000D-0000-FFFF-FFFF00000000}"/>
  </bookViews>
  <sheets>
    <sheet name="Read Me" sheetId="6" r:id="rId1"/>
    <sheet name="BH" sheetId="1" r:id="rId2"/>
    <sheet name="DME" sheetId="2" r:id="rId3"/>
    <sheet name="GAE" sheetId="3" r:id="rId4"/>
    <sheet name="ORTHO" sheetId="4" r:id="rId5"/>
    <sheet name="US" sheetId="5" r:id="rId6"/>
  </sheets>
  <definedNames>
    <definedName name="_xlnm._FilterDatabase" localSheetId="1" hidden="1">BH!$A$1:$AO$12</definedName>
    <definedName name="_xlnm._FilterDatabase" localSheetId="2" hidden="1">DME!$A$1:$AO$32</definedName>
    <definedName name="_xlnm._FilterDatabase" localSheetId="3" hidden="1">GAE!$A$1:$AO$7</definedName>
    <definedName name="_xlnm._FilterDatabase" localSheetId="4" hidden="1">ORTHO!$A$1:$AO$18</definedName>
    <definedName name="_xlnm._FilterDatabase" localSheetId="5" hidden="1">US!$A$1:$AO$20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0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0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000-000003000000}">
      <text>
        <r>
          <rPr>
            <sz val="11"/>
            <color theme="1"/>
            <rFont val="Calibri"/>
            <family val="2"/>
            <scheme val="minor"/>
          </rPr>
          <t>Date you worked this claim, shown MM/DD/YYYY. Blank for you to fill in.</t>
        </r>
      </text>
    </comment>
    <comment ref="L1" authorId="0" shapeId="0" xr:uid="{00000000-0006-0000-00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0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0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0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000-000008000000}">
      <text>
        <r>
          <rPr>
            <sz val="11"/>
            <color theme="1"/>
            <rFont val="Calibri"/>
            <family val="2"/>
            <scheme val="minor"/>
          </rPr>
          <t>The limit applied to this row, as days or calendar months.</t>
        </r>
      </text>
    </comment>
    <comment ref="Q1" authorId="0" shapeId="0" xr:uid="{00000000-0006-0000-0000-000009000000}">
      <text>
        <r>
          <rPr>
            <sz val="11"/>
            <color theme="1"/>
            <rFont val="Calibri"/>
            <family val="2"/>
            <scheme val="minor"/>
          </rPr>
          <t>The carrier row in Carrier_Timely_Filing_Reference.xlsx that the primary payer was matched to.</t>
        </r>
      </text>
    </comment>
    <comment ref="R1" authorId="0" shapeId="0" xr:uid="{00000000-0006-0000-0000-00000A000000}">
      <text>
        <r>
          <rPr>
            <sz val="11"/>
            <color theme="1"/>
            <rFont val="Calibri"/>
            <family val="2"/>
            <scheme val="minor"/>
          </rPr>
          <t>Corrected claim window from Carrier_Timely_Filing_Reference.xlsx.</t>
        </r>
      </text>
    </comment>
    <comment ref="S1" authorId="0" shapeId="0" xr:uid="{00000000-0006-0000-0000-00000B000000}">
      <text>
        <r>
          <rPr>
            <sz val="11"/>
            <color theme="1"/>
            <rFont val="Calibri"/>
            <family val="2"/>
            <scheme val="minor"/>
          </rPr>
          <t>Whether the carrier counts the corrected claim window from the date of service or from the processed date.</t>
        </r>
      </text>
    </comment>
    <comment ref="T1" authorId="0" shapeId="0" xr:uid="{00000000-0006-0000-0000-00000C000000}">
      <text>
        <r>
          <rPr>
            <sz val="11"/>
            <color theme="1"/>
            <rFont val="Calibri"/>
            <family val="2"/>
            <scheme val="minor"/>
          </rPr>
          <t>Reconsideration / appeal window from Carrier_Timely_Filing_Reference.xlsx.</t>
        </r>
      </text>
    </comment>
    <comment ref="U1" authorId="0" shapeId="0" xr:uid="{00000000-0006-0000-0000-00000D000000}">
      <text>
        <r>
          <rPr>
            <sz val="11"/>
            <color theme="1"/>
            <rFont val="Calibri"/>
            <family val="2"/>
            <scheme val="minor"/>
          </rPr>
          <t>Whether the carrier counts the appeal window from the date of service or from the processed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1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1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100-000003000000}">
      <text>
        <r>
          <rPr>
            <sz val="11"/>
            <color theme="1"/>
            <rFont val="Calibri"/>
            <family val="2"/>
            <scheme val="minor"/>
          </rPr>
          <t>Date you worked this claim, shown MM/DD/YYYY. Blank for you to fill in.</t>
        </r>
      </text>
    </comment>
    <comment ref="L1" authorId="0" shapeId="0" xr:uid="{00000000-0006-0000-01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1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1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1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100-000008000000}">
      <text>
        <r>
          <rPr>
            <sz val="11"/>
            <color theme="1"/>
            <rFont val="Calibri"/>
            <family val="2"/>
            <scheme val="minor"/>
          </rPr>
          <t>The limit applied to this row, as days or calendar months.</t>
        </r>
      </text>
    </comment>
    <comment ref="Q1" authorId="0" shapeId="0" xr:uid="{00000000-0006-0000-0100-000009000000}">
      <text>
        <r>
          <rPr>
            <sz val="11"/>
            <color theme="1"/>
            <rFont val="Calibri"/>
            <family val="2"/>
            <scheme val="minor"/>
          </rPr>
          <t>The carrier row in Carrier_Timely_Filing_Reference.xlsx that the primary payer was matched to.</t>
        </r>
      </text>
    </comment>
    <comment ref="R1" authorId="0" shapeId="0" xr:uid="{00000000-0006-0000-0100-00000A000000}">
      <text>
        <r>
          <rPr>
            <sz val="11"/>
            <color theme="1"/>
            <rFont val="Calibri"/>
            <family val="2"/>
            <scheme val="minor"/>
          </rPr>
          <t>Corrected claim window from Carrier_Timely_Filing_Reference.xlsx.</t>
        </r>
      </text>
    </comment>
    <comment ref="S1" authorId="0" shapeId="0" xr:uid="{00000000-0006-0000-0100-00000B000000}">
      <text>
        <r>
          <rPr>
            <sz val="11"/>
            <color theme="1"/>
            <rFont val="Calibri"/>
            <family val="2"/>
            <scheme val="minor"/>
          </rPr>
          <t>Whether the carrier counts the corrected claim window from the date of service or from the processed date.</t>
        </r>
      </text>
    </comment>
    <comment ref="T1" authorId="0" shapeId="0" xr:uid="{00000000-0006-0000-0100-00000C000000}">
      <text>
        <r>
          <rPr>
            <sz val="11"/>
            <color theme="1"/>
            <rFont val="Calibri"/>
            <family val="2"/>
            <scheme val="minor"/>
          </rPr>
          <t>Reconsideration / appeal window from Carrier_Timely_Filing_Reference.xlsx.</t>
        </r>
      </text>
    </comment>
    <comment ref="U1" authorId="0" shapeId="0" xr:uid="{00000000-0006-0000-0100-00000D000000}">
      <text>
        <r>
          <rPr>
            <sz val="11"/>
            <color theme="1"/>
            <rFont val="Calibri"/>
            <family val="2"/>
            <scheme val="minor"/>
          </rPr>
          <t>Whether the carrier counts the appeal window from the date of service or from the processed date.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2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2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200-000003000000}">
      <text>
        <r>
          <rPr>
            <sz val="11"/>
            <color theme="1"/>
            <rFont val="Calibri"/>
            <family val="2"/>
            <scheme val="minor"/>
          </rPr>
          <t>Date you worked this claim, shown MM/DD/YYYY. Blank for you to fill in.</t>
        </r>
      </text>
    </comment>
    <comment ref="L1" authorId="0" shapeId="0" xr:uid="{00000000-0006-0000-02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2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2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2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200-000008000000}">
      <text>
        <r>
          <rPr>
            <sz val="11"/>
            <color theme="1"/>
            <rFont val="Calibri"/>
            <family val="2"/>
            <scheme val="minor"/>
          </rPr>
          <t>The limit applied to this row, as days or calendar months.</t>
        </r>
      </text>
    </comment>
    <comment ref="Q1" authorId="0" shapeId="0" xr:uid="{00000000-0006-0000-0200-000009000000}">
      <text>
        <r>
          <rPr>
            <sz val="11"/>
            <color theme="1"/>
            <rFont val="Calibri"/>
            <family val="2"/>
            <scheme val="minor"/>
          </rPr>
          <t>The carrier row in Carrier_Timely_Filing_Reference.xlsx that the primary payer was matched to.</t>
        </r>
      </text>
    </comment>
    <comment ref="R1" authorId="0" shapeId="0" xr:uid="{00000000-0006-0000-0200-00000A000000}">
      <text>
        <r>
          <rPr>
            <sz val="11"/>
            <color theme="1"/>
            <rFont val="Calibri"/>
            <family val="2"/>
            <scheme val="minor"/>
          </rPr>
          <t>Corrected claim window from Carrier_Timely_Filing_Reference.xlsx.</t>
        </r>
      </text>
    </comment>
    <comment ref="S1" authorId="0" shapeId="0" xr:uid="{00000000-0006-0000-0200-00000B000000}">
      <text>
        <r>
          <rPr>
            <sz val="11"/>
            <color theme="1"/>
            <rFont val="Calibri"/>
            <family val="2"/>
            <scheme val="minor"/>
          </rPr>
          <t>Whether the carrier counts the corrected claim window from the date of service or from the processed date.</t>
        </r>
      </text>
    </comment>
    <comment ref="T1" authorId="0" shapeId="0" xr:uid="{00000000-0006-0000-0200-00000C000000}">
      <text>
        <r>
          <rPr>
            <sz val="11"/>
            <color theme="1"/>
            <rFont val="Calibri"/>
            <family val="2"/>
            <scheme val="minor"/>
          </rPr>
          <t>Reconsideration / appeal window from Carrier_Timely_Filing_Reference.xlsx.</t>
        </r>
      </text>
    </comment>
    <comment ref="U1" authorId="0" shapeId="0" xr:uid="{00000000-0006-0000-0200-00000D000000}">
      <text>
        <r>
          <rPr>
            <sz val="11"/>
            <color theme="1"/>
            <rFont val="Calibri"/>
            <family val="2"/>
            <scheme val="minor"/>
          </rPr>
          <t>Whether the carrier counts the appeal window from the date of service or from the processed date.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3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3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300-000003000000}">
      <text>
        <r>
          <rPr>
            <sz val="11"/>
            <color theme="1"/>
            <rFont val="Calibri"/>
            <family val="2"/>
            <scheme val="minor"/>
          </rPr>
          <t>Date you worked this claim, shown MM/DD/YYYY. Blank for you to fill in.</t>
        </r>
      </text>
    </comment>
    <comment ref="L1" authorId="0" shapeId="0" xr:uid="{00000000-0006-0000-03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3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3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3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300-000008000000}">
      <text>
        <r>
          <rPr>
            <sz val="11"/>
            <color theme="1"/>
            <rFont val="Calibri"/>
            <family val="2"/>
            <scheme val="minor"/>
          </rPr>
          <t>The limit applied to this row, as days or calendar months.</t>
        </r>
      </text>
    </comment>
    <comment ref="Q1" authorId="0" shapeId="0" xr:uid="{00000000-0006-0000-0300-000009000000}">
      <text>
        <r>
          <rPr>
            <sz val="11"/>
            <color theme="1"/>
            <rFont val="Calibri"/>
            <family val="2"/>
            <scheme val="minor"/>
          </rPr>
          <t>The carrier row in Carrier_Timely_Filing_Reference.xlsx that the primary payer was matched to.</t>
        </r>
      </text>
    </comment>
    <comment ref="R1" authorId="0" shapeId="0" xr:uid="{00000000-0006-0000-0300-00000A000000}">
      <text>
        <r>
          <rPr>
            <sz val="11"/>
            <color theme="1"/>
            <rFont val="Calibri"/>
            <family val="2"/>
            <scheme val="minor"/>
          </rPr>
          <t>Corrected claim window from Carrier_Timely_Filing_Reference.xlsx.</t>
        </r>
      </text>
    </comment>
    <comment ref="S1" authorId="0" shapeId="0" xr:uid="{00000000-0006-0000-0300-00000B000000}">
      <text>
        <r>
          <rPr>
            <sz val="11"/>
            <color theme="1"/>
            <rFont val="Calibri"/>
            <family val="2"/>
            <scheme val="minor"/>
          </rPr>
          <t>Whether the carrier counts the corrected claim window from the date of service or from the processed date.</t>
        </r>
      </text>
    </comment>
    <comment ref="T1" authorId="0" shapeId="0" xr:uid="{00000000-0006-0000-0300-00000C000000}">
      <text>
        <r>
          <rPr>
            <sz val="11"/>
            <color theme="1"/>
            <rFont val="Calibri"/>
            <family val="2"/>
            <scheme val="minor"/>
          </rPr>
          <t>Reconsideration / appeal window from Carrier_Timely_Filing_Reference.xlsx.</t>
        </r>
      </text>
    </comment>
    <comment ref="U1" authorId="0" shapeId="0" xr:uid="{00000000-0006-0000-0300-00000D000000}">
      <text>
        <r>
          <rPr>
            <sz val="11"/>
            <color theme="1"/>
            <rFont val="Calibri"/>
            <family val="2"/>
            <scheme val="minor"/>
          </rPr>
          <t>Whether the carrier counts the appeal window from the date of service or from the processed date.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4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4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400-000003000000}">
      <text>
        <r>
          <rPr>
            <sz val="11"/>
            <color theme="1"/>
            <rFont val="Calibri"/>
            <family val="2"/>
            <scheme val="minor"/>
          </rPr>
          <t>Date you worked this claim, shown MM/DD/YYYY. Blank for you to fill in.</t>
        </r>
      </text>
    </comment>
    <comment ref="L1" authorId="0" shapeId="0" xr:uid="{00000000-0006-0000-04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4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4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4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400-000008000000}">
      <text>
        <r>
          <rPr>
            <sz val="11"/>
            <color theme="1"/>
            <rFont val="Calibri"/>
            <family val="2"/>
            <scheme val="minor"/>
          </rPr>
          <t>The limit applied to this row, as days or calendar months.</t>
        </r>
      </text>
    </comment>
    <comment ref="Q1" authorId="0" shapeId="0" xr:uid="{00000000-0006-0000-0400-000009000000}">
      <text>
        <r>
          <rPr>
            <sz val="11"/>
            <color theme="1"/>
            <rFont val="Calibri"/>
            <family val="2"/>
            <scheme val="minor"/>
          </rPr>
          <t>The carrier row in Carrier_Timely_Filing_Reference.xlsx that the primary payer was matched to.</t>
        </r>
      </text>
    </comment>
    <comment ref="R1" authorId="0" shapeId="0" xr:uid="{00000000-0006-0000-0400-00000A000000}">
      <text>
        <r>
          <rPr>
            <sz val="11"/>
            <color theme="1"/>
            <rFont val="Calibri"/>
            <family val="2"/>
            <scheme val="minor"/>
          </rPr>
          <t>Corrected claim window from Carrier_Timely_Filing_Reference.xlsx.</t>
        </r>
      </text>
    </comment>
    <comment ref="S1" authorId="0" shapeId="0" xr:uid="{00000000-0006-0000-0400-00000B000000}">
      <text>
        <r>
          <rPr>
            <sz val="11"/>
            <color theme="1"/>
            <rFont val="Calibri"/>
            <family val="2"/>
            <scheme val="minor"/>
          </rPr>
          <t>Whether the carrier counts the corrected claim window from the date of service or from the processed date.</t>
        </r>
      </text>
    </comment>
    <comment ref="T1" authorId="0" shapeId="0" xr:uid="{00000000-0006-0000-0400-00000C000000}">
      <text>
        <r>
          <rPr>
            <sz val="11"/>
            <color theme="1"/>
            <rFont val="Calibri"/>
            <family val="2"/>
            <scheme val="minor"/>
          </rPr>
          <t>Reconsideration / appeal window from Carrier_Timely_Filing_Reference.xlsx.</t>
        </r>
      </text>
    </comment>
    <comment ref="U1" authorId="0" shapeId="0" xr:uid="{00000000-0006-0000-0400-00000D000000}">
      <text>
        <r>
          <rPr>
            <sz val="11"/>
            <color theme="1"/>
            <rFont val="Calibri"/>
            <family val="2"/>
            <scheme val="minor"/>
          </rPr>
          <t>Whether the carrier counts the appeal window from the date of service or from the processed date.</t>
        </r>
      </text>
    </comment>
  </commentList>
</comments>
</file>

<file path=xl/sharedStrings.xml><?xml version="1.0" encoding="utf-8"?>
<sst xmlns="http://schemas.openxmlformats.org/spreadsheetml/2006/main" count="1839" uniqueCount="461">
  <si>
    <t>2026-04 April - Specialty Claims</t>
  </si>
  <si>
    <t>Row order - work queue, then timely filing deadline</t>
  </si>
  <si>
    <t xml:space="preserve">    4 - Past deadline: 51</t>
  </si>
  <si>
    <t xml:space="preserve">    5 - No limit on file: 8</t>
  </si>
  <si>
    <t>Past due rows sit below the claims that can still be filed on time rather than at the very top, so the actionable work stays first. That is why the numbers run up to the longest window and then restart at the negatives.</t>
  </si>
  <si>
    <t>Filing Deadline is the date of service plus the primary payer's limit, taken from 'Carrier_Timely_Filing_Reference.xlsx'. Days Until Deadline is a live formula, so the count stays true as time passes - but the row order is a snapshot taken on 12 August 2026. Sorting on Days Until Deadline alone would mix the four groups above back together, so when you re-sort keep the Rejected rows first, then the empty Latest Date Worked rows, and the Finalized and PAID rows last.</t>
  </si>
  <si>
    <t>Where a payer had two possible limits the shorter one was used, so the real deadline can only be later, never earlier. Filing Limit and Limit Carrier name the figure applied and the carrier row it came from.</t>
  </si>
  <si>
    <t>Deadlines are counted from the date of service. Secondary claims are often counted from the primary payer's remittance date instead - that is not reflected here.</t>
  </si>
  <si>
    <t>Cells you edit</t>
  </si>
  <si>
    <t>Four columns are shaded pale yellow and are the ones meant to be edited here: Claim Status (A), Notes (B), Processed Date (C) and Latest Date Worked (K). Claim Status has a drop-down list, and anything not on the list is rejected so a typo cannot slip in. To add a new status, edit the list under Data &gt; Data Validation.</t>
  </si>
  <si>
    <t>Example of the expected format - Claim Status: "Denied";  Notes: "Corrected service line 1 - resubmitted";  Processed Date: "06/25/2026";  Latest Date Worked: "08/12/2026".</t>
  </si>
  <si>
    <t>Processed Date and Latest Date Worked</t>
  </si>
  <si>
    <t>Both are real dates displayed MM/DD/YYYY, the same order as every other date column in these files and as the source data. Latest Date Worked starts empty.</t>
  </si>
  <si>
    <t>Processed Date is filled in wherever the row had something to fill it with: the date written into the Notes where there was one, otherwise the Insurance Check Date. A date from the Notes is never overwritten by a check date. Where the row has neither, it is blank for you to fill in.</t>
  </si>
  <si>
    <t>Corrected claim and appeal countdowns</t>
  </si>
  <si>
    <t>Days Until Corrected Claim Deadline (M) and Days Until Appeal Deadline (N) sit next to the filing countdown. Each carrier counts its window either from the date of service or from the processed date - the Corrected Claim From and Appeal From columns say which, and each countdown is built off whichever date that is. Both come from Carrier_Timely_Filing_Reference.xlsx.</t>
  </si>
  <si>
    <t>A blank means one of two things: the carrier has no window on file, or the carrier counts from the processed date and Processed Date is still empty on that row. In the second case the countdown fills itself in as soon as you enter a Processed Date - both columns are live formulas.</t>
  </si>
  <si>
    <t>These windows matter most on the rows whose initial filing deadline has already passed. Note the traps the reference calls out: Cigna does not restart the clock for a corrected claim, and Medicare separates reopening from redetermination.</t>
  </si>
  <si>
    <t>How this file feeds the master</t>
  </si>
  <si>
    <t>The link is matched on Primary Claim ID, not on row position, so sorting and filtering these sheets is safe. Do not edit that column, and do not rename the specialty sheet tabs.</t>
  </si>
  <si>
    <t>Everything else in this file is a static copy of the source data from 'Specialty Claims Pending 2026-S1.xlsx' (sheet 'Merged').</t>
  </si>
  <si>
    <t>Claim Status</t>
  </si>
  <si>
    <t>Notes</t>
  </si>
  <si>
    <t>Processed Date</t>
  </si>
  <si>
    <t>Primary Claim ID</t>
  </si>
  <si>
    <t>Chart Number</t>
  </si>
  <si>
    <t>Date of Service</t>
  </si>
  <si>
    <t>Responsible Payer</t>
  </si>
  <si>
    <t>Primary Payer Name</t>
  </si>
  <si>
    <t>Secondary Payer Name</t>
  </si>
  <si>
    <t>Procedure Code</t>
  </si>
  <si>
    <t>Latest Date Worked</t>
  </si>
  <si>
    <t>Days Until Deadline</t>
  </si>
  <si>
    <t>Days Until Corrected Claim Deadline</t>
  </si>
  <si>
    <t>Days Until Appeal Deadline</t>
  </si>
  <si>
    <t>Filing Deadline</t>
  </si>
  <si>
    <t>Filing Limit</t>
  </si>
  <si>
    <t>Limit Carrier</t>
  </si>
  <si>
    <t>Corrected Claim Limit</t>
  </si>
  <si>
    <t>Corrected Claim From</t>
  </si>
  <si>
    <t>Appeal Limit</t>
  </si>
  <si>
    <t>Appeal From</t>
  </si>
  <si>
    <t>Modifier 1</t>
  </si>
  <si>
    <t>Modifier 2</t>
  </si>
  <si>
    <t>Modifier 3</t>
  </si>
  <si>
    <t>Units</t>
  </si>
  <si>
    <t>Charge Amount</t>
  </si>
  <si>
    <t>Adjustment</t>
  </si>
  <si>
    <t>Insurance Payment</t>
  </si>
  <si>
    <t>Insurance Check Date</t>
  </si>
  <si>
    <t>Insurance Balance</t>
  </si>
  <si>
    <t>AR Age by Service Date</t>
  </si>
  <si>
    <t>Diagnosis Code 1</t>
  </si>
  <si>
    <t>Diagnosis Code 2</t>
  </si>
  <si>
    <t>Diagnosis Code 3</t>
  </si>
  <si>
    <t>Diagnosis Code 4</t>
  </si>
  <si>
    <t>Secondary Claim ID</t>
  </si>
  <si>
    <t>Rendering Provider</t>
  </si>
  <si>
    <t>Location Name</t>
  </si>
  <si>
    <t>Created Date</t>
  </si>
  <si>
    <t>Specialty</t>
  </si>
  <si>
    <t>Denied</t>
  </si>
  <si>
    <t>Resubmitted to Humana - HCO/HMO listed Humana - DND Charges are covered under a capitation agreement/managed care plan</t>
  </si>
  <si>
    <t>HF534535040</t>
  </si>
  <si>
    <t>Medicare Part B Arizona *</t>
  </si>
  <si>
    <t>No Payer</t>
  </si>
  <si>
    <t>99494 x1; 99493 x1</t>
  </si>
  <si>
    <t>365 days</t>
  </si>
  <si>
    <t>MEDICARE</t>
  </si>
  <si>
    <t>Processed date</t>
  </si>
  <si>
    <t>120 days</t>
  </si>
  <si>
    <t>1</t>
  </si>
  <si>
    <t>F4320</t>
  </si>
  <si>
    <t>MEARS, CHAD</t>
  </si>
  <si>
    <t>ASAP - DEER VALLEY</t>
  </si>
  <si>
    <t>BH</t>
  </si>
  <si>
    <t>Pending</t>
  </si>
  <si>
    <t>secondary - Sent on 06/08/2026 - None of the secon claims are paid - Primary paid</t>
  </si>
  <si>
    <t>HF505008638</t>
  </si>
  <si>
    <t>ILWU PMA COASTWISE</t>
  </si>
  <si>
    <t>Medicare Railroad (RR Medicare MetraHealth) 00882</t>
  </si>
  <si>
    <t>99492 x1; 99494 x1</t>
  </si>
  <si>
    <t>SARKAR, AWNIK</t>
  </si>
  <si>
    <t>ASAP Peoria</t>
  </si>
  <si>
    <t>Jess resubmitted claim</t>
  </si>
  <si>
    <t>HF537685966</t>
  </si>
  <si>
    <t>Blue Cross Blue Shield of Arizona (BCBS AZ)</t>
  </si>
  <si>
    <t>90 days</t>
  </si>
  <si>
    <t>BCBS</t>
  </si>
  <si>
    <t>F330</t>
  </si>
  <si>
    <t>BAUGHER, TIMOTHY</t>
  </si>
  <si>
    <t>ASAP - Gilbert</t>
  </si>
  <si>
    <t>Waiting to post and adjust balance - DND The time limit for filing has expired - Added Date of Current Illness, claim note, and resubmitted</t>
  </si>
  <si>
    <t>HF509386349</t>
  </si>
  <si>
    <t>Optum Care Medical Network of Arizona, Utah, &amp; Washington (LifePrint)</t>
  </si>
  <si>
    <t>99494 x2; 99493 x1</t>
  </si>
  <si>
    <t>OPTUM</t>
  </si>
  <si>
    <t>2, 1</t>
  </si>
  <si>
    <t>F1190</t>
  </si>
  <si>
    <t>O'NEIL, ROY</t>
  </si>
  <si>
    <t>HF331718997</t>
  </si>
  <si>
    <t>F4323</t>
  </si>
  <si>
    <t>Added Date of Current Illness, claim note, and resubmitted - DND 99493 This non-payable code is for required reporting only.</t>
  </si>
  <si>
    <t>HF341023592</t>
  </si>
  <si>
    <t>F332</t>
  </si>
  <si>
    <t>F411</t>
  </si>
  <si>
    <t>TURLEY, TODD</t>
  </si>
  <si>
    <t>Finalized</t>
  </si>
  <si>
    <t>Shifted balance to PT - ChampVA doesn't cover BH - $25.00 was assigned to PR 3</t>
  </si>
  <si>
    <t>HF545223898</t>
  </si>
  <si>
    <t>ChampVA - HAC</t>
  </si>
  <si>
    <t>Humana Gold Plus HMO</t>
  </si>
  <si>
    <t>99493 x1</t>
  </si>
  <si>
    <t>HUMANA MA</t>
  </si>
  <si>
    <t>Date of service</t>
  </si>
  <si>
    <t>60 days</t>
  </si>
  <si>
    <t>BURGHER, ABRAM</t>
  </si>
  <si>
    <t>Added Date of Current Illness, claim note, and resubmitted</t>
  </si>
  <si>
    <t>HF460603685</t>
  </si>
  <si>
    <t>LEATHEM, JARRETT</t>
  </si>
  <si>
    <t>Added active referral for DOS and resubmitted, but these are non-covered services by VA. We need a separate RFS approval to get BH covarage</t>
  </si>
  <si>
    <t>HF549150041</t>
  </si>
  <si>
    <t>TRIWEST VA CCN CLAIMS</t>
  </si>
  <si>
    <t>TRIWEST</t>
  </si>
  <si>
    <t>F39</t>
  </si>
  <si>
    <t>HF511715901</t>
  </si>
  <si>
    <t>Gold Kidney Health Plan</t>
  </si>
  <si>
    <t>Not on reference list</t>
  </si>
  <si>
    <t>HF551860180</t>
  </si>
  <si>
    <t>99494 x1; 99492 x1</t>
  </si>
  <si>
    <t>HF524861323</t>
  </si>
  <si>
    <t>A6010+A2 x40</t>
  </si>
  <si>
    <t>A2</t>
  </si>
  <si>
    <t>40</t>
  </si>
  <si>
    <t>G894</t>
  </si>
  <si>
    <t>T85192A</t>
  </si>
  <si>
    <t>T85193A</t>
  </si>
  <si>
    <t>DME</t>
  </si>
  <si>
    <t>HF543718565</t>
  </si>
  <si>
    <t>DME Region D</t>
  </si>
  <si>
    <t>L1851+KX+RT x1</t>
  </si>
  <si>
    <t>KX</t>
  </si>
  <si>
    <t>RT</t>
  </si>
  <si>
    <t>G5781</t>
  </si>
  <si>
    <t>M25561</t>
  </si>
  <si>
    <t>Advanced Spine and Pain LLC DME GWY</t>
  </si>
  <si>
    <t>Advanced Spine and Pain LLC DME - Surprise Reems</t>
  </si>
  <si>
    <t>HF480155713</t>
  </si>
  <si>
    <t>AARP United Healthcare</t>
  </si>
  <si>
    <t>A6023+A1 x40</t>
  </si>
  <si>
    <t>A1</t>
  </si>
  <si>
    <t>Advanced Spine and Pain LLC DME SUR</t>
  </si>
  <si>
    <t>HF551816064</t>
  </si>
  <si>
    <t>L0650+KX x1</t>
  </si>
  <si>
    <t>M5116</t>
  </si>
  <si>
    <t>Advanced Spine and Pain LLC DME - Greenway</t>
  </si>
  <si>
    <t>HF465696073</t>
  </si>
  <si>
    <t>A6010+A1 x20</t>
  </si>
  <si>
    <t>20</t>
  </si>
  <si>
    <t>M48062</t>
  </si>
  <si>
    <t>HF509774874</t>
  </si>
  <si>
    <t>Continental Benefits</t>
  </si>
  <si>
    <t>A6010+A1 x10</t>
  </si>
  <si>
    <t>10</t>
  </si>
  <si>
    <t>HF330326072</t>
  </si>
  <si>
    <t>M5417</t>
  </si>
  <si>
    <t>HF470696196</t>
  </si>
  <si>
    <t>A6023+A2 x20</t>
  </si>
  <si>
    <t>M5416</t>
  </si>
  <si>
    <t>HF342328217</t>
  </si>
  <si>
    <t>Unicare Life and Health Insurance (Anthem)</t>
  </si>
  <si>
    <t>A6023+A1 x20</t>
  </si>
  <si>
    <t>HF454494056</t>
  </si>
  <si>
    <t>Mercy Care Plan (AHCCCS) - Complete Care &amp; Long Term Care (LTC)</t>
  </si>
  <si>
    <t>M47816</t>
  </si>
  <si>
    <t>HF553228745</t>
  </si>
  <si>
    <t>HealthSpring Medicare Advantage</t>
  </si>
  <si>
    <t>L0648+KX x1</t>
  </si>
  <si>
    <t>CIGNA / CIGNA MEDICARE</t>
  </si>
  <si>
    <t>180 days</t>
  </si>
  <si>
    <t>M8008XA</t>
  </si>
  <si>
    <t>KALLGREN, MARK</t>
  </si>
  <si>
    <t>ASAP - Mesa</t>
  </si>
  <si>
    <t>HF523440375</t>
  </si>
  <si>
    <t>UnitedHealthcare Community Plan / Arizona Long Term Care</t>
  </si>
  <si>
    <t>L0637+NU x1</t>
  </si>
  <si>
    <t>UHC COMMUNITY</t>
  </si>
  <si>
    <t>NU</t>
  </si>
  <si>
    <t>LUKE, TIMOTHY</t>
  </si>
  <si>
    <t>HF329310676</t>
  </si>
  <si>
    <t>M5127</t>
  </si>
  <si>
    <t>MARTINEZ, DIANA</t>
  </si>
  <si>
    <t>HF537334664</t>
  </si>
  <si>
    <t>A6010+A2 x20</t>
  </si>
  <si>
    <t>ADLER, STEVEN</t>
  </si>
  <si>
    <t>G588</t>
  </si>
  <si>
    <t>ASAP - Surprise - Reems</t>
  </si>
  <si>
    <t>HF429774034</t>
  </si>
  <si>
    <t>HF434869353</t>
  </si>
  <si>
    <t>HF540895134</t>
  </si>
  <si>
    <t>Arshad, Jawad</t>
  </si>
  <si>
    <t>HF550434312</t>
  </si>
  <si>
    <t>L0650+NU x1</t>
  </si>
  <si>
    <t>HOLLISTER, ALICIA</t>
  </si>
  <si>
    <t>HF519300380</t>
  </si>
  <si>
    <t>M461</t>
  </si>
  <si>
    <t>HF331720981</t>
  </si>
  <si>
    <t>United Healthcare</t>
  </si>
  <si>
    <t>A6010+A2 x10; A6023+A2 x10</t>
  </si>
  <si>
    <t>UHC COMMERCIAL</t>
  </si>
  <si>
    <t>HF522022623</t>
  </si>
  <si>
    <t>HF497777502</t>
  </si>
  <si>
    <t>OROC, RENEE</t>
  </si>
  <si>
    <t>HF528969654</t>
  </si>
  <si>
    <t>Humana</t>
  </si>
  <si>
    <t>LIEN 05</t>
  </si>
  <si>
    <t>L1851+NU+RT x1</t>
  </si>
  <si>
    <t>HUMANA COMMERCIAL</t>
  </si>
  <si>
    <t>KRAUSE, JEFFREY</t>
  </si>
  <si>
    <t>HF353314392</t>
  </si>
  <si>
    <t>M5412</t>
  </si>
  <si>
    <t>M4802</t>
  </si>
  <si>
    <t>HF497623124</t>
  </si>
  <si>
    <t>AMBETTER</t>
  </si>
  <si>
    <t>TERRILL, STEPHANIE</t>
  </si>
  <si>
    <t>HF550464457</t>
  </si>
  <si>
    <t>L0457+KX x1</t>
  </si>
  <si>
    <t>G90523</t>
  </si>
  <si>
    <t>M5459</t>
  </si>
  <si>
    <t>CURRIE, DAVID</t>
  </si>
  <si>
    <t>HF526933634</t>
  </si>
  <si>
    <t>TONDINI, JENISE</t>
  </si>
  <si>
    <t>ASAP - Goodyear</t>
  </si>
  <si>
    <t>HF510777417</t>
  </si>
  <si>
    <t>Health Choice Arizona</t>
  </si>
  <si>
    <t>75710+26+XU+RT x1; 36245+59 x1; 75774+26+XU x5</t>
  </si>
  <si>
    <t>HEALTH CHOICE MEDICAID</t>
  </si>
  <si>
    <t>26, 59</t>
  </si>
  <si>
    <t>XU</t>
  </si>
  <si>
    <t>1, 5</t>
  </si>
  <si>
    <t>M1711</t>
  </si>
  <si>
    <t>I798</t>
  </si>
  <si>
    <t>HUNTER, DREW</t>
  </si>
  <si>
    <t>Premier Endoscopy Center, LLC</t>
  </si>
  <si>
    <t>GAE</t>
  </si>
  <si>
    <t>HF456620712</t>
  </si>
  <si>
    <t>United HealthCare Dual Complete</t>
  </si>
  <si>
    <t>37242 x1; 36246+59+RT x1; 36245+59 x1; 36248+59 x1; 75710+26+XU+RT x1; 75774+26+XU x3; 76937+26 x1</t>
  </si>
  <si>
    <t>UHC DUAL COMPLETE</t>
  </si>
  <si>
    <t>59, 26</t>
  </si>
  <si>
    <t>RT, XU</t>
  </si>
  <si>
    <t>1, 3</t>
  </si>
  <si>
    <t>ASAP Surgery Centers North Valley LLC</t>
  </si>
  <si>
    <t>HF517884474</t>
  </si>
  <si>
    <t>36248+59 x1; 75710+26+XU+LT x1; 36246+59+LT x1</t>
  </si>
  <si>
    <t>XU, LT</t>
  </si>
  <si>
    <t>LT</t>
  </si>
  <si>
    <t>M1712</t>
  </si>
  <si>
    <t>M25562</t>
  </si>
  <si>
    <t>HF536642190</t>
  </si>
  <si>
    <t>75710+XU+LT x1; 36245+59 x1; 36248+59 x3; 36246+59+LT x1</t>
  </si>
  <si>
    <t>XU, 59</t>
  </si>
  <si>
    <t>HF330200116</t>
  </si>
  <si>
    <t>75774+26+XU x3; 36246+59+LT x1; 36245+59 x1; 36248+59 x1; 76937+26 x1; 37242 x1; 75710+26+XU+LT x1</t>
  </si>
  <si>
    <t>3, 1</t>
  </si>
  <si>
    <t>HF522250673</t>
  </si>
  <si>
    <t>Alignment Health Care</t>
  </si>
  <si>
    <t>75710+26+XU+LT x1; 75774+26+XU x4; 36246+59+LT x1; 37242 x1; 36245+59 x1; 76937+26 x1; 36248+59 x1</t>
  </si>
  <si>
    <t>1, 4</t>
  </si>
  <si>
    <t>HF541770771</t>
  </si>
  <si>
    <t>Tricare for Life (All Regions)</t>
  </si>
  <si>
    <t>63655 x1</t>
  </si>
  <si>
    <t>E1142</t>
  </si>
  <si>
    <t>M5450</t>
  </si>
  <si>
    <t>ORTHO</t>
  </si>
  <si>
    <t>HF331440491</t>
  </si>
  <si>
    <t>Physicians Mutual Insurance Company - ENS</t>
  </si>
  <si>
    <t>M961</t>
  </si>
  <si>
    <t>HF546095290</t>
  </si>
  <si>
    <t>63047+RT x1</t>
  </si>
  <si>
    <t>63047 x1</t>
  </si>
  <si>
    <t>M4807</t>
  </si>
  <si>
    <t>M9963</t>
  </si>
  <si>
    <t>HF531362064</t>
  </si>
  <si>
    <t>63047 x1; 63048 x1</t>
  </si>
  <si>
    <t>M5416, M4807</t>
  </si>
  <si>
    <t>M5116, M5417</t>
  </si>
  <si>
    <t>M5126</t>
  </si>
  <si>
    <t>MCCUNNIFF, PETER</t>
  </si>
  <si>
    <t>HF467496856</t>
  </si>
  <si>
    <t>63048 x1; 63047 x1</t>
  </si>
  <si>
    <t>M4807, M5416</t>
  </si>
  <si>
    <t>M5417, M5116</t>
  </si>
  <si>
    <t>HF394953225</t>
  </si>
  <si>
    <t>20930 x1</t>
  </si>
  <si>
    <t>HF525461225</t>
  </si>
  <si>
    <t>UHC Group Medicare Advantage</t>
  </si>
  <si>
    <t>22845+59 x1; 22853+59 x1; 22551 x1; 22853 x1</t>
  </si>
  <si>
    <t>UHC MA</t>
  </si>
  <si>
    <t>59</t>
  </si>
  <si>
    <t>M542</t>
  </si>
  <si>
    <t>HF537403736</t>
  </si>
  <si>
    <t>MORALES, DAVID</t>
  </si>
  <si>
    <t>HF538331188</t>
  </si>
  <si>
    <t>22551 x1; 22853 x1; 22845+59 x1; 22853+59 x1</t>
  </si>
  <si>
    <t>MAYURAN, VIKRAM</t>
  </si>
  <si>
    <t>Banner Desert Medical Center</t>
  </si>
  <si>
    <t>HF492424635</t>
  </si>
  <si>
    <t>22856 x1; 22858 x1</t>
  </si>
  <si>
    <t>M9971</t>
  </si>
  <si>
    <t>M2030</t>
  </si>
  <si>
    <t xml:space="preserve">Delete 20930 and Dx M54.2 on portal as per action required option got triggered - Dx M542 with M5030 identify two conditions that cannot be reported together - Procedure 20930 is considered inclusive to other services reported - CLAIM DOWNLOADED </t>
  </si>
  <si>
    <t>HF534780004</t>
  </si>
  <si>
    <t>22845+59 x1; 20930 x1; 22853 x1; 22551 x1</t>
  </si>
  <si>
    <t>M5030</t>
  </si>
  <si>
    <t>G8929</t>
  </si>
  <si>
    <t>Rep Harold C confirmed claim did not price to the market fee schedule in effect on DOS - no contract applied to CPT 22551 and 22845, which denied PR-119 (benefit maximum reached) - Rep sent claim back for reprocessing - Ref# 372182510 - TAT 30 days - ERA shows no allowed amount at all - Ins moved the full billed charge to the patient - DND 22551 and 22845: the member reached the plan limit or maximum amount for this service in this benefit plan year</t>
  </si>
  <si>
    <t>HF387811074</t>
  </si>
  <si>
    <t>Banner Health &amp; Aetna Health Insurance Company</t>
  </si>
  <si>
    <t>22853 x1; 22845+59 x1; 22551 x1; 20930 x1</t>
  </si>
  <si>
    <t>BANNER HEALTH &amp; AETNA</t>
  </si>
  <si>
    <t>M5010</t>
  </si>
  <si>
    <t>M4722</t>
  </si>
  <si>
    <t>Q068</t>
  </si>
  <si>
    <t>HF420733336</t>
  </si>
  <si>
    <t>Aetna</t>
  </si>
  <si>
    <t>AETNA</t>
  </si>
  <si>
    <t>HF488600206</t>
  </si>
  <si>
    <t>Imperial Insurance Companies Inc Exchange AZ (IEXAZ) (WAYSTAR ONLY)</t>
  </si>
  <si>
    <t>63030+50 x1; 64708 x1</t>
  </si>
  <si>
    <t>50</t>
  </si>
  <si>
    <t>G549</t>
  </si>
  <si>
    <t>HF546044961</t>
  </si>
  <si>
    <t>AFSAT MEDICAL PLAN</t>
  </si>
  <si>
    <t>Latest Date Worked</t>
  </si>
  <si>
    <t>Adjusted - CPT 93923 bundles with 93925 and 93970 - 93923 billed on claim 568254615</t>
  </si>
  <si>
    <t>HF523293759</t>
  </si>
  <si>
    <t>93923 x1</t>
  </si>
  <si>
    <t>I872</t>
  </si>
  <si>
    <t>US</t>
  </si>
  <si>
    <t>Billed 93923 separately on claim 568675091</t>
  </si>
  <si>
    <t>HF536050996</t>
  </si>
  <si>
    <t>M62838</t>
  </si>
  <si>
    <t>Billed 93923 separately on claim 568676394</t>
  </si>
  <si>
    <t>HF554098828</t>
  </si>
  <si>
    <t>Banner Aetna</t>
  </si>
  <si>
    <t>I739</t>
  </si>
  <si>
    <t>Filed seperately claim on portal for 93923 - Claim Id: 851510753 - Confirmation ID is 843229305</t>
  </si>
  <si>
    <t>HF443156488</t>
  </si>
  <si>
    <t>R609</t>
  </si>
  <si>
    <t>ASAP - DEER VALLEY 240</t>
  </si>
  <si>
    <t>M79605</t>
  </si>
  <si>
    <t>M79604</t>
  </si>
  <si>
    <t>HF342287357</t>
  </si>
  <si>
    <t>93925 x1; 93970 x1; 93923 x1</t>
  </si>
  <si>
    <t>I70213</t>
  </si>
  <si>
    <t>HF555347656</t>
  </si>
  <si>
    <t>93970 x1; 93925 x1; 93923 x1</t>
  </si>
  <si>
    <t>HF465024111</t>
  </si>
  <si>
    <t>93970 x1</t>
  </si>
  <si>
    <t>E785</t>
  </si>
  <si>
    <t>G2581</t>
  </si>
  <si>
    <t>HF552793919</t>
  </si>
  <si>
    <t>Aetna Senior Supplemental (AESSI) - Secondary Only 62118</t>
  </si>
  <si>
    <t>93880 x1; 93923 x1; 93970 x1</t>
  </si>
  <si>
    <t>I7110</t>
  </si>
  <si>
    <t>HF549224659</t>
  </si>
  <si>
    <t>R600</t>
  </si>
  <si>
    <t>HF509011086</t>
  </si>
  <si>
    <t>93923 x1; 93970 x1</t>
  </si>
  <si>
    <t>HF535105976</t>
  </si>
  <si>
    <t>E1140</t>
  </si>
  <si>
    <t>I10</t>
  </si>
  <si>
    <t>HF518562105</t>
  </si>
  <si>
    <t>I83893</t>
  </si>
  <si>
    <t>HF537684538</t>
  </si>
  <si>
    <t>I82401</t>
  </si>
  <si>
    <t>HF469471726</t>
  </si>
  <si>
    <t>Mercy Care RBHA</t>
  </si>
  <si>
    <t>HF553588238</t>
  </si>
  <si>
    <t>93970 x1; 93925 x1</t>
  </si>
  <si>
    <t>HF387689153</t>
  </si>
  <si>
    <t>93925 x1</t>
  </si>
  <si>
    <t>HF554716705</t>
  </si>
  <si>
    <t>HF551129077</t>
  </si>
  <si>
    <t>Banner Medicare Advantage Prime HMO (BMAH)</t>
  </si>
  <si>
    <t>93925 x1; 93923 x1; 93970 x1</t>
  </si>
  <si>
    <t>BANNER MEDICARE ADVANTAGE</t>
  </si>
  <si>
    <t>65 days</t>
  </si>
  <si>
    <t>G9519</t>
  </si>
  <si>
    <t>HF449340318</t>
  </si>
  <si>
    <t>UMR Wausau / UHIS</t>
  </si>
  <si>
    <t>UMR / WAUSAU</t>
  </si>
  <si>
    <t xml:space="preserve">Checking with our credentialing team - OON Provider Dr. Sarkar - DND  No coverage </t>
  </si>
  <si>
    <t>PAID</t>
  </si>
  <si>
    <t>Corrected ordering/referring provider, and resubmitted</t>
  </si>
  <si>
    <t xml:space="preserve">secondary - crossover to secondary - primary paid </t>
  </si>
  <si>
    <t>Changed 93970 to 93971, and resubmitted</t>
  </si>
  <si>
    <t>Uploaded MR - PIQ-90770826</t>
  </si>
  <si>
    <t>Added code 7, and resubmitted</t>
  </si>
  <si>
    <t>Uploaded MR - PIQ-90772350</t>
  </si>
  <si>
    <t>Adjusted balance for 75710, 75774, 36245</t>
  </si>
  <si>
    <t xml:space="preserve">secondary - Added COB info, and resubmitted - Primary paid </t>
  </si>
  <si>
    <t>PENDING POSTING</t>
  </si>
  <si>
    <t xml:space="preserve">Adjusted balance - DND The time limit for filing has expired - Deleted M5416, and resubmitted on portal - Dx M5116 with M5416 identify two conditions that cannot be reported together - CLAIM DOWNLOADED </t>
  </si>
  <si>
    <t>Uploaded MR - PIQ-90772754 - Delete 20936, and resubmitted</t>
  </si>
  <si>
    <t xml:space="preserve">secondary - Primary paid - Deanne removed RT mod, and resubmitted </t>
  </si>
  <si>
    <t>MBI updated on chart, and resubmitted - DND Missing/incomplete/invalid patient identifier</t>
  </si>
  <si>
    <t>Uploaded MR - PIQ-90772964</t>
  </si>
  <si>
    <t>Adjusted balance</t>
  </si>
  <si>
    <t xml:space="preserve">Adjusted balance - Auth approval only included 63045 - DND procedures not authorized </t>
  </si>
  <si>
    <t xml:space="preserve">Filed reconsideration - PIQ-90773073 - Decision ID #: D600552039 shows NAR </t>
  </si>
  <si>
    <t xml:space="preserve">Filed authorization on zyter - Details Overview - OPFOEY0914142230 - No auth request found for 63655 - DND 63655 no auth </t>
  </si>
  <si>
    <t>Filed new authorization on zyter # OPVWYI0914150455 - Authorization OPDCEJ0408161241 was approved for 63655, but only from 04/08/2026 to 04/09/2026 - DND 63655 no auth</t>
  </si>
  <si>
    <t>Filed new authorization on zyter # OPIXSO0914152025 -Authorization OPSQQU0402203650 was approved for 63655, but only from 06/30/2026 to 07/01/2026 - DND 63655 no auth</t>
  </si>
  <si>
    <t>Uploaded MR - ID 35635409 as per request - All CPT codes denied as no covered</t>
  </si>
  <si>
    <t xml:space="preserve">Requested auth on portal - Current Status: Not certified - NAR received was for 62330, which doesn't require authorization according to portal-Availity - DND no auth on file </t>
  </si>
  <si>
    <t xml:space="preserve">Uploaded MR - PIQ-91107053 as per insurance request </t>
  </si>
  <si>
    <t>Added mod XS to 93970, and resubmitted - Anthem Commercial Reimbursement Policy Number: C-23003 - secondary subject to MPPR rules</t>
  </si>
  <si>
    <t>Adjusted balance - Acodes not included in auth/referral</t>
  </si>
  <si>
    <t>Filed appeal with MR on portal - Confirmation Number: 148586224 - L1851 requires auth, and we didn't get one</t>
  </si>
  <si>
    <t>Adjusted balance - Only 1 Incision was performed - 20 units each were order - We dispensed 40 unit each as per POD - DND Coverage/program guidelines were exceeded.</t>
  </si>
  <si>
    <t>Shift to PT - ABN signed - Another L0650 was dispensed back on 04/25/2022 - Supplier SONOSPINE ARIZONA LLC - DND L0650 M3 Equipment is the same or similar to equipment already being used</t>
  </si>
  <si>
    <t>secondary - Primary paid</t>
  </si>
  <si>
    <t>secondary - Edited COB info, and resubmitted - Primary paid</t>
  </si>
  <si>
    <t>MBI updated - Resubmitted - DND Missing/incomplete/invalid patient identifier</t>
  </si>
  <si>
    <t>Under Review</t>
  </si>
  <si>
    <t>Waiting for account to get activated again</t>
  </si>
  <si>
    <t xml:space="preserve">DND 75710 This procedure or procedure/modifier combination is not compatible with another procedure or procedure/modifier combination provided on the same day according to the National Correct Coding Initiative or workers compensation state regulations/ fee schedule requirements - Adjusted balance for 36246 not included in the auth requested - 36248 add on requires payment for other cpt code - 99153 cant be billed on pos 24 </t>
  </si>
  <si>
    <t xml:space="preserve">DND 36248 due to exceeded MUE - DND 36245, 36246, and 75710 due to invalid dx </t>
  </si>
  <si>
    <t xml:space="preserve">trying to get access to EOB with imperial </t>
  </si>
  <si>
    <t>no access</t>
  </si>
  <si>
    <t>START A CHAT AND ASK FOR A PIQ REVIEW OR STATUS</t>
  </si>
  <si>
    <t>secondary - check cob on noridian, if nothing there, check with April - 1A95CU0TY97</t>
  </si>
  <si>
    <t>Send pending msm to Bri</t>
  </si>
  <si>
    <t xml:space="preserve">Waiting for Bri's reply - Juan sent MR to me </t>
  </si>
  <si>
    <t>Statuses on the drop-down: Denied, Finalized, Not found, PAID, Pending, Received, Rejected, Under Review.</t>
  </si>
  <si>
    <t>540 days</t>
  </si>
  <si>
    <t>84 claims with a date of service in 2026-04 April, split into one sheet per specialty: BH, DME, GAE, ORTHO, US.</t>
  </si>
  <si>
    <t>Every specialty sheet is sorted in four groups: Rejected claims at the very top, then claims with an empty Latest Date Worked (column K), then the other open claims, and Finalized and PAID claims at the bottom (a Finalized or PAID claim with an empty Latest Date Worked stays in the empty Latest Date Worked group). Within each group, rows are ordered by how close the claim is to its primary payer's timely filing deadline. Days Until Deadline (column L) carries the count: five days or less left is shaded red, a negative number means the filing window has already closed, and a blank means no limit is on file for that payer.</t>
  </si>
  <si>
    <t>Deadline order within each group, with the colour band each row gets (these counts update automatically; Finalized claims with a Latest Date Worked have their deadline cells left empty and are not counted):</t>
  </si>
  <si>
    <t xml:space="preserve">    1 - Due in 5 days or less: 0</t>
  </si>
  <si>
    <t xml:space="preserve">    2 - Due in 6-30 days: 1</t>
  </si>
  <si>
    <t xml:space="preserve">    3 - Due in 31+ days: 24</t>
  </si>
  <si>
    <t>'SPC26S1 - 00 Master v3.xlsx' (same folder) holds every claim for 2026 S1. Its Claim Status and Notes columns are formulas that read this file, so anything you type in columns A and B here shows up there. Keep both files in the same folder, keep the file name unchanged, and save this file before opening the master.</t>
  </si>
  <si>
    <t>93923 x1; 93970 x1</t>
  </si>
  <si>
    <t xml:space="preserve">Secondary - Added rendering NPI 1518261023 to box 24j, cob info, and resubmitted </t>
  </si>
  <si>
    <t>Auth required for 63047 - No request found</t>
  </si>
  <si>
    <t>Call 800-636-2123 - DND A6010 Preferred Homecare is responsible for these services. Please submit the claim to Preferred Homecare for consideration</t>
  </si>
  <si>
    <t>Checking with Bri - Dr. Awnik Sarkar OON with member's Independence Blue Cross PPO - Devereux Benefit Plan</t>
  </si>
  <si>
    <t xml:space="preserve">Adjusted balance - No auth request on file for collagen dressings - DND Acodes no auth </t>
  </si>
  <si>
    <t xml:space="preserve">Uploaded missing MR to PIQ-85007180 - Jess uploaded POD </t>
  </si>
  <si>
    <t>Shift to PT - ABN signed -No coverage - Policy Number: MP.009.35 - PR non-covered</t>
  </si>
  <si>
    <t>Adjusted balance - BCBS M2K will not cover collagen dressings - DND A6010 Precertification/authorization/notification/pre-treatment absent</t>
  </si>
  <si>
    <t>Per Medicare guidelines use of modifier NU is not typical for procedure code L1851. Resubmitted with mods KX+RT - This is a Medicare Advantage plan - DND due to invalid modifier again - Jess resubmitted with only mod NU - DND L1851 Missing procedure modifier(s) - We bill the Lcode with NU+RT</t>
  </si>
  <si>
    <t>Chat with anthem about medical records being received - Jess sent MR through fax with barcode letter</t>
  </si>
  <si>
    <t>Not found</t>
  </si>
  <si>
    <t>Check if the payer change worked - Submitted claim on portal with MR - Claim Id: 851901307 - Confirmation ID 843724183 - No auth request on file - Retro auth not available at this time</t>
  </si>
  <si>
    <t>Appeal form completed with MR and forwarded to April for fax submission to payer - Fax # 855-699-8985</t>
  </si>
  <si>
    <t>Resubmitted to Medicare Part B - Denied again - Resubmitted to Region B - PT state on portal: WI - DND N104 This claim/service is not payable under our claims jurisdiction area</t>
  </si>
  <si>
    <t>Adjusted balance - No ABN signed - Another L0650 was dispensed back on 04/25/2022 - Supplier SONOSPINE ARIZONA LLC - DND L0650 M3 Equipment is the same or similar to equipment already being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</si>
</sst>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5" x14ac:knownFonts="1">
    <font>
      <sz val="11"/>
      <color theme="1"/>
      <name val="Calibri"/>
      <family val="2"/>
      <scheme val="minor"/>
    </font>
    <font>
      <b/>
      <sz val="11"/>
      <color rgb="FFFFFFFF"/>
      <name val="Calibri"/>
      <family val="2"/>
    </font>
    <font>
      <sz val="11"/>
      <name val="Calibri"/>
      <family val="2"/>
    </font>
    <font>
      <b/>
      <sz val="14"/>
      <color rgb="FF1F4E79"/>
      <name val="Calibri"/>
      <family val="2"/>
    </font>
    <font>
      <b/>
      <sz val="11"/>
      <color rgb="FF1F4E79"/>
      <name val="Calibri"/>
      <family val="2"/>
    </font>
  </fonts>
  <fills count="4">
    <fill>
      <patternFill patternType="none"/>
    </fill>
    <fill>
      <patternFill patternType="gray125"/>
    </fill>
    <fill>
      <patternFill patternType="solid">
        <fgColor rgb="FF1F4E79"/>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164" fontId="2" fillId="3" borderId="1" xfId="0" applyNumberFormat="1" applyFont="1" applyFill="1" applyBorder="1" applyAlignment="1">
      <alignment vertical="top"/>
    </xf>
    <xf numFmtId="1" fontId="2" fillId="0" borderId="1" xfId="0" applyNumberFormat="1" applyFont="1" applyBorder="1" applyAlignment="1">
      <alignment vertical="top"/>
    </xf>
    <xf numFmtId="0" fontId="2" fillId="0" borderId="1" xfId="0" applyFont="1" applyBorder="1" applyAlignment="1">
      <alignment vertical="top"/>
    </xf>
    <xf numFmtId="164" fontId="2" fillId="0" borderId="1" xfId="0" applyNumberFormat="1" applyFont="1" applyBorder="1" applyAlignment="1">
      <alignment vertical="top"/>
    </xf>
    <xf numFmtId="4" fontId="2" fillId="0" borderId="1" xfId="0" applyNumberFormat="1" applyFont="1" applyBorder="1" applyAlignment="1">
      <alignment vertical="top"/>
    </xf>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1" fillId="2" borderId="1" xfId="0" applyFont="1" applyFill="1" applyBorder="1" applyAlignment="1">
      <alignment horizontal="center" vertical="center"/>
    </xf>
    <xf numFmtId="1" fontId="2" fillId="0" borderId="1" xfId="0" applyNumberFormat="1" applyFont="1" applyBorder="1" applyAlignment="1">
      <alignment horizontal="left" vertical="top"/>
    </xf>
  </cellXfs>
  <cellStyles count="1">
    <cellStyle name="Normal" xfId="0" builtinId="0"/>
  </cellStyles>
  <dxfs count="109">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ill>
        <patternFill patternType="solid">
          <bgColor rgb="FFC6E0B4"/>
        </patternFill>
      </fill>
    </dxf>
    <dxf>
      <fill>
        <patternFill patternType="solid">
          <bgColor rgb="FFBDD7EE"/>
        </patternFill>
      </fill>
    </dxf>
    <dxf>
      <fill>
        <patternFill patternType="solid">
          <bgColor rgb="FFD9D2E9"/>
        </patternFill>
      </fill>
    </dxf>
    <dxf>
      <fill>
        <patternFill patternType="solid">
          <bgColor rgb="FFFFE699"/>
        </patternFill>
      </fill>
    </dxf>
    <dxf>
      <font>
        <b/>
        <color rgb="FF000000"/>
      </font>
      <fill>
        <patternFill patternType="solid">
          <bgColor rgb="FFFF9933"/>
        </patternFill>
      </fill>
    </dxf>
    <dxf>
      <fill>
        <patternFill patternType="solid">
          <bgColor rgb="FFFF9F9F"/>
        </patternFill>
      </fill>
    </dxf>
    <dxf>
      <fill>
        <patternFill patternType="solid">
          <bgColor rgb="FFE4A0C8"/>
        </patternFill>
      </fill>
    </dxf>
    <dxf>
      <fill>
        <patternFill patternType="solid">
          <bgColor rgb="FFBFBFBF"/>
        </patternFill>
      </fill>
    </dxf>
    <dxf>
      <fill>
        <patternFill patternType="solid">
          <bgColor rgb="FFFCE4E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A50"/>
  <sheetViews>
    <sheetView showGridLines="0" workbookViewId="0"/>
  </sheetViews>
  <sheetFormatPr defaultRowHeight="15" x14ac:dyDescent="0.25"/>
  <cols>
    <col min="1" max="1" width="118" customWidth="1"/>
  </cols>
  <sheetData>
    <row r="1" spans="1:1" ht="18.75" x14ac:dyDescent="0.25">
      <c r="A1" s="8" t="s">
        <v>0</v>
      </c>
    </row>
    <row r="2" spans="1:1" x14ac:dyDescent="0.25">
      <c r="A2" s="9"/>
    </row>
    <row r="3" spans="1:1" x14ac:dyDescent="0.25">
      <c r="A3" s="9" t="str">
        <f>COUNTA(BH!$D$2:$D$1000,DME!$D$2:$D$1000,GAE!$D$2:$D$1000,ORTHO!$D$2:$D$1000,US!$D$2:$D$1000)&amp;" claims with a date of service in 2026-04 April, split into one sheet per specialty: BH, DME, GAE, ORTHO, US."</f>
        <v>84 claims with a date of service in 2026-04 April, split into one sheet per specialty: BH, DME, GAE, ORTHO, US.</v>
      </c>
    </row>
    <row r="4" spans="1:1" x14ac:dyDescent="0.25">
      <c r="A4" s="9"/>
    </row>
    <row r="5" spans="1:1" x14ac:dyDescent="0.25">
      <c r="A5" s="10" t="s">
        <v>1</v>
      </c>
    </row>
    <row r="6" spans="1:1" ht="90" x14ac:dyDescent="0.25">
      <c r="A6" s="9" t="s">
        <v>439</v>
      </c>
    </row>
    <row r="7" spans="1:1" x14ac:dyDescent="0.25">
      <c r="A7" s="9" t="s">
        <v>440</v>
      </c>
    </row>
    <row r="8" spans="1:1" x14ac:dyDescent="0.25">
      <c r="A8" s="9" t="str">
        <f>"    1 - Due in 5 days or less: "&amp;SUM(COUNTIFS(BH!$L$2:$L$1000,"&gt;=0",BH!$L$2:$L$1000,"&lt;=5"),COUNTIFS(DME!$L$2:$L$1000,"&gt;=0",DME!$L$2:$L$1000,"&lt;=5"),COUNTIFS(GAE!$L$2:$L$1000,"&gt;=0",GAE!$L$2:$L$1000,"&lt;=5"),COUNTIFS(ORTHO!$L$2:$L$1000,"&gt;=0",ORTHO!$L$2:$L$1000,"&lt;=5"),COUNTIFS(US!$L$2:$L$1000,"&gt;=0",US!$L$2:$L$1000,"&lt;=5"))</f>
        <v>    1 - Due in 5 days or less: 0</v>
      </c>
    </row>
    <row r="9" spans="1:1" x14ac:dyDescent="0.25">
      <c r="A9" s="9" t="str">
        <f>"    2 - Due in 6-30 days: "&amp;SUM(COUNTIFS(BH!$L$2:$L$1000,"&gt;5",BH!$L$2:$L$1000,"&lt;=30"),COUNTIFS(DME!$L$2:$L$1000,"&gt;5",DME!$L$2:$L$1000,"&lt;=30"),COUNTIFS(GAE!$L$2:$L$1000,"&gt;5",GAE!$L$2:$L$1000,"&lt;=30"),COUNTIFS(ORTHO!$L$2:$L$1000,"&gt;5",ORTHO!$L$2:$L$1000,"&lt;=30"),COUNTIFS(US!$L$2:$L$1000,"&gt;5",US!$L$2:$L$1000,"&lt;=30"))</f>
        <v>    2 - Due in 6-30 days: 0</v>
      </c>
    </row>
    <row r="10" spans="1:1" x14ac:dyDescent="0.25">
      <c r="A10" s="9" t="str">
        <f>"    3 - Due in 31+ days: "&amp;SUM(COUNTIFS(BH!$L$2:$L$1000,"&gt;30"),COUNTIFS(DME!$L$2:$L$1000,"&gt;30"),COUNTIFS(GAE!$L$2:$L$1000,"&gt;30"),COUNTIFS(ORTHO!$L$2:$L$1000,"&gt;30"),COUNTIFS(US!$L$2:$L$1000,"&gt;30"))</f>
        <v>    3 - Due in 31+ days: 21</v>
      </c>
    </row>
    <row r="11" spans="1:1" x14ac:dyDescent="0.25">
      <c r="A11" s="9" t="str">
        <f>"    4 - Past deadline: "&amp;SUM(COUNTIFS(BH!$L$2:$L$1000,"&lt;0"),COUNTIFS(DME!$L$2:$L$1000,"&lt;0"),COUNTIFS(GAE!$L$2:$L$1000,"&lt;0"),COUNTIFS(ORTHO!$L$2:$L$1000,"&lt;0"),COUNTIFS(US!$L$2:$L$1000,"&lt;0"))</f>
        <v>    4 - Past deadline: 38</v>
      </c>
    </row>
    <row r="12" spans="1:1" x14ac:dyDescent="0.25">
      <c r="A12" s="9" t="str">
        <f>"    5 - No limit on file: "&amp;SUM(SUMPRODUCT((BH!$D$2:$D$1000&lt;&gt;"")*(BH!$L$2:$L$1000="")*(1-(TRIM(BH!$A$2:$A$1000)="Finalized")*(BH!$K$2:$K$1000&lt;&gt;""))),SUMPRODUCT((DME!$D$2:$D$1000&lt;&gt;"")*(DME!$L$2:$L$1000="")*(1-(TRIM(DME!$A$2:$A$1000)="Finalized")*(DME!$K$2:$K$1000&lt;&gt;""))),SUMPRODUCT((GAE!$D$2:$D$1000&lt;&gt;"")*(GAE!$L$2:$L$1000="")*(1-(TRIM(GAE!$A$2:$A$1000)="Finalized")*(GAE!$K$2:$K$1000&lt;&gt;""))),SUMPRODUCT((ORTHO!$D$2:$D$1000&lt;&gt;"")*(ORTHO!$L$2:$L$1000="")*(1-(TRIM(ORTHO!$A$2:$A$1000)="Finalized")*(ORTHO!$K$2:$K$1000&lt;&gt;""))),SUMPRODUCT((US!$D$2:$D$1000&lt;&gt;"")*(US!$L$2:$L$1000="")*(1-(TRIM(US!$A$2:$A$1000)="Finalized")*(US!$K$2:$K$1000&lt;&gt;""))))</f>
        <v>    5 - No limit on file: 8</v>
      </c>
    </row>
    <row r="13" spans="1:1" x14ac:dyDescent="0.25">
      <c r="A13" s="9"/>
    </row>
    <row r="14" spans="1:1" ht="30" x14ac:dyDescent="0.25">
      <c r="A14" s="9" t="s">
        <v>4</v>
      </c>
    </row>
    <row r="15" spans="1:1" ht="60" x14ac:dyDescent="0.25">
      <c r="A15" s="9" t="s">
        <v>5</v>
      </c>
    </row>
    <row r="16" spans="1:1" ht="30" x14ac:dyDescent="0.25">
      <c r="A16" s="9" t="s">
        <v>6</v>
      </c>
    </row>
    <row r="17" spans="1:1" ht="30" x14ac:dyDescent="0.25">
      <c r="A17" s="9" t="s">
        <v>7</v>
      </c>
    </row>
    <row r="18" spans="1:1" x14ac:dyDescent="0.25">
      <c r="A18" s="9"/>
    </row>
    <row r="19" spans="1:1" x14ac:dyDescent="0.25">
      <c r="A19" s="10" t="s">
        <v>8</v>
      </c>
    </row>
    <row r="20" spans="1:1" ht="45" x14ac:dyDescent="0.25">
      <c r="A20" s="9" t="s">
        <v>9</v>
      </c>
    </row>
    <row r="21" spans="1:1" x14ac:dyDescent="0.25">
      <c r="A21" s="9" t="s">
        <v>436</v>
      </c>
    </row>
    <row r="22" spans="1:1" ht="30" x14ac:dyDescent="0.25">
      <c r="A22" s="9" t="s">
        <v>10</v>
      </c>
    </row>
    <row r="23" spans="1:1" x14ac:dyDescent="0.25">
      <c r="A23" s="9"/>
    </row>
    <row r="24" spans="1:1" x14ac:dyDescent="0.25">
      <c r="A24" s="10" t="s">
        <v>11</v>
      </c>
    </row>
    <row r="25" spans="1:1" ht="30" x14ac:dyDescent="0.25">
      <c r="A25" s="9" t="s">
        <v>12</v>
      </c>
    </row>
    <row r="26" spans="1:1" ht="45" x14ac:dyDescent="0.25">
      <c r="A26" s="9" t="s">
        <v>13</v>
      </c>
    </row>
    <row r="27" spans="1:1" x14ac:dyDescent="0.25">
      <c r="A27" s="9"/>
    </row>
    <row r="28" spans="1:1" x14ac:dyDescent="0.25">
      <c r="A28" s="10" t="s">
        <v>14</v>
      </c>
    </row>
    <row r="29" spans="1:1" ht="45" x14ac:dyDescent="0.25">
      <c r="A29" s="9" t="s">
        <v>15</v>
      </c>
    </row>
    <row r="30" spans="1:1" ht="45" x14ac:dyDescent="0.25">
      <c r="A30" s="9" t="s">
        <v>16</v>
      </c>
    </row>
    <row r="31" spans="1:1" ht="30" x14ac:dyDescent="0.25">
      <c r="A31" s="9" t="s">
        <v>17</v>
      </c>
    </row>
    <row r="32" spans="1:1" x14ac:dyDescent="0.25">
      <c r="A32" s="9"/>
    </row>
    <row r="33" spans="1:1" x14ac:dyDescent="0.25">
      <c r="A33" s="10" t="s">
        <v>18</v>
      </c>
    </row>
    <row r="34" spans="1:1" ht="45" x14ac:dyDescent="0.25">
      <c r="A34" s="9" t="s">
        <v>444</v>
      </c>
    </row>
    <row r="35" spans="1:1" ht="30" x14ac:dyDescent="0.25">
      <c r="A35" s="9" t="s">
        <v>19</v>
      </c>
    </row>
    <row r="36" spans="1:1" x14ac:dyDescent="0.25">
      <c r="A36" s="9"/>
    </row>
    <row r="37" spans="1:1" x14ac:dyDescent="0.25">
      <c r="A37" s="9" t="s">
        <v>20</v>
      </c>
    </row>
    <row r="38" spans="1:1">
      <c r="A38" s="9"/>
    </row>
    <row r="39" spans="1:1">
      <c r="A39" s="10" t="inlineStr">
        <is>
          <t xml:space="preserve">Row colours by Claim Status</t>
        </is>
      </c>
    </row>
    <row r="40" spans="1:1" ht="45" customHeight="1">
      <c r="A40" s="9" t="inlineStr">
        <is>
          <t xml:space="preserve">Each claim row is shaded by its Claim Status (column A) using conditional formatting, so the colour follows the status automatically when it is changed. Rows with no Claim Status keep their normal formatting. The deadline countdown columns keep their own colour bands.</t>
        </is>
      </c>
    </row>
    <row r="41" spans="1:1">
      <c r="A41" s="9" t="inlineStr">
        <is>
          <t xml:space="preserve">    PAID - green</t>
        </is>
      </c>
    </row>
    <row r="42" spans="1:1">
      <c r="A42" s="9" t="inlineStr">
        <is>
          <t xml:space="preserve">    Finalized - blue</t>
        </is>
      </c>
    </row>
    <row r="43" spans="1:1">
      <c r="A43" s="9" t="inlineStr">
        <is>
          <t xml:space="preserve">    Received - lavender</t>
        </is>
      </c>
    </row>
    <row r="44" spans="1:1">
      <c r="A44" s="9" t="inlineStr">
        <is>
          <t xml:space="preserve">    Pending - yellow</t>
        </is>
      </c>
    </row>
    <row r="45" spans="1:1">
      <c r="A45" s="9" t="inlineStr">
        <is>
          <t xml:space="preserve">    Under Review - bright orange, bold (follow up on these)</t>
        </is>
      </c>
    </row>
    <row r="46" spans="1:1">
      <c r="A46" s="9" t="inlineStr">
        <is>
          <t xml:space="preserve">    Denied, not worked yet (Latest Date Worked empty) - red</t>
        </is>
      </c>
    </row>
    <row r="47" spans="1:1">
      <c r="A47" s="9" t="inlineStr">
        <is>
          <t xml:space="preserve">    Rejected - pink</t>
        </is>
      </c>
    </row>
    <row r="48" spans="1:1">
      <c r="A48" s="9" t="inlineStr">
        <is>
          <t xml:space="preserve">    Not found - grey</t>
        </is>
      </c>
    </row>
    <row r="49" spans="1:1">
      <c r="A49" s="9" t="inlineStr">
        <is>
          <t xml:space="preserve">    Denied, already worked (Latest Date Worked filled in) - light pink</t>
        </is>
      </c>
    </row>
    <row r="50" spans="1:1">
      <c r="A50" s="9" t="inlineStr">
        <is>
          <t xml:space="preserve">Any other status is left unshaded.</t>
        </is>
      </c>
    </row>
  </sheetData>
  <conditionalFormatting sqref="A41">
    <cfRule type="expression" dxfId="100" priority="1">
      <formula>TRUE</formula>
    </cfRule>
  </conditionalFormatting>
  <conditionalFormatting sqref="A42">
    <cfRule type="expression" dxfId="101" priority="2">
      <formula>TRUE</formula>
    </cfRule>
  </conditionalFormatting>
  <conditionalFormatting sqref="A43">
    <cfRule type="expression" dxfId="102" priority="3">
      <formula>TRUE</formula>
    </cfRule>
  </conditionalFormatting>
  <conditionalFormatting sqref="A44">
    <cfRule type="expression" dxfId="103" priority="4">
      <formula>TRUE</formula>
    </cfRule>
  </conditionalFormatting>
  <conditionalFormatting sqref="A45">
    <cfRule type="expression" dxfId="104" priority="5">
      <formula>TRUE</formula>
    </cfRule>
  </conditionalFormatting>
  <conditionalFormatting sqref="A46">
    <cfRule type="expression" dxfId="105" priority="6">
      <formula>TRUE</formula>
    </cfRule>
  </conditionalFormatting>
  <conditionalFormatting sqref="A47">
    <cfRule type="expression" dxfId="106" priority="7">
      <formula>TRUE</formula>
    </cfRule>
  </conditionalFormatting>
  <conditionalFormatting sqref="A48">
    <cfRule type="expression" dxfId="107" priority="8">
      <formula>TRUE</formula>
    </cfRule>
  </conditionalFormatting>
  <conditionalFormatting sqref="A49">
    <cfRule type="expression" dxfId="108" priority="9">
      <formula>TRUE</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2"/>
  <sheetViews>
    <sheetView zoomScale="90" workbookViewId="0">
      <pane xSplit="2" ySplit="1" topLeftCell="C2" activePane="bottomRight" state="frozen"/>
      <selection pane="topRight"/>
      <selection pane="bottomLeft"/>
      <selection pane="bottomRight" activeCell="B30" sqref="B30"/>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7.28515625" customWidth="1"/>
    <col min="11" max="11" width="14" customWidth="1"/>
    <col min="12" max="12" width="12" customWidth="1"/>
    <col min="13" max="13" width="18.140625" customWidth="1"/>
    <col min="14" max="14" width="17.8554687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21</v>
      </c>
      <c r="B1" s="11" t="s">
        <v>22</v>
      </c>
      <c r="C1" s="11" t="s">
        <v>23</v>
      </c>
      <c r="D1" s="11" t="s">
        <v>24</v>
      </c>
      <c r="E1" s="11" t="s">
        <v>25</v>
      </c>
      <c r="F1" s="11" t="s">
        <v>26</v>
      </c>
      <c r="G1" s="11" t="s">
        <v>27</v>
      </c>
      <c r="H1" s="11" t="s">
        <v>28</v>
      </c>
      <c r="I1" s="11" t="s">
        <v>29</v>
      </c>
      <c r="J1" s="11" t="s">
        <v>30</v>
      </c>
      <c r="K1" s="11" t="s">
        <v>31</v>
      </c>
      <c r="L1" s="1" t="s">
        <v>32</v>
      </c>
      <c r="M1" s="1" t="s">
        <v>33</v>
      </c>
      <c r="N1" s="1" t="s">
        <v>34</v>
      </c>
      <c r="O1" s="11" t="s">
        <v>35</v>
      </c>
      <c r="P1" s="11" t="s">
        <v>36</v>
      </c>
      <c r="Q1" s="11" t="s">
        <v>37</v>
      </c>
      <c r="R1" s="11" t="s">
        <v>38</v>
      </c>
      <c r="S1" s="11" t="s">
        <v>39</v>
      </c>
      <c r="T1" s="11" t="s">
        <v>40</v>
      </c>
      <c r="U1" s="11" t="s">
        <v>41</v>
      </c>
      <c r="V1" s="11" t="s">
        <v>42</v>
      </c>
      <c r="W1" s="11" t="s">
        <v>43</v>
      </c>
      <c r="X1" s="11" t="s">
        <v>44</v>
      </c>
      <c r="Y1" s="11" t="s">
        <v>45</v>
      </c>
      <c r="Z1" s="11" t="s">
        <v>46</v>
      </c>
      <c r="AA1" s="11" t="s">
        <v>47</v>
      </c>
      <c r="AB1" s="11" t="s">
        <v>48</v>
      </c>
      <c r="AC1" s="11" t="s">
        <v>49</v>
      </c>
      <c r="AD1" s="11" t="s">
        <v>50</v>
      </c>
      <c r="AE1" s="11" t="s">
        <v>51</v>
      </c>
      <c r="AF1" s="11" t="s">
        <v>52</v>
      </c>
      <c r="AG1" s="11" t="s">
        <v>53</v>
      </c>
      <c r="AH1" s="11" t="s">
        <v>54</v>
      </c>
      <c r="AI1" s="11" t="s">
        <v>55</v>
      </c>
      <c r="AJ1" s="11" t="s">
        <v>56</v>
      </c>
      <c r="AK1" s="11" t="s">
        <v>57</v>
      </c>
      <c r="AL1" s="11" t="s">
        <v>58</v>
      </c>
      <c r="AM1" s="11" t="s">
        <v>59</v>
      </c>
      <c r="AN1" s="11" t="s">
        <v>60</v>
      </c>
    </row>
    <row r="2" spans="1:40" x14ac:dyDescent="0.25">
      <c r="A2" s="2" t="s">
        <v>76</v>
      </c>
      <c r="B2" s="2" t="s">
        <v>77</v>
      </c>
      <c r="C2" s="3"/>
      <c r="D2" s="4">
        <v>556872696</v>
      </c>
      <c r="E2" s="5" t="s">
        <v>78</v>
      </c>
      <c r="F2" s="6">
        <v>46133</v>
      </c>
      <c r="G2" s="5" t="s">
        <v>79</v>
      </c>
      <c r="H2" s="5" t="s">
        <v>80</v>
      </c>
      <c r="I2" s="5" t="s">
        <v>79</v>
      </c>
      <c r="J2" s="5" t="s">
        <v>81</v>
      </c>
      <c r="K2" s="3"/>
      <c r="L2" s="12">
        <f ca="1">IF($O2="","",$O2-TODAY())</f>
        <v>198</v>
      </c>
      <c r="M2" s="12" t="str">
        <f ca="1">IF(AND(TRIM($A2)="Finalized",$K2&lt;&gt;""),"",IF($C2="","",$C2+365-TODAY()))</f>
        <v/>
      </c>
      <c r="N2" s="12" t="str">
        <f ca="1">IF(AND(TRIM($A2)="Finalized",$K2&lt;&gt;""),"",IF($C2="","",$C2+120-TODAY()))</f>
        <v/>
      </c>
      <c r="O2" s="6">
        <f>IF(AND(TRIM($A2)="Finalized",$K2&lt;&gt;""),"",DATE(2027,4,21))</f>
        <v>46498</v>
      </c>
      <c r="P2" s="5" t="s">
        <v>67</v>
      </c>
      <c r="Q2" s="5" t="s">
        <v>68</v>
      </c>
      <c r="R2" s="5" t="s">
        <v>67</v>
      </c>
      <c r="S2" s="5" t="s">
        <v>69</v>
      </c>
      <c r="T2" s="5" t="s">
        <v>70</v>
      </c>
      <c r="U2" s="5" t="s">
        <v>69</v>
      </c>
      <c r="V2" s="5"/>
      <c r="W2" s="5"/>
      <c r="X2" s="5"/>
      <c r="Y2" s="5" t="s">
        <v>71</v>
      </c>
      <c r="Z2" s="7">
        <v>1426.25</v>
      </c>
      <c r="AA2" s="7">
        <v>1212.77</v>
      </c>
      <c r="AB2" s="7">
        <v>170.09</v>
      </c>
      <c r="AC2" s="6">
        <v>46168</v>
      </c>
      <c r="AD2" s="7">
        <v>43.39</v>
      </c>
      <c r="AE2" s="4">
        <v>109</v>
      </c>
      <c r="AF2" s="5" t="s">
        <v>72</v>
      </c>
      <c r="AG2" s="5"/>
      <c r="AH2" s="5"/>
      <c r="AI2" s="5"/>
      <c r="AJ2" s="4">
        <v>561534353</v>
      </c>
      <c r="AK2" s="5" t="s">
        <v>82</v>
      </c>
      <c r="AL2" s="5" t="s">
        <v>83</v>
      </c>
      <c r="AM2" s="6">
        <v>46153</v>
      </c>
      <c r="AN2" s="5" t="s">
        <v>75</v>
      </c>
    </row>
    <row r="3" spans="1:40" x14ac:dyDescent="0.25">
      <c r="A3" s="2" t="s">
        <v>426</v>
      </c>
      <c r="B3" s="2" t="s">
        <v>427</v>
      </c>
      <c r="C3" s="3"/>
      <c r="D3" s="4">
        <v>556047036</v>
      </c>
      <c r="E3" s="5" t="s">
        <v>125</v>
      </c>
      <c r="F3" s="6">
        <v>46127</v>
      </c>
      <c r="G3" s="5" t="s">
        <v>126</v>
      </c>
      <c r="H3" s="5" t="s">
        <v>126</v>
      </c>
      <c r="I3" s="5" t="s">
        <v>65</v>
      </c>
      <c r="J3" s="5" t="s">
        <v>112</v>
      </c>
      <c r="K3" s="3"/>
      <c r="L3" s="12" t="str">
        <f ca="1">IF($O3="","",$O3-TODAY())</f>
        <v/>
      </c>
      <c r="M3" s="12"/>
      <c r="N3" s="12"/>
      <c r="O3" s="6"/>
      <c r="P3" s="5"/>
      <c r="Q3" s="5" t="s">
        <v>127</v>
      </c>
      <c r="R3" s="5"/>
      <c r="S3" s="5"/>
      <c r="T3" s="5"/>
      <c r="U3" s="5"/>
      <c r="V3" s="5"/>
      <c r="W3" s="5"/>
      <c r="X3" s="5"/>
      <c r="Y3" s="5" t="s">
        <v>71</v>
      </c>
      <c r="Z3" s="7">
        <v>976.64</v>
      </c>
      <c r="AA3" s="7">
        <v>0</v>
      </c>
      <c r="AB3" s="7">
        <v>0</v>
      </c>
      <c r="AC3" s="6"/>
      <c r="AD3" s="7">
        <v>976.64</v>
      </c>
      <c r="AE3" s="4">
        <v>115</v>
      </c>
      <c r="AF3" s="5" t="s">
        <v>98</v>
      </c>
      <c r="AG3" s="5"/>
      <c r="AH3" s="5"/>
      <c r="AI3" s="5"/>
      <c r="AJ3" s="4"/>
      <c r="AK3" s="5" t="s">
        <v>99</v>
      </c>
      <c r="AL3" s="5" t="s">
        <v>91</v>
      </c>
      <c r="AM3" s="6">
        <v>46153</v>
      </c>
      <c r="AN3" s="5" t="s">
        <v>75</v>
      </c>
    </row>
    <row r="4" spans="1:40" x14ac:dyDescent="0.25">
      <c r="A4" s="2" t="s">
        <v>426</v>
      </c>
      <c r="B4" s="2" t="s">
        <v>427</v>
      </c>
      <c r="C4" s="3"/>
      <c r="D4" s="4">
        <v>557578390</v>
      </c>
      <c r="E4" s="5" t="s">
        <v>128</v>
      </c>
      <c r="F4" s="6">
        <v>46141</v>
      </c>
      <c r="G4" s="5" t="s">
        <v>126</v>
      </c>
      <c r="H4" s="5" t="s">
        <v>126</v>
      </c>
      <c r="I4" s="5" t="s">
        <v>65</v>
      </c>
      <c r="J4" s="5" t="s">
        <v>129</v>
      </c>
      <c r="K4" s="3"/>
      <c r="L4" s="12" t="str">
        <f ca="1">IF($O4="","",$O4-TODAY())</f>
        <v/>
      </c>
      <c r="M4" s="12"/>
      <c r="N4" s="12"/>
      <c r="O4" s="6"/>
      <c r="P4" s="5"/>
      <c r="Q4" s="5" t="s">
        <v>127</v>
      </c>
      <c r="R4" s="5"/>
      <c r="S4" s="5"/>
      <c r="T4" s="5"/>
      <c r="U4" s="5"/>
      <c r="V4" s="5"/>
      <c r="W4" s="5"/>
      <c r="X4" s="5"/>
      <c r="Y4" s="5" t="s">
        <v>71</v>
      </c>
      <c r="Z4" s="7">
        <v>1426.25</v>
      </c>
      <c r="AA4" s="7">
        <v>0</v>
      </c>
      <c r="AB4" s="7">
        <v>0</v>
      </c>
      <c r="AC4" s="6"/>
      <c r="AD4" s="7">
        <v>1426.25</v>
      </c>
      <c r="AE4" s="4">
        <v>101</v>
      </c>
      <c r="AF4" s="5" t="s">
        <v>124</v>
      </c>
      <c r="AG4" s="5"/>
      <c r="AH4" s="5"/>
      <c r="AI4" s="5"/>
      <c r="AJ4" s="4"/>
      <c r="AK4" s="5" t="s">
        <v>119</v>
      </c>
      <c r="AL4" s="5" t="s">
        <v>91</v>
      </c>
      <c r="AM4" s="6">
        <v>46153</v>
      </c>
      <c r="AN4" s="5" t="s">
        <v>75</v>
      </c>
    </row>
    <row r="5" spans="1:40" x14ac:dyDescent="0.25">
      <c r="A5" s="2" t="s">
        <v>61</v>
      </c>
      <c r="B5" s="2" t="s">
        <v>62</v>
      </c>
      <c r="C5" s="3">
        <v>46157</v>
      </c>
      <c r="D5" s="4">
        <v>554943318</v>
      </c>
      <c r="E5" s="5" t="s">
        <v>63</v>
      </c>
      <c r="F5" s="6">
        <v>46113</v>
      </c>
      <c r="G5" s="5" t="s">
        <v>64</v>
      </c>
      <c r="H5" s="5" t="s">
        <v>64</v>
      </c>
      <c r="I5" s="5" t="s">
        <v>65</v>
      </c>
      <c r="J5" s="5" t="s">
        <v>66</v>
      </c>
      <c r="K5" s="3">
        <v>46265</v>
      </c>
      <c r="L5" s="12">
        <f ca="1">IF($O5="","",$O5-TODAY())</f>
        <v>178</v>
      </c>
      <c r="M5" s="12">
        <f ca="1">IF(AND(TRIM($A5)="Finalized",$K5&lt;&gt;""),"",IF($C5="","",$C5+365-TODAY()))</f>
        <v>222</v>
      </c>
      <c r="N5" s="12">
        <f ca="1">IF(AND(TRIM($A5)="Finalized",$K5&lt;&gt;""),"",IF($C5="","",$C5+120-TODAY()))</f>
        <v>-23</v>
      </c>
      <c r="O5" s="6">
        <f>IF(AND(TRIM($A5)="Finalized",$K5&lt;&gt;""),"",DATE(2027,4,1))</f>
        <v>46478</v>
      </c>
      <c r="P5" s="5" t="s">
        <v>67</v>
      </c>
      <c r="Q5" s="5" t="s">
        <v>68</v>
      </c>
      <c r="R5" s="5" t="s">
        <v>67</v>
      </c>
      <c r="S5" s="5" t="s">
        <v>69</v>
      </c>
      <c r="T5" s="5" t="s">
        <v>70</v>
      </c>
      <c r="U5" s="5" t="s">
        <v>69</v>
      </c>
      <c r="V5" s="5"/>
      <c r="W5" s="5"/>
      <c r="X5" s="5"/>
      <c r="Y5" s="5" t="s">
        <v>71</v>
      </c>
      <c r="Z5" s="7">
        <v>1372.91</v>
      </c>
      <c r="AA5" s="7">
        <v>0</v>
      </c>
      <c r="AB5" s="7">
        <v>0</v>
      </c>
      <c r="AC5" s="6">
        <v>46157</v>
      </c>
      <c r="AD5" s="7">
        <v>1372.91</v>
      </c>
      <c r="AE5" s="4">
        <v>129</v>
      </c>
      <c r="AF5" s="5" t="s">
        <v>72</v>
      </c>
      <c r="AG5" s="5"/>
      <c r="AH5" s="5"/>
      <c r="AI5" s="5"/>
      <c r="AJ5" s="4"/>
      <c r="AK5" s="5" t="s">
        <v>73</v>
      </c>
      <c r="AL5" s="5" t="s">
        <v>74</v>
      </c>
      <c r="AM5" s="6">
        <v>46153</v>
      </c>
      <c r="AN5" s="5" t="s">
        <v>75</v>
      </c>
    </row>
    <row r="6" spans="1:40" x14ac:dyDescent="0.25">
      <c r="A6" s="2" t="s">
        <v>61</v>
      </c>
      <c r="B6" s="2" t="s">
        <v>84</v>
      </c>
      <c r="C6" s="3">
        <v>46162</v>
      </c>
      <c r="D6" s="4">
        <v>566720408</v>
      </c>
      <c r="E6" s="5" t="s">
        <v>85</v>
      </c>
      <c r="F6" s="6">
        <v>46113</v>
      </c>
      <c r="G6" s="5" t="s">
        <v>86</v>
      </c>
      <c r="H6" s="5" t="s">
        <v>86</v>
      </c>
      <c r="I6" s="5" t="s">
        <v>64</v>
      </c>
      <c r="J6" s="5" t="s">
        <v>66</v>
      </c>
      <c r="K6" s="3">
        <v>46231</v>
      </c>
      <c r="L6" s="12">
        <f ca="1">IF($O6="","",$O6-TODAY())</f>
        <v>-97</v>
      </c>
      <c r="M6" s="12">
        <f ca="1">IF(AND(TRIM($A6)="Finalized",$K6&lt;&gt;""),"",IF($F6="","",$F6+90-TODAY()))</f>
        <v>-97</v>
      </c>
      <c r="N6" s="12">
        <f ca="1">IF(AND(TRIM($A6)="Finalized",$K6&lt;&gt;""),"",IF($C6="","",$C6+365-TODAY()))</f>
        <v>227</v>
      </c>
      <c r="O6" s="6">
        <f>IF(AND(TRIM($A6)="Finalized",$K6&lt;&gt;""),"",DATE(2026,6,30))</f>
        <v>46203</v>
      </c>
      <c r="P6" s="5" t="s">
        <v>87</v>
      </c>
      <c r="Q6" s="5" t="s">
        <v>88</v>
      </c>
      <c r="R6" s="5" t="s">
        <v>87</v>
      </c>
      <c r="S6" s="5" t="s">
        <v>114</v>
      </c>
      <c r="T6" s="5" t="s">
        <v>67</v>
      </c>
      <c r="U6" s="5" t="s">
        <v>69</v>
      </c>
      <c r="V6" s="5"/>
      <c r="W6" s="5"/>
      <c r="X6" s="5"/>
      <c r="Y6" s="5" t="s">
        <v>71</v>
      </c>
      <c r="Z6" s="7">
        <v>1372.91</v>
      </c>
      <c r="AA6" s="7">
        <v>0</v>
      </c>
      <c r="AB6" s="7">
        <v>0</v>
      </c>
      <c r="AC6" s="6">
        <v>46162</v>
      </c>
      <c r="AD6" s="7">
        <v>1372.91</v>
      </c>
      <c r="AE6" s="4">
        <v>129</v>
      </c>
      <c r="AF6" s="5" t="s">
        <v>89</v>
      </c>
      <c r="AG6" s="5"/>
      <c r="AH6" s="5"/>
      <c r="AI6" s="5"/>
      <c r="AJ6" s="4"/>
      <c r="AK6" s="5" t="s">
        <v>90</v>
      </c>
      <c r="AL6" s="5" t="s">
        <v>91</v>
      </c>
      <c r="AM6" s="6">
        <v>46153</v>
      </c>
      <c r="AN6" s="5" t="s">
        <v>75</v>
      </c>
    </row>
    <row r="7" spans="1:40" x14ac:dyDescent="0.25">
      <c r="A7" s="2" t="s">
        <v>61</v>
      </c>
      <c r="B7" s="2" t="s">
        <v>92</v>
      </c>
      <c r="C7" s="3">
        <v>46262</v>
      </c>
      <c r="D7" s="4">
        <v>556413148</v>
      </c>
      <c r="E7" s="5" t="s">
        <v>93</v>
      </c>
      <c r="F7" s="6">
        <v>46127</v>
      </c>
      <c r="G7" s="5" t="s">
        <v>94</v>
      </c>
      <c r="H7" s="5" t="s">
        <v>94</v>
      </c>
      <c r="I7" s="5" t="s">
        <v>65</v>
      </c>
      <c r="J7" s="5" t="s">
        <v>95</v>
      </c>
      <c r="K7" s="3">
        <v>46257</v>
      </c>
      <c r="L7" s="12">
        <f ca="1">IF($O7="","",$O7-TODAY())</f>
        <v>-83</v>
      </c>
      <c r="M7" s="12">
        <f ca="1">IF(AND(TRIM($A7)="Finalized",$K7&lt;&gt;""),"",IF($C7="","",$C7+365-TODAY()))</f>
        <v>327</v>
      </c>
      <c r="N7" s="12">
        <f ca="1">IF(AND(TRIM($A7)="Finalized",$K7&lt;&gt;""),"",IF($C7="","",$C7+365-TODAY()))</f>
        <v>327</v>
      </c>
      <c r="O7" s="6">
        <f>IF(AND(TRIM($A7)="Finalized",$K7&lt;&gt;""),"",DATE(2026,7,14))</f>
        <v>46217</v>
      </c>
      <c r="P7" s="5" t="s">
        <v>87</v>
      </c>
      <c r="Q7" s="5" t="s">
        <v>96</v>
      </c>
      <c r="R7" s="5" t="s">
        <v>67</v>
      </c>
      <c r="S7" s="5" t="s">
        <v>69</v>
      </c>
      <c r="T7" s="5" t="s">
        <v>67</v>
      </c>
      <c r="U7" s="5" t="s">
        <v>69</v>
      </c>
      <c r="V7" s="5"/>
      <c r="W7" s="5"/>
      <c r="X7" s="5"/>
      <c r="Y7" s="5" t="s">
        <v>97</v>
      </c>
      <c r="Z7" s="7">
        <v>1769.18</v>
      </c>
      <c r="AA7" s="7">
        <v>0</v>
      </c>
      <c r="AB7" s="7">
        <v>0</v>
      </c>
      <c r="AC7" s="6"/>
      <c r="AD7" s="7">
        <v>1769.18</v>
      </c>
      <c r="AE7" s="4">
        <v>115</v>
      </c>
      <c r="AF7" s="5" t="s">
        <v>98</v>
      </c>
      <c r="AG7" s="5"/>
      <c r="AH7" s="5"/>
      <c r="AI7" s="5"/>
      <c r="AJ7" s="4"/>
      <c r="AK7" s="5" t="s">
        <v>99</v>
      </c>
      <c r="AL7" s="5" t="s">
        <v>74</v>
      </c>
      <c r="AM7" s="6">
        <v>46153</v>
      </c>
      <c r="AN7" s="5" t="s">
        <v>75</v>
      </c>
    </row>
    <row r="8" spans="1:40" x14ac:dyDescent="0.25">
      <c r="A8" s="2" t="s">
        <v>61</v>
      </c>
      <c r="B8" s="2" t="s">
        <v>393</v>
      </c>
      <c r="C8" s="3">
        <v>46157</v>
      </c>
      <c r="D8" s="4">
        <v>556564886</v>
      </c>
      <c r="E8" s="5" t="s">
        <v>100</v>
      </c>
      <c r="F8" s="6">
        <v>46132</v>
      </c>
      <c r="G8" s="5" t="s">
        <v>86</v>
      </c>
      <c r="H8" s="5" t="s">
        <v>86</v>
      </c>
      <c r="I8" s="5" t="s">
        <v>65</v>
      </c>
      <c r="J8" s="5" t="s">
        <v>66</v>
      </c>
      <c r="K8" s="3">
        <v>46276</v>
      </c>
      <c r="L8" s="12">
        <f ca="1">IF($O8="","",$O8-TODAY())</f>
        <v>-78</v>
      </c>
      <c r="M8" s="12">
        <f ca="1">IF(AND(TRIM($A8)="Finalized",$K8&lt;&gt;""),"",IF($F8="","",$F8+90-TODAY()))</f>
        <v>-78</v>
      </c>
      <c r="N8" s="12">
        <f ca="1">IF(AND(TRIM($A8)="Finalized",$K8&lt;&gt;""),"",IF($C8="","",$C8+365-TODAY()))</f>
        <v>222</v>
      </c>
      <c r="O8" s="6">
        <f>IF(AND(TRIM($A8)="Finalized",$K8&lt;&gt;""),"",DATE(2026,7,19))</f>
        <v>46222</v>
      </c>
      <c r="P8" s="5" t="s">
        <v>87</v>
      </c>
      <c r="Q8" s="5" t="s">
        <v>88</v>
      </c>
      <c r="R8" s="5" t="s">
        <v>87</v>
      </c>
      <c r="S8" s="5" t="s">
        <v>114</v>
      </c>
      <c r="T8" s="5" t="s">
        <v>67</v>
      </c>
      <c r="U8" s="5" t="s">
        <v>69</v>
      </c>
      <c r="V8" s="5"/>
      <c r="W8" s="5"/>
      <c r="X8" s="5"/>
      <c r="Y8" s="5" t="s">
        <v>71</v>
      </c>
      <c r="Z8" s="7">
        <v>1372.91</v>
      </c>
      <c r="AA8" s="7">
        <v>0</v>
      </c>
      <c r="AB8" s="7">
        <v>0</v>
      </c>
      <c r="AC8" s="6">
        <v>46157</v>
      </c>
      <c r="AD8" s="7">
        <v>1372.91</v>
      </c>
      <c r="AE8" s="4">
        <v>110</v>
      </c>
      <c r="AF8" s="5" t="s">
        <v>101</v>
      </c>
      <c r="AG8" s="5"/>
      <c r="AH8" s="5"/>
      <c r="AI8" s="5"/>
      <c r="AJ8" s="4"/>
      <c r="AK8" s="5" t="s">
        <v>82</v>
      </c>
      <c r="AL8" s="5" t="s">
        <v>83</v>
      </c>
      <c r="AM8" s="6">
        <v>46153</v>
      </c>
      <c r="AN8" s="5" t="s">
        <v>75</v>
      </c>
    </row>
    <row r="9" spans="1:40" x14ac:dyDescent="0.25">
      <c r="A9" s="2" t="s">
        <v>61</v>
      </c>
      <c r="B9" s="2" t="s">
        <v>102</v>
      </c>
      <c r="C9" s="3">
        <v>46167</v>
      </c>
      <c r="D9" s="4">
        <v>556918462</v>
      </c>
      <c r="E9" s="5" t="s">
        <v>103</v>
      </c>
      <c r="F9" s="6">
        <v>46134</v>
      </c>
      <c r="G9" s="5" t="s">
        <v>94</v>
      </c>
      <c r="H9" s="5" t="s">
        <v>94</v>
      </c>
      <c r="I9" s="5" t="s">
        <v>65</v>
      </c>
      <c r="J9" s="5" t="s">
        <v>66</v>
      </c>
      <c r="K9" s="3">
        <v>46265</v>
      </c>
      <c r="L9" s="12">
        <f ca="1">IF($O9="","",$O9-TODAY())</f>
        <v>-76</v>
      </c>
      <c r="M9" s="12">
        <f ca="1">IF(AND(TRIM($A9)="Finalized",$K9&lt;&gt;""),"",IF($C9="","",$C9+365-TODAY()))</f>
        <v>232</v>
      </c>
      <c r="N9" s="12">
        <f ca="1">IF(AND(TRIM($A9)="Finalized",$K9&lt;&gt;""),"",IF($C9="","",$C9+365-TODAY()))</f>
        <v>232</v>
      </c>
      <c r="O9" s="6">
        <f>IF(AND(TRIM($A9)="Finalized",$K9&lt;&gt;""),"",DATE(2026,7,21))</f>
        <v>46224</v>
      </c>
      <c r="P9" s="5" t="s">
        <v>87</v>
      </c>
      <c r="Q9" s="5" t="s">
        <v>96</v>
      </c>
      <c r="R9" s="5" t="s">
        <v>67</v>
      </c>
      <c r="S9" s="5" t="s">
        <v>69</v>
      </c>
      <c r="T9" s="5" t="s">
        <v>67</v>
      </c>
      <c r="U9" s="5" t="s">
        <v>69</v>
      </c>
      <c r="V9" s="5"/>
      <c r="W9" s="5"/>
      <c r="X9" s="5"/>
      <c r="Y9" s="5" t="s">
        <v>71</v>
      </c>
      <c r="Z9" s="7">
        <v>1372.91</v>
      </c>
      <c r="AA9" s="7">
        <v>0</v>
      </c>
      <c r="AB9" s="7">
        <v>0</v>
      </c>
      <c r="AC9" s="6">
        <v>46167</v>
      </c>
      <c r="AD9" s="7">
        <v>1372.91</v>
      </c>
      <c r="AE9" s="4">
        <v>108</v>
      </c>
      <c r="AF9" s="5" t="s">
        <v>104</v>
      </c>
      <c r="AG9" s="5" t="s">
        <v>105</v>
      </c>
      <c r="AH9" s="5"/>
      <c r="AI9" s="5"/>
      <c r="AJ9" s="4"/>
      <c r="AK9" s="5" t="s">
        <v>106</v>
      </c>
      <c r="AL9" s="5" t="s">
        <v>91</v>
      </c>
      <c r="AM9" s="6">
        <v>46153</v>
      </c>
      <c r="AN9" s="5" t="s">
        <v>75</v>
      </c>
    </row>
    <row r="10" spans="1:40" x14ac:dyDescent="0.25">
      <c r="A10" s="2" t="s">
        <v>61</v>
      </c>
      <c r="B10" s="2" t="s">
        <v>117</v>
      </c>
      <c r="C10" s="3">
        <v>46167</v>
      </c>
      <c r="D10" s="4">
        <v>557132196</v>
      </c>
      <c r="E10" s="5" t="s">
        <v>118</v>
      </c>
      <c r="F10" s="6">
        <v>46136</v>
      </c>
      <c r="G10" s="5" t="s">
        <v>94</v>
      </c>
      <c r="H10" s="5" t="s">
        <v>94</v>
      </c>
      <c r="I10" s="5" t="s">
        <v>65</v>
      </c>
      <c r="J10" s="5" t="s">
        <v>66</v>
      </c>
      <c r="K10" s="3">
        <v>46265</v>
      </c>
      <c r="L10" s="12">
        <f ca="1">IF($O10="","",$O10-TODAY())</f>
        <v>-74</v>
      </c>
      <c r="M10" s="12">
        <f ca="1">IF(AND(TRIM($A10)="Finalized",$K10&lt;&gt;""),"",IF($C10="","",$C10+365-TODAY()))</f>
        <v>232</v>
      </c>
      <c r="N10" s="12">
        <f ca="1">IF(AND(TRIM($A10)="Finalized",$K10&lt;&gt;""),"",IF($C10="","",$C10+365-TODAY()))</f>
        <v>232</v>
      </c>
      <c r="O10" s="6">
        <f>IF(AND(TRIM($A10)="Finalized",$K10&lt;&gt;""),"",DATE(2026,7,23))</f>
        <v>46226</v>
      </c>
      <c r="P10" s="5" t="s">
        <v>87</v>
      </c>
      <c r="Q10" s="5" t="s">
        <v>96</v>
      </c>
      <c r="R10" s="5" t="s">
        <v>67</v>
      </c>
      <c r="S10" s="5" t="s">
        <v>69</v>
      </c>
      <c r="T10" s="5" t="s">
        <v>67</v>
      </c>
      <c r="U10" s="5" t="s">
        <v>69</v>
      </c>
      <c r="V10" s="5"/>
      <c r="W10" s="5"/>
      <c r="X10" s="5"/>
      <c r="Y10" s="5" t="s">
        <v>71</v>
      </c>
      <c r="Z10" s="7">
        <v>1372.91</v>
      </c>
      <c r="AA10" s="7">
        <v>0</v>
      </c>
      <c r="AB10" s="7">
        <v>0</v>
      </c>
      <c r="AC10" s="6">
        <v>46167</v>
      </c>
      <c r="AD10" s="7">
        <v>1372.91</v>
      </c>
      <c r="AE10" s="4">
        <v>106</v>
      </c>
      <c r="AF10" s="5" t="s">
        <v>101</v>
      </c>
      <c r="AG10" s="5"/>
      <c r="AH10" s="5"/>
      <c r="AI10" s="5"/>
      <c r="AJ10" s="4"/>
      <c r="AK10" s="5" t="s">
        <v>119</v>
      </c>
      <c r="AL10" s="5" t="s">
        <v>91</v>
      </c>
      <c r="AM10" s="6">
        <v>46153</v>
      </c>
      <c r="AN10" s="5" t="s">
        <v>75</v>
      </c>
    </row>
    <row r="11" spans="1:40" x14ac:dyDescent="0.25">
      <c r="A11" s="2" t="s">
        <v>61</v>
      </c>
      <c r="B11" s="2" t="s">
        <v>120</v>
      </c>
      <c r="C11" s="3">
        <v>46161</v>
      </c>
      <c r="D11" s="4">
        <v>555379100</v>
      </c>
      <c r="E11" s="5" t="s">
        <v>121</v>
      </c>
      <c r="F11" s="6">
        <v>46120</v>
      </c>
      <c r="G11" s="5" t="s">
        <v>122</v>
      </c>
      <c r="H11" s="5" t="s">
        <v>122</v>
      </c>
      <c r="I11" s="5" t="s">
        <v>65</v>
      </c>
      <c r="J11" s="5" t="s">
        <v>81</v>
      </c>
      <c r="K11" s="3">
        <v>46257</v>
      </c>
      <c r="L11" s="12">
        <f ca="1">IF($O11="","",$O11-TODAY())</f>
        <v>-60</v>
      </c>
      <c r="M11" s="12">
        <f ca="1">IF(AND(TRIM($A11)="Finalized",$K11&lt;&gt;""),"",IF($C11="","",$C11+365-TODAY()))</f>
        <v>226</v>
      </c>
      <c r="N11" s="12">
        <f ca="1">IF(AND(TRIM($A11)="Finalized",$K11&lt;&gt;""),"",IF($C11="","",$C11+90-TODAY()))</f>
        <v>-49</v>
      </c>
      <c r="O11" s="6">
        <f>IF(AND(TRIM($A11)="Finalized",$K11&lt;&gt;""),"",DATE(2026,8,6))</f>
        <v>46240</v>
      </c>
      <c r="P11" s="5" t="s">
        <v>70</v>
      </c>
      <c r="Q11" s="5" t="s">
        <v>123</v>
      </c>
      <c r="R11" s="5" t="s">
        <v>67</v>
      </c>
      <c r="S11" s="5" t="s">
        <v>69</v>
      </c>
      <c r="T11" s="5" t="s">
        <v>87</v>
      </c>
      <c r="U11" s="5" t="s">
        <v>69</v>
      </c>
      <c r="V11" s="5"/>
      <c r="W11" s="5"/>
      <c r="X11" s="5"/>
      <c r="Y11" s="5" t="s">
        <v>71</v>
      </c>
      <c r="Z11" s="7">
        <v>1426.25</v>
      </c>
      <c r="AA11" s="7">
        <v>0</v>
      </c>
      <c r="AB11" s="7">
        <v>0</v>
      </c>
      <c r="AC11" s="6"/>
      <c r="AD11" s="7">
        <v>1426.25</v>
      </c>
      <c r="AE11" s="4">
        <v>122</v>
      </c>
      <c r="AF11" s="5" t="s">
        <v>124</v>
      </c>
      <c r="AG11" s="5"/>
      <c r="AH11" s="5"/>
      <c r="AI11" s="5"/>
      <c r="AJ11" s="4"/>
      <c r="AK11" s="5" t="s">
        <v>106</v>
      </c>
      <c r="AL11" s="5" t="s">
        <v>91</v>
      </c>
      <c r="AM11" s="6">
        <v>46153</v>
      </c>
      <c r="AN11" s="5" t="s">
        <v>75</v>
      </c>
    </row>
    <row r="12" spans="1:40" x14ac:dyDescent="0.25">
      <c r="A12" s="2" t="s">
        <v>107</v>
      </c>
      <c r="B12" s="2" t="s">
        <v>108</v>
      </c>
      <c r="C12" s="3">
        <v>46157</v>
      </c>
      <c r="D12" s="4">
        <v>557054917</v>
      </c>
      <c r="E12" s="5" t="s">
        <v>109</v>
      </c>
      <c r="F12" s="6">
        <v>46135</v>
      </c>
      <c r="G12" s="5" t="s">
        <v>110</v>
      </c>
      <c r="H12" s="5" t="s">
        <v>111</v>
      </c>
      <c r="I12" s="5" t="s">
        <v>110</v>
      </c>
      <c r="J12" s="5" t="s">
        <v>112</v>
      </c>
      <c r="K12" s="3">
        <v>46265</v>
      </c>
      <c t="str" r="L12" s="12">
        <f ca="1">IF($O12="","",$O12-TODAY())</f>
        <v/>
      </c>
      <c t="str" r="M12" s="12">
        <f ca="1">IF(AND(TRIM($A12)="Finalized",$K12&lt;&gt;""),"",IF($F12="","",$F12+90-TODAY()))</f>
        <v/>
      </c>
      <c t="str" r="N12" s="12">
        <f ca="1">IF(AND(TRIM($A12)="Finalized",$K12&lt;&gt;""),"",IF($C12="","",$C12+540-TODAY()))</f>
        <v/>
      </c>
      <c t="str" r="O12" s="6">
        <f>IF(AND(TRIM($A12)="Finalized",$K12&lt;&gt;""),"",DATE(2026,7,22))</f>
        <v/>
      </c>
      <c r="P12" s="5" t="s">
        <v>87</v>
      </c>
      <c r="Q12" s="5" t="s">
        <v>113</v>
      </c>
      <c r="R12" s="5" t="s">
        <v>87</v>
      </c>
      <c r="S12" s="5" t="s">
        <v>114</v>
      </c>
      <c r="T12" s="5" t="s">
        <v>437</v>
      </c>
      <c r="U12" s="5" t="s">
        <v>69</v>
      </c>
      <c r="V12" s="5"/>
      <c r="W12" s="5"/>
      <c r="X12" s="5"/>
      <c r="Y12" s="5" t="s">
        <v>71</v>
      </c>
      <c r="Z12" s="7">
        <v>976.64</v>
      </c>
      <c r="AA12" s="7">
        <v>843.88</v>
      </c>
      <c r="AB12" s="7">
        <v>107.76</v>
      </c>
      <c r="AC12" s="6">
        <v>46157</v>
      </c>
      <c r="AD12" s="7">
        <v>25</v>
      </c>
      <c r="AE12" s="4">
        <v>107</v>
      </c>
      <c r="AF12" s="5" t="s">
        <v>101</v>
      </c>
      <c r="AG12" s="5"/>
      <c r="AH12" s="5"/>
      <c r="AI12" s="5"/>
      <c r="AJ12" s="4">
        <v>561534406</v>
      </c>
      <c r="AK12" s="5" t="s">
        <v>116</v>
      </c>
      <c r="AL12" s="5" t="s">
        <v>74</v>
      </c>
      <c r="AM12" s="6">
        <v>46153</v>
      </c>
      <c r="AN12" s="5" t="s">
        <v>75</v>
      </c>
    </row>
  </sheetData>
  <autoFilter ref="A1:AN12" xr:uid="{00000000-0009-0000-0000-000000000000}"/>
  <conditionalFormatting sqref="L2:O1000">
    <cfRule type="expression" dxfId="101" priority="1" stopIfTrue="1">
      <formula>AND(TRIM($A2)="Finalized",$K2&lt;&gt;"")</formula>
    </cfRule>
  </conditionalFormatting>
  <conditionalFormatting sqref="L2:L12">
    <cfRule type="expression" dxfId="99" priority="2">
      <formula>AND($L2&lt;&gt;"", $L2&gt;=0, $L2&lt;=5)</formula>
    </cfRule>
    <cfRule type="expression" dxfId="98" priority="3">
      <formula>AND($L2&lt;&gt;"", $L2&gt;5, $L2&lt;=30)</formula>
    </cfRule>
    <cfRule type="expression" dxfId="97" priority="4">
      <formula>AND($L2&lt;&gt;"", $L2&gt;30)</formula>
    </cfRule>
    <cfRule type="expression" dxfId="96" priority="5">
      <formula>AND($L2&lt;&gt;"", $L2&lt;0)</formula>
    </cfRule>
    <cfRule type="expression" dxfId="95" priority="6">
      <formula>$L2=""</formula>
    </cfRule>
  </conditionalFormatting>
  <conditionalFormatting sqref="M2:M12">
    <cfRule type="expression" dxfId="94" priority="7">
      <formula>AND($M2&lt;&gt;"", $M2&gt;=0, $M2&lt;=5)</formula>
    </cfRule>
    <cfRule type="expression" dxfId="93" priority="8">
      <formula>AND($M2&lt;&gt;"", $M2&gt;5, $M2&lt;=30)</formula>
    </cfRule>
    <cfRule type="expression" dxfId="92" priority="9">
      <formula>AND($M2&lt;&gt;"", $M2&gt;30)</formula>
    </cfRule>
    <cfRule type="expression" dxfId="91" priority="10">
      <formula>AND($M2&lt;&gt;"", $M2&lt;0)</formula>
    </cfRule>
    <cfRule type="expression" dxfId="90" priority="11">
      <formula>$M2=""</formula>
    </cfRule>
  </conditionalFormatting>
  <conditionalFormatting sqref="N2:N12">
    <cfRule type="expression" dxfId="89" priority="12">
      <formula>AND($N2&lt;&gt;"", $N2&gt;=0, $N2&lt;=5)</formula>
    </cfRule>
    <cfRule type="expression" dxfId="88" priority="13">
      <formula>AND($N2&lt;&gt;"", $N2&gt;5, $N2&lt;=30)</formula>
    </cfRule>
    <cfRule type="expression" dxfId="87" priority="14">
      <formula>AND($N2&lt;&gt;"", $N2&gt;30)</formula>
    </cfRule>
    <cfRule type="expression" dxfId="86" priority="15">
      <formula>AND($N2&lt;&gt;"", $N2&lt;0)</formula>
    </cfRule>
    <cfRule type="expression" dxfId="85" priority="16">
      <formula>$N2=""</formula>
    </cfRule>
  </conditionalFormatting>
  <conditionalFormatting sqref="O2:U12">
    <cfRule type="expression" dxfId="84" priority="17">
      <formula>AND($L2&lt;&gt;"", $L2&gt;=0, $L2&lt;=5)</formula>
    </cfRule>
    <cfRule type="expression" dxfId="83" priority="18">
      <formula>AND($L2&lt;&gt;"", $L2&gt;5, $L2&lt;=30)</formula>
    </cfRule>
    <cfRule type="expression" dxfId="82" priority="19">
      <formula>AND($L2&lt;&gt;"", $L2&gt;30)</formula>
    </cfRule>
    <cfRule type="expression" dxfId="81" priority="20">
      <formula>AND($L2&lt;&gt;"", $L2&lt;0)</formula>
    </cfRule>
    <cfRule type="expression" dxfId="80" priority="21">
      <formula>$L2=""</formula>
    </cfRule>
  </conditionalFormatting>
  <conditionalFormatting sqref="A2:AN1000">
    <cfRule type="expression" dxfId="100" priority="22">
      <formula>TRIM($A2)="PAID"</formula>
    </cfRule>
    <cfRule type="expression" dxfId="101" priority="23">
      <formula>TRIM($A2)="Finalized"</formula>
    </cfRule>
    <cfRule type="expression" dxfId="102" priority="24">
      <formula>TRIM($A2)="Received"</formula>
    </cfRule>
    <cfRule type="expression" dxfId="103" priority="25">
      <formula>TRIM($A2)="Pending"</formula>
    </cfRule>
    <cfRule type="expression" dxfId="104" priority="26">
      <formula>TRIM($A2)="Under Review"</formula>
    </cfRule>
    <cfRule type="expression" dxfId="105" priority="27">
      <formula>AND(TRIM($A2)="Denied",$K2="")</formula>
    </cfRule>
    <cfRule type="expression" dxfId="108" priority="30">
      <formula>AND(TRIM($A2)="Denied",$K2&lt;&gt;"")</formula>
    </cfRule>
    <cfRule type="expression" dxfId="106" priority="28">
      <formula>TRIM($A2)="Rejected"</formula>
    </cfRule>
    <cfRule type="expression" dxfId="107" priority="29">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32"/>
  <sheetViews>
    <sheetView tabSelected="1" zoomScale="90" workbookViewId="0">
      <pane xSplit="2" ySplit="1" topLeftCell="C2" activePane="bottomRight" state="frozen"/>
      <selection pane="topRight"/>
      <selection pane="bottomLeft"/>
      <selection pane="bottomRight" activeCell="A10" sqref="A10"/>
    </sheetView>
  </sheetViews>
  <sheetFormatPr defaultColWidth="9.140625"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8.28515625" customWidth="1"/>
    <col min="11" max="11" width="14" customWidth="1"/>
    <col min="12" max="12" width="12" customWidth="1"/>
    <col min="13" max="13" width="18.28515625" customWidth="1"/>
    <col min="14" max="14" width="17.710937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21</v>
      </c>
      <c r="B1" s="11" t="s">
        <v>22</v>
      </c>
      <c r="C1" s="11" t="s">
        <v>23</v>
      </c>
      <c r="D1" s="11" t="s">
        <v>24</v>
      </c>
      <c r="E1" s="11" t="s">
        <v>25</v>
      </c>
      <c r="F1" s="11" t="s">
        <v>26</v>
      </c>
      <c r="G1" s="11" t="s">
        <v>27</v>
      </c>
      <c r="H1" s="11" t="s">
        <v>28</v>
      </c>
      <c r="I1" s="11" t="s">
        <v>29</v>
      </c>
      <c r="J1" s="11" t="s">
        <v>30</v>
      </c>
      <c r="K1" s="11" t="s">
        <v>31</v>
      </c>
      <c r="L1" s="1" t="s">
        <v>32</v>
      </c>
      <c r="M1" s="1" t="s">
        <v>33</v>
      </c>
      <c r="N1" s="1" t="s">
        <v>34</v>
      </c>
      <c r="O1" s="11" t="s">
        <v>35</v>
      </c>
      <c r="P1" s="11" t="s">
        <v>36</v>
      </c>
      <c r="Q1" s="11" t="s">
        <v>37</v>
      </c>
      <c r="R1" s="11" t="s">
        <v>38</v>
      </c>
      <c r="S1" s="11" t="s">
        <v>39</v>
      </c>
      <c r="T1" s="11" t="s">
        <v>40</v>
      </c>
      <c r="U1" s="11" t="s">
        <v>41</v>
      </c>
      <c r="V1" s="11" t="s">
        <v>42</v>
      </c>
      <c r="W1" s="11" t="s">
        <v>43</v>
      </c>
      <c r="X1" s="11" t="s">
        <v>44</v>
      </c>
      <c r="Y1" s="11" t="s">
        <v>45</v>
      </c>
      <c r="Z1" s="11" t="s">
        <v>46</v>
      </c>
      <c r="AA1" s="11" t="s">
        <v>47</v>
      </c>
      <c r="AB1" s="11" t="s">
        <v>48</v>
      </c>
      <c r="AC1" s="11" t="s">
        <v>49</v>
      </c>
      <c r="AD1" s="11" t="s">
        <v>50</v>
      </c>
      <c r="AE1" s="11" t="s">
        <v>51</v>
      </c>
      <c r="AF1" s="11" t="s">
        <v>52</v>
      </c>
      <c r="AG1" s="11" t="s">
        <v>53</v>
      </c>
      <c r="AH1" s="11" t="s">
        <v>54</v>
      </c>
      <c r="AI1" s="11" t="s">
        <v>55</v>
      </c>
      <c r="AJ1" s="11" t="s">
        <v>56</v>
      </c>
      <c r="AK1" s="11" t="s">
        <v>57</v>
      </c>
      <c r="AL1" s="11" t="s">
        <v>58</v>
      </c>
      <c r="AM1" s="11" t="s">
        <v>59</v>
      </c>
      <c r="AN1" s="11" t="s">
        <v>60</v>
      </c>
    </row>
    <row r="2" spans="1:40" x14ac:dyDescent="0.25">
      <c r="A2" s="2" t="s">
        <v>426</v>
      </c>
      <c r="B2" s="2" t="s">
        <v>448</v>
      </c>
      <c r="C2" s="3">
        <v>46141</v>
      </c>
      <c r="D2" s="4">
        <v>556770603</v>
      </c>
      <c r="E2" s="5" t="s">
        <v>189</v>
      </c>
      <c r="F2" s="6">
        <v>46121</v>
      </c>
      <c r="G2" s="5" t="s">
        <v>184</v>
      </c>
      <c r="H2" s="5" t="s">
        <v>184</v>
      </c>
      <c r="I2" s="5" t="s">
        <v>65</v>
      </c>
      <c r="J2" s="5" t="s">
        <v>162</v>
      </c>
      <c r="K2" s="3"/>
      <c r="L2" s="12">
        <f ca="1">IF($O2="","",$O2-TODAY())</f>
        <v>-89</v>
      </c>
      <c r="M2" s="12">
        <f ca="1">IF(AND(TRIM($A2)="Finalized",$K2&lt;&gt;""),"",IF($C2="","",$C2+180-TODAY()))</f>
        <v>21</v>
      </c>
      <c r="N2" s="12">
        <f ca="1">IF(AND(TRIM($A2)="Finalized",$K2&lt;&gt;""),"",IF($C2="","",$C2+365-TODAY()))</f>
        <v>206</v>
      </c>
      <c r="O2" s="6">
        <f>IF(AND(TRIM($A2)="Finalized",$K2&lt;&gt;""),"",DATE(2026,7,8))</f>
        <v>46211</v>
      </c>
      <c r="P2" s="5" t="s">
        <v>87</v>
      </c>
      <c r="Q2" s="5" t="s">
        <v>186</v>
      </c>
      <c r="R2" s="5" t="s">
        <v>179</v>
      </c>
      <c r="S2" s="5" t="s">
        <v>69</v>
      </c>
      <c r="T2" s="5" t="s">
        <v>67</v>
      </c>
      <c r="U2" s="5" t="s">
        <v>69</v>
      </c>
      <c r="V2" s="5" t="s">
        <v>150</v>
      </c>
      <c r="W2" s="5"/>
      <c r="X2" s="5"/>
      <c r="Y2" s="5" t="s">
        <v>163</v>
      </c>
      <c r="Z2" s="7">
        <v>2958.2</v>
      </c>
      <c r="AA2" s="7">
        <v>0</v>
      </c>
      <c r="AB2" s="7">
        <v>0</v>
      </c>
      <c r="AC2" s="6">
        <v>46141</v>
      </c>
      <c r="AD2" s="7">
        <v>2958.2</v>
      </c>
      <c r="AE2" s="4">
        <v>121</v>
      </c>
      <c r="AF2" s="5" t="s">
        <v>134</v>
      </c>
      <c r="AG2" s="5" t="s">
        <v>190</v>
      </c>
      <c r="AH2" s="5"/>
      <c r="AI2" s="5"/>
      <c r="AJ2" s="4"/>
      <c r="AK2" s="5" t="s">
        <v>191</v>
      </c>
      <c r="AL2" s="5" t="s">
        <v>74</v>
      </c>
      <c r="AM2" s="6">
        <v>46133</v>
      </c>
      <c r="AN2" s="5" t="s">
        <v>137</v>
      </c>
    </row>
    <row r="3" spans="1:40" x14ac:dyDescent="0.25">
      <c r="A3" s="2" t="s">
        <v>426</v>
      </c>
      <c r="B3" s="2" t="s">
        <v>448</v>
      </c>
      <c r="C3" s="3">
        <v>46141</v>
      </c>
      <c r="D3" s="4">
        <v>556772233</v>
      </c>
      <c r="E3" s="5" t="s">
        <v>192</v>
      </c>
      <c r="F3" s="6">
        <v>46122</v>
      </c>
      <c r="G3" s="5" t="s">
        <v>184</v>
      </c>
      <c r="H3" s="5" t="s">
        <v>184</v>
      </c>
      <c r="I3" s="5" t="s">
        <v>173</v>
      </c>
      <c r="J3" s="5" t="s">
        <v>193</v>
      </c>
      <c r="K3" s="3"/>
      <c r="L3" s="12">
        <f ca="1">IF($O3="","",$O3-TODAY())</f>
        <v>-88</v>
      </c>
      <c r="M3" s="12">
        <f ca="1">IF(AND(TRIM($A3)="Finalized",$K3&lt;&gt;""),"",IF($C3="","",$C3+180-TODAY()))</f>
        <v>21</v>
      </c>
      <c r="N3" s="12">
        <f ca="1">IF(AND(TRIM($A3)="Finalized",$K3&lt;&gt;""),"",IF($C3="","",$C3+365-TODAY()))</f>
        <v>206</v>
      </c>
      <c r="O3" s="6">
        <f>IF(AND(TRIM($A3)="Finalized",$K3&lt;&gt;""),"",DATE(2026,7,9))</f>
        <v>46212</v>
      </c>
      <c r="P3" s="5" t="s">
        <v>87</v>
      </c>
      <c r="Q3" s="5" t="s">
        <v>186</v>
      </c>
      <c r="R3" s="5" t="s">
        <v>179</v>
      </c>
      <c r="S3" s="5" t="s">
        <v>69</v>
      </c>
      <c r="T3" s="5" t="s">
        <v>67</v>
      </c>
      <c r="U3" s="5" t="s">
        <v>69</v>
      </c>
      <c r="V3" s="5" t="s">
        <v>132</v>
      </c>
      <c r="W3" s="5"/>
      <c r="X3" s="5"/>
      <c r="Y3" s="5" t="s">
        <v>158</v>
      </c>
      <c r="Z3" s="7">
        <v>5916.4</v>
      </c>
      <c r="AA3" s="7">
        <v>0</v>
      </c>
      <c r="AB3" s="7">
        <v>0</v>
      </c>
      <c r="AC3" s="6">
        <v>46141</v>
      </c>
      <c r="AD3" s="7">
        <v>5916.4</v>
      </c>
      <c r="AE3" s="4">
        <v>120</v>
      </c>
      <c r="AF3" s="5" t="s">
        <v>134</v>
      </c>
      <c r="AG3" s="5"/>
      <c r="AH3" s="5"/>
      <c r="AI3" s="5"/>
      <c r="AJ3" s="4"/>
      <c r="AK3" s="5" t="s">
        <v>194</v>
      </c>
      <c r="AL3" s="5" t="s">
        <v>74</v>
      </c>
      <c r="AM3" s="6">
        <v>46133</v>
      </c>
      <c r="AN3" s="5" t="s">
        <v>137</v>
      </c>
    </row>
    <row r="4" spans="1:40" x14ac:dyDescent="0.25">
      <c r="A4" s="2" t="s">
        <v>426</v>
      </c>
      <c r="B4" s="2" t="s">
        <v>449</v>
      </c>
      <c r="C4" s="3">
        <v>46141</v>
      </c>
      <c r="D4" s="4">
        <v>556801807</v>
      </c>
      <c r="E4" s="5" t="s">
        <v>100</v>
      </c>
      <c r="F4" s="6">
        <v>46125</v>
      </c>
      <c r="G4" s="5" t="s">
        <v>86</v>
      </c>
      <c r="H4" s="5" t="s">
        <v>86</v>
      </c>
      <c r="I4" s="5" t="s">
        <v>65</v>
      </c>
      <c r="J4" s="5" t="s">
        <v>162</v>
      </c>
      <c r="K4" s="3"/>
      <c r="L4" s="12">
        <f ca="1">IF($O4="","",$O4-TODAY())</f>
        <v>-85</v>
      </c>
      <c r="M4" s="12">
        <f ca="1">IF(AND(TRIM($A4)="Finalized",$K4&lt;&gt;""),"",IF($F4="","",$F4+90-TODAY()))</f>
        <v>-85</v>
      </c>
      <c r="N4" s="12">
        <f ca="1">IF(AND(TRIM($A4)="Finalized",$K4&lt;&gt;""),"",IF($C4="","",$C4+365-TODAY()))</f>
        <v>206</v>
      </c>
      <c r="O4" s="6">
        <f>IF(AND(TRIM($A4)="Finalized",$K4&lt;&gt;""),"",DATE(2026,7,12))</f>
        <v>46215</v>
      </c>
      <c r="P4" s="5" t="s">
        <v>87</v>
      </c>
      <c r="Q4" s="5" t="s">
        <v>88</v>
      </c>
      <c r="R4" s="5" t="s">
        <v>87</v>
      </c>
      <c r="S4" s="5" t="s">
        <v>114</v>
      </c>
      <c r="T4" s="5" t="s">
        <v>67</v>
      </c>
      <c r="U4" s="5" t="s">
        <v>69</v>
      </c>
      <c r="V4" s="5" t="s">
        <v>150</v>
      </c>
      <c r="W4" s="5"/>
      <c r="X4" s="5"/>
      <c r="Y4" s="5" t="s">
        <v>163</v>
      </c>
      <c r="Z4" s="7">
        <v>2958.2</v>
      </c>
      <c r="AA4" s="7">
        <v>0</v>
      </c>
      <c r="AB4" s="7">
        <v>0</v>
      </c>
      <c r="AC4" s="6">
        <v>46141</v>
      </c>
      <c r="AD4" s="7">
        <v>2958.2</v>
      </c>
      <c r="AE4" s="4">
        <v>117</v>
      </c>
      <c r="AF4" s="5" t="s">
        <v>134</v>
      </c>
      <c r="AG4" s="5" t="s">
        <v>195</v>
      </c>
      <c r="AH4" s="5"/>
      <c r="AI4" s="5"/>
      <c r="AJ4" s="4"/>
      <c r="AK4" s="5" t="s">
        <v>82</v>
      </c>
      <c r="AL4" s="5" t="s">
        <v>196</v>
      </c>
      <c r="AM4" s="6">
        <v>46134</v>
      </c>
      <c r="AN4" s="5" t="s">
        <v>137</v>
      </c>
    </row>
    <row r="5" spans="1:40" x14ac:dyDescent="0.25">
      <c r="A5" s="2" t="s">
        <v>426</v>
      </c>
      <c r="B5" s="2" t="s">
        <v>448</v>
      </c>
      <c r="C5" s="3">
        <v>46143</v>
      </c>
      <c r="D5" s="4">
        <v>565388312</v>
      </c>
      <c r="E5" s="5" t="s">
        <v>183</v>
      </c>
      <c r="F5" s="6">
        <v>46128</v>
      </c>
      <c r="G5" s="5" t="s">
        <v>184</v>
      </c>
      <c r="H5" s="5" t="s">
        <v>184</v>
      </c>
      <c r="I5" s="5" t="s">
        <v>65</v>
      </c>
      <c r="J5" s="5" t="s">
        <v>157</v>
      </c>
      <c r="K5" s="3"/>
      <c r="L5" s="12">
        <f ca="1">IF($O5="","",$O5-TODAY())</f>
        <v>-82</v>
      </c>
      <c r="M5" s="12">
        <f ca="1">IF(AND(TRIM($A5)="Finalized",$K5&lt;&gt;""),"",IF($C5="","",$C5+180-TODAY()))</f>
        <v>23</v>
      </c>
      <c r="N5" s="12">
        <f ca="1">IF(AND(TRIM($A5)="Finalized",$K5&lt;&gt;""),"",IF($C5="","",$C5+365-TODAY()))</f>
        <v>208</v>
      </c>
      <c r="O5" s="6">
        <f>IF(AND(TRIM($A5)="Finalized",$K5&lt;&gt;""),"",DATE(2026,7,15))</f>
        <v>46218</v>
      </c>
      <c r="P5" s="5" t="s">
        <v>87</v>
      </c>
      <c r="Q5" s="5" t="s">
        <v>186</v>
      </c>
      <c r="R5" s="5" t="s">
        <v>179</v>
      </c>
      <c r="S5" s="5" t="s">
        <v>69</v>
      </c>
      <c r="T5" s="5" t="s">
        <v>67</v>
      </c>
      <c r="U5" s="5" t="s">
        <v>69</v>
      </c>
      <c r="V5" s="5" t="s">
        <v>150</v>
      </c>
      <c r="W5" s="5"/>
      <c r="X5" s="5"/>
      <c r="Y5" s="5" t="s">
        <v>158</v>
      </c>
      <c r="Z5" s="7">
        <v>5916.4</v>
      </c>
      <c r="AA5" s="7">
        <v>0</v>
      </c>
      <c r="AB5" s="7">
        <v>0</v>
      </c>
      <c r="AC5" s="6">
        <v>46143</v>
      </c>
      <c r="AD5" s="7">
        <v>5916.4</v>
      </c>
      <c r="AE5" s="4">
        <v>114</v>
      </c>
      <c r="AF5" s="5" t="s">
        <v>134</v>
      </c>
      <c r="AG5" s="5" t="s">
        <v>168</v>
      </c>
      <c r="AH5" s="5"/>
      <c r="AI5" s="5"/>
      <c r="AJ5" s="4"/>
      <c r="AK5" s="5" t="s">
        <v>203</v>
      </c>
      <c r="AL5" s="5" t="s">
        <v>74</v>
      </c>
      <c r="AM5" s="6">
        <v>46134</v>
      </c>
      <c r="AN5" s="5" t="s">
        <v>137</v>
      </c>
    </row>
    <row r="6" spans="1:40" x14ac:dyDescent="0.25">
      <c r="A6" s="2" t="s">
        <v>426</v>
      </c>
      <c r="B6" s="2" t="s">
        <v>448</v>
      </c>
      <c r="C6" s="3">
        <v>46141</v>
      </c>
      <c r="D6" s="4">
        <v>556833981</v>
      </c>
      <c r="E6" s="5" t="s">
        <v>204</v>
      </c>
      <c r="F6" s="6">
        <v>46132</v>
      </c>
      <c r="G6" s="5" t="s">
        <v>184</v>
      </c>
      <c r="H6" s="5" t="s">
        <v>184</v>
      </c>
      <c r="I6" s="5" t="s">
        <v>65</v>
      </c>
      <c r="J6" s="5" t="s">
        <v>162</v>
      </c>
      <c r="K6" s="3"/>
      <c r="L6" s="12">
        <f ca="1">IF($O6="","",$O6-TODAY())</f>
        <v>-78</v>
      </c>
      <c r="M6" s="12">
        <f ca="1">IF(AND(TRIM($A6)="Finalized",$K6&lt;&gt;""),"",IF($C6="","",$C6+180-TODAY()))</f>
        <v>21</v>
      </c>
      <c r="N6" s="12">
        <f ca="1">IF(AND(TRIM($A6)="Finalized",$K6&lt;&gt;""),"",IF($C6="","",$C6+365-TODAY()))</f>
        <v>206</v>
      </c>
      <c r="O6" s="6">
        <f>IF(AND(TRIM($A6)="Finalized",$K6&lt;&gt;""),"",DATE(2026,7,19))</f>
        <v>46222</v>
      </c>
      <c r="P6" s="5" t="s">
        <v>87</v>
      </c>
      <c r="Q6" s="5" t="s">
        <v>186</v>
      </c>
      <c r="R6" s="5" t="s">
        <v>179</v>
      </c>
      <c r="S6" s="5" t="s">
        <v>69</v>
      </c>
      <c r="T6" s="5" t="s">
        <v>67</v>
      </c>
      <c r="U6" s="5" t="s">
        <v>69</v>
      </c>
      <c r="V6" s="5" t="s">
        <v>150</v>
      </c>
      <c r="W6" s="5"/>
      <c r="X6" s="5"/>
      <c r="Y6" s="5" t="s">
        <v>163</v>
      </c>
      <c r="Z6" s="7">
        <v>2958.2</v>
      </c>
      <c r="AA6" s="7">
        <v>0</v>
      </c>
      <c r="AB6" s="7">
        <v>0</v>
      </c>
      <c r="AC6" s="6">
        <v>46141</v>
      </c>
      <c r="AD6" s="7">
        <v>2958.2</v>
      </c>
      <c r="AE6" s="4">
        <v>110</v>
      </c>
      <c r="AF6" s="5" t="s">
        <v>134</v>
      </c>
      <c r="AG6" s="5" t="s">
        <v>205</v>
      </c>
      <c r="AH6" s="5"/>
      <c r="AI6" s="5"/>
      <c r="AJ6" s="4"/>
      <c r="AK6" s="5" t="s">
        <v>194</v>
      </c>
      <c r="AL6" s="5" t="s">
        <v>74</v>
      </c>
      <c r="AM6" s="6">
        <v>46134</v>
      </c>
      <c r="AN6" s="5" t="s">
        <v>137</v>
      </c>
    </row>
    <row r="7" spans="1:40" x14ac:dyDescent="0.25">
      <c r="A7" s="2" t="s">
        <v>426</v>
      </c>
      <c r="B7" s="2" t="s">
        <v>448</v>
      </c>
      <c r="C7" s="3">
        <v>46162</v>
      </c>
      <c r="D7" s="4">
        <v>558739471</v>
      </c>
      <c r="E7" s="5" t="s">
        <v>219</v>
      </c>
      <c r="F7" s="6">
        <v>46142</v>
      </c>
      <c r="G7" s="5" t="s">
        <v>184</v>
      </c>
      <c r="H7" s="5" t="s">
        <v>184</v>
      </c>
      <c r="I7" s="5" t="s">
        <v>184</v>
      </c>
      <c r="J7" s="5" t="s">
        <v>162</v>
      </c>
      <c r="K7" s="3"/>
      <c r="L7" s="12">
        <f ca="1">IF($O7="","",$O7-TODAY())</f>
        <v>-68</v>
      </c>
      <c r="M7" s="12">
        <f ca="1">IF(AND(TRIM($A7)="Finalized",$K7&lt;&gt;""),"",IF($C7="","",$C7+180-TODAY()))</f>
        <v>42</v>
      </c>
      <c r="N7" s="12">
        <f ca="1">IF(AND(TRIM($A7)="Finalized",$K7&lt;&gt;""),"",IF($C7="","",$C7+365-TODAY()))</f>
        <v>227</v>
      </c>
      <c r="O7" s="6">
        <f>IF(AND(TRIM($A7)="Finalized",$K7&lt;&gt;""),"",DATE(2026,7,29))</f>
        <v>46232</v>
      </c>
      <c r="P7" s="5" t="s">
        <v>87</v>
      </c>
      <c r="Q7" s="5" t="s">
        <v>186</v>
      </c>
      <c r="R7" s="5" t="s">
        <v>179</v>
      </c>
      <c r="S7" s="5" t="s">
        <v>69</v>
      </c>
      <c r="T7" s="5" t="s">
        <v>67</v>
      </c>
      <c r="U7" s="5" t="s">
        <v>69</v>
      </c>
      <c r="V7" s="5" t="s">
        <v>150</v>
      </c>
      <c r="W7" s="5"/>
      <c r="X7" s="5"/>
      <c r="Y7" s="5" t="s">
        <v>163</v>
      </c>
      <c r="Z7" s="7">
        <v>2958.2</v>
      </c>
      <c r="AA7" s="7">
        <v>0</v>
      </c>
      <c r="AB7" s="7">
        <v>0</v>
      </c>
      <c r="AC7" s="6">
        <v>46162</v>
      </c>
      <c r="AD7" s="7">
        <v>2958.2</v>
      </c>
      <c r="AE7" s="4">
        <v>100</v>
      </c>
      <c r="AF7" s="5" t="s">
        <v>134</v>
      </c>
      <c r="AG7" s="5" t="s">
        <v>168</v>
      </c>
      <c r="AH7" s="5"/>
      <c r="AI7" s="5"/>
      <c r="AJ7" s="4"/>
      <c r="AK7" s="5" t="s">
        <v>203</v>
      </c>
      <c r="AL7" s="5" t="s">
        <v>74</v>
      </c>
      <c r="AM7" s="6">
        <v>46153</v>
      </c>
      <c r="AN7" s="5" t="s">
        <v>137</v>
      </c>
    </row>
    <row r="8" spans="1:40" x14ac:dyDescent="0.25">
      <c r="A8" s="2" t="s">
        <v>426</v>
      </c>
      <c r="B8" s="2" t="s">
        <v>455</v>
      </c>
      <c r="C8" s="3">
        <v>46162</v>
      </c>
      <c r="D8" s="4">
        <v>562340666</v>
      </c>
      <c r="E8" s="5" t="s">
        <v>85</v>
      </c>
      <c r="F8" s="6">
        <v>46142</v>
      </c>
      <c r="G8" s="5" t="s">
        <v>86</v>
      </c>
      <c r="H8" s="5" t="s">
        <v>86</v>
      </c>
      <c r="I8" s="5" t="s">
        <v>139</v>
      </c>
      <c r="J8" s="5" t="s">
        <v>157</v>
      </c>
      <c r="K8" s="3"/>
      <c r="L8" s="12">
        <f ca="1">IF($O8="","",$O8-TODAY())</f>
        <v>-68</v>
      </c>
      <c r="M8" s="12">
        <f ca="1">IF(AND(TRIM($A8)="Finalized",$K8&lt;&gt;""),"",IF($F8="","",$F8+90-TODAY()))</f>
        <v>-68</v>
      </c>
      <c r="N8" s="12">
        <f ca="1">IF(AND(TRIM($A8)="Finalized",$K8&lt;&gt;""),"",IF($C8="","",$C8+365-TODAY()))</f>
        <v>227</v>
      </c>
      <c r="O8" s="6">
        <f>IF(AND(TRIM($A8)="Finalized",$K8&lt;&gt;""),"",DATE(2026,7,29))</f>
        <v>46232</v>
      </c>
      <c r="P8" s="5" t="s">
        <v>87</v>
      </c>
      <c r="Q8" s="5" t="s">
        <v>88</v>
      </c>
      <c r="R8" s="5" t="s">
        <v>87</v>
      </c>
      <c r="S8" s="5" t="s">
        <v>114</v>
      </c>
      <c r="T8" s="5" t="s">
        <v>67</v>
      </c>
      <c r="U8" s="5" t="s">
        <v>69</v>
      </c>
      <c r="V8" s="5" t="s">
        <v>150</v>
      </c>
      <c r="W8" s="5"/>
      <c r="X8" s="5"/>
      <c r="Y8" s="5" t="s">
        <v>158</v>
      </c>
      <c r="Z8" s="7">
        <v>5916.4</v>
      </c>
      <c r="AA8" s="7">
        <v>0</v>
      </c>
      <c r="AB8" s="7">
        <v>0</v>
      </c>
      <c r="AC8" s="6">
        <v>46162</v>
      </c>
      <c r="AD8" s="7">
        <v>5916.4</v>
      </c>
      <c r="AE8" s="4">
        <v>100</v>
      </c>
      <c r="AF8" s="5" t="s">
        <v>134</v>
      </c>
      <c r="AG8" s="5" t="s">
        <v>220</v>
      </c>
      <c r="AH8" s="5" t="s">
        <v>221</v>
      </c>
      <c r="AI8" s="5"/>
      <c r="AJ8" s="4"/>
      <c r="AK8" s="5" t="s">
        <v>188</v>
      </c>
      <c r="AL8" s="5" t="s">
        <v>91</v>
      </c>
      <c r="AM8" s="6">
        <v>46153</v>
      </c>
      <c r="AN8" s="5" t="s">
        <v>137</v>
      </c>
    </row>
    <row r="9" spans="1:40" x14ac:dyDescent="0.25">
      <c r="A9" s="2" t="s">
        <v>426</v>
      </c>
      <c r="B9" s="2" t="s">
        <v>427</v>
      </c>
      <c r="C9" s="3"/>
      <c r="D9" s="4">
        <v>557846752</v>
      </c>
      <c r="E9" s="5" t="s">
        <v>225</v>
      </c>
      <c r="F9" s="6">
        <v>46133</v>
      </c>
      <c r="G9" s="5" t="s">
        <v>126</v>
      </c>
      <c r="H9" s="5" t="s">
        <v>126</v>
      </c>
      <c r="I9" s="5" t="s">
        <v>65</v>
      </c>
      <c r="J9" s="5" t="s">
        <v>226</v>
      </c>
      <c r="K9" s="3"/>
      <c r="L9" s="12" t="str">
        <f ca="1">IF($O9="","",$O9-TODAY())</f>
        <v/>
      </c>
      <c r="M9" s="12"/>
      <c r="N9" s="12"/>
      <c r="O9" s="6"/>
      <c r="P9" s="5"/>
      <c r="Q9" s="5" t="s">
        <v>127</v>
      </c>
      <c r="R9" s="5"/>
      <c r="S9" s="5"/>
      <c r="T9" s="5"/>
      <c r="U9" s="5"/>
      <c r="V9" s="5" t="s">
        <v>141</v>
      </c>
      <c r="W9" s="5"/>
      <c r="X9" s="5"/>
      <c r="Y9" s="5" t="s">
        <v>71</v>
      </c>
      <c r="Z9" s="7">
        <v>5320.49</v>
      </c>
      <c r="AA9" s="7">
        <v>0</v>
      </c>
      <c r="AB9" s="7">
        <v>0</v>
      </c>
      <c r="AC9" s="6"/>
      <c r="AD9" s="7">
        <v>5320.49</v>
      </c>
      <c r="AE9" s="4">
        <v>109</v>
      </c>
      <c r="AF9" s="5" t="s">
        <v>227</v>
      </c>
      <c r="AG9" s="5" t="s">
        <v>228</v>
      </c>
      <c r="AH9" s="5" t="s">
        <v>134</v>
      </c>
      <c r="AI9" s="5"/>
      <c r="AJ9" s="4"/>
      <c r="AK9" s="5" t="s">
        <v>229</v>
      </c>
      <c r="AL9" s="5" t="s">
        <v>91</v>
      </c>
      <c r="AM9" s="6">
        <v>46153</v>
      </c>
      <c r="AN9" s="5" t="s">
        <v>137</v>
      </c>
    </row>
    <row r="10" spans="1:40" x14ac:dyDescent="0.25">
      <c r="A10" s="2" t="s">
        <v>426</v>
      </c>
      <c r="B10" s="2" t="s">
        <v>427</v>
      </c>
      <c r="C10" s="3"/>
      <c r="D10" s="4">
        <v>562031529</v>
      </c>
      <c r="E10" s="5" t="s">
        <v>230</v>
      </c>
      <c r="F10" s="6">
        <v>46133</v>
      </c>
      <c r="G10" s="5" t="s">
        <v>126</v>
      </c>
      <c r="H10" s="5" t="s">
        <v>126</v>
      </c>
      <c r="I10" s="5" t="s">
        <v>65</v>
      </c>
      <c r="J10" s="5" t="s">
        <v>153</v>
      </c>
      <c r="K10" s="3"/>
      <c r="L10" s="12" t="str">
        <f ca="1">IF($O10="","",$O10-TODAY())</f>
        <v/>
      </c>
      <c r="M10" s="12"/>
      <c r="N10" s="12"/>
      <c r="O10" s="6"/>
      <c r="P10" s="5"/>
      <c r="Q10" s="5" t="s">
        <v>127</v>
      </c>
      <c r="R10" s="5"/>
      <c r="S10" s="5"/>
      <c r="T10" s="5"/>
      <c r="U10" s="5"/>
      <c r="V10" s="5" t="s">
        <v>141</v>
      </c>
      <c r="W10" s="5"/>
      <c r="X10" s="5"/>
      <c r="Y10" s="5" t="s">
        <v>71</v>
      </c>
      <c r="Z10" s="7">
        <v>6392.96</v>
      </c>
      <c r="AA10" s="7">
        <v>0</v>
      </c>
      <c r="AB10" s="7">
        <v>0</v>
      </c>
      <c r="AC10" s="6"/>
      <c r="AD10" s="7">
        <v>6392.96</v>
      </c>
      <c r="AE10" s="4">
        <v>109</v>
      </c>
      <c r="AF10" s="5" t="s">
        <v>165</v>
      </c>
      <c r="AG10" s="5"/>
      <c r="AH10" s="5"/>
      <c r="AI10" s="5"/>
      <c r="AJ10" s="4"/>
      <c r="AK10" s="5" t="s">
        <v>231</v>
      </c>
      <c r="AL10" s="5" t="s">
        <v>232</v>
      </c>
      <c r="AM10" s="6">
        <v>46140</v>
      </c>
      <c r="AN10" s="5" t="s">
        <v>137</v>
      </c>
    </row>
    <row r="11" spans="1:40" x14ac:dyDescent="0.25">
      <c r="A11" s="2" t="s">
        <v>61</v>
      </c>
      <c r="B11" s="2" t="s">
        <v>420</v>
      </c>
      <c r="C11" s="3">
        <v>46127</v>
      </c>
      <c r="D11" s="4">
        <v>555436823</v>
      </c>
      <c r="E11" s="5" t="s">
        <v>138</v>
      </c>
      <c r="F11" s="6">
        <v>46114</v>
      </c>
      <c r="G11" s="5" t="s">
        <v>139</v>
      </c>
      <c r="H11" s="5" t="s">
        <v>139</v>
      </c>
      <c r="I11" s="5" t="s">
        <v>86</v>
      </c>
      <c r="J11" s="5" t="s">
        <v>140</v>
      </c>
      <c r="K11" s="3">
        <v>46283</v>
      </c>
      <c r="L11" s="12">
        <f ca="1">IF($O11="","",$O11-TODAY())</f>
        <v>179</v>
      </c>
      <c r="M11" s="12">
        <f ca="1">IF(AND(TRIM($A11)="Finalized",$K11&lt;&gt;""),"",IF($C11="","",$C11+365-TODAY()))</f>
        <v>192</v>
      </c>
      <c r="N11" s="12">
        <f ca="1">IF(AND(TRIM($A11)="Finalized",$K11&lt;&gt;""),"",IF($C11="","",$C11+120-TODAY()))</f>
        <v>-53</v>
      </c>
      <c r="O11" s="6">
        <f>IF(AND(TRIM($A11)="Finalized",$K11&lt;&gt;""),"",DATE(2027,4,2))</f>
        <v>46479</v>
      </c>
      <c r="P11" s="5" t="s">
        <v>67</v>
      </c>
      <c r="Q11" s="5" t="s">
        <v>68</v>
      </c>
      <c r="R11" s="5" t="s">
        <v>67</v>
      </c>
      <c r="S11" s="5" t="s">
        <v>69</v>
      </c>
      <c r="T11" s="5" t="s">
        <v>70</v>
      </c>
      <c r="U11" s="5" t="s">
        <v>69</v>
      </c>
      <c r="V11" s="5" t="s">
        <v>141</v>
      </c>
      <c r="W11" s="5" t="s">
        <v>142</v>
      </c>
      <c r="X11" s="5"/>
      <c r="Y11" s="5" t="s">
        <v>71</v>
      </c>
      <c r="Z11" s="7">
        <v>4520.1099999999997</v>
      </c>
      <c r="AA11" s="7">
        <v>0</v>
      </c>
      <c r="AB11" s="7">
        <v>0</v>
      </c>
      <c r="AC11" s="6">
        <v>46127</v>
      </c>
      <c r="AD11" s="7">
        <v>4520.1099999999997</v>
      </c>
      <c r="AE11" s="4">
        <v>128</v>
      </c>
      <c r="AF11" s="5" t="s">
        <v>143</v>
      </c>
      <c r="AG11" s="5" t="s">
        <v>144</v>
      </c>
      <c r="AH11" s="5"/>
      <c r="AI11" s="5"/>
      <c r="AJ11" s="4"/>
      <c r="AK11" s="5" t="s">
        <v>145</v>
      </c>
      <c r="AL11" s="5" t="s">
        <v>146</v>
      </c>
      <c r="AM11" s="6">
        <v>46121</v>
      </c>
      <c r="AN11" s="5" t="s">
        <v>137</v>
      </c>
    </row>
    <row r="12" spans="1:40" x14ac:dyDescent="0.25">
      <c r="A12" s="2" t="s">
        <v>61</v>
      </c>
      <c r="B12" s="2" t="s">
        <v>459</v>
      </c>
      <c r="C12" s="3">
        <v>46247</v>
      </c>
      <c r="D12" s="4">
        <v>556799664</v>
      </c>
      <c r="E12" s="5" t="s">
        <v>156</v>
      </c>
      <c r="F12" s="6">
        <v>46125</v>
      </c>
      <c r="G12" s="5" t="s">
        <v>139</v>
      </c>
      <c r="H12" s="5" t="s">
        <v>139</v>
      </c>
      <c r="I12" s="5" t="s">
        <v>86</v>
      </c>
      <c r="J12" s="5" t="s">
        <v>157</v>
      </c>
      <c r="K12" s="3">
        <v>46300</v>
      </c>
      <c r="L12" s="12">
        <f ca="1">IF($O12="","",$O12-TODAY())</f>
        <v>190</v>
      </c>
      <c r="M12" s="12">
        <f ca="1">IF(AND(TRIM($A12)="Finalized",$K12&lt;&gt;""),"",IF($C12="","",$C12+365-TODAY()))</f>
        <v>312</v>
      </c>
      <c r="N12" s="12">
        <f ca="1">IF(AND(TRIM($A12)="Finalized",$K12&lt;&gt;""),"",IF($C12="","",$C12+120-TODAY()))</f>
        <v>67</v>
      </c>
      <c r="O12" s="6">
        <f>IF(AND(TRIM($A12)="Finalized",$K12&lt;&gt;""),"",DATE(2027,4,13))</f>
        <v>46490</v>
      </c>
      <c r="P12" s="5" t="s">
        <v>67</v>
      </c>
      <c r="Q12" s="5" t="s">
        <v>68</v>
      </c>
      <c r="R12" s="5" t="s">
        <v>67</v>
      </c>
      <c r="S12" s="5" t="s">
        <v>69</v>
      </c>
      <c r="T12" s="5" t="s">
        <v>70</v>
      </c>
      <c r="U12" s="5" t="s">
        <v>69</v>
      </c>
      <c r="V12" s="5" t="s">
        <v>150</v>
      </c>
      <c r="W12" s="5"/>
      <c r="X12" s="5"/>
      <c r="Y12" s="5" t="s">
        <v>158</v>
      </c>
      <c r="Z12" s="7">
        <v>5916.4</v>
      </c>
      <c r="AA12" s="7">
        <v>0</v>
      </c>
      <c r="AB12" s="7">
        <v>0</v>
      </c>
      <c r="AC12" s="6"/>
      <c r="AD12" s="7">
        <v>5916.4</v>
      </c>
      <c r="AE12" s="4">
        <v>117</v>
      </c>
      <c r="AF12" s="5" t="s">
        <v>134</v>
      </c>
      <c r="AG12" s="5" t="s">
        <v>159</v>
      </c>
      <c r="AH12" s="5"/>
      <c r="AI12" s="5"/>
      <c r="AJ12" s="4"/>
      <c r="AK12" s="5" t="s">
        <v>151</v>
      </c>
      <c r="AL12" s="5" t="s">
        <v>146</v>
      </c>
      <c r="AM12" s="6">
        <v>46134</v>
      </c>
      <c r="AN12" s="5" t="s">
        <v>137</v>
      </c>
    </row>
    <row r="13" spans="1:40" x14ac:dyDescent="0.25">
      <c r="A13" s="2" t="s">
        <v>76</v>
      </c>
      <c r="B13" s="2" t="s">
        <v>423</v>
      </c>
      <c r="C13" s="3">
        <v>46151</v>
      </c>
      <c r="D13" s="4">
        <v>556803684</v>
      </c>
      <c r="E13" s="5" t="s">
        <v>160</v>
      </c>
      <c r="F13" s="6">
        <v>46125</v>
      </c>
      <c r="G13" s="5" t="s">
        <v>139</v>
      </c>
      <c r="H13" s="5" t="s">
        <v>139</v>
      </c>
      <c r="I13" s="5" t="s">
        <v>161</v>
      </c>
      <c r="J13" s="5" t="s">
        <v>162</v>
      </c>
      <c r="K13" s="3">
        <v>46261</v>
      </c>
      <c r="L13" s="12">
        <f ca="1">IF($O13="","",$O13-TODAY())</f>
        <v>190</v>
      </c>
      <c r="M13" s="12">
        <f ca="1">IF(AND(TRIM($A13)="Finalized",$K13&lt;&gt;""),"",IF($C13="","",$C13+365-TODAY()))</f>
        <v>216</v>
      </c>
      <c r="N13" s="12">
        <f ca="1">IF(AND(TRIM($A13)="Finalized",$K13&lt;&gt;""),"",IF($C13="","",$C13+120-TODAY()))</f>
        <v>-29</v>
      </c>
      <c r="O13" s="6">
        <f>IF(AND(TRIM($A13)="Finalized",$K13&lt;&gt;""),"",DATE(2027,4,13))</f>
        <v>46490</v>
      </c>
      <c r="P13" s="5" t="s">
        <v>67</v>
      </c>
      <c r="Q13" s="5" t="s">
        <v>68</v>
      </c>
      <c r="R13" s="5" t="s">
        <v>67</v>
      </c>
      <c r="S13" s="5" t="s">
        <v>69</v>
      </c>
      <c r="T13" s="5" t="s">
        <v>70</v>
      </c>
      <c r="U13" s="5" t="s">
        <v>69</v>
      </c>
      <c r="V13" s="5" t="s">
        <v>150</v>
      </c>
      <c r="W13" s="5"/>
      <c r="X13" s="5"/>
      <c r="Y13" s="5" t="s">
        <v>163</v>
      </c>
      <c r="Z13" s="7">
        <v>2958.2</v>
      </c>
      <c r="AA13" s="7">
        <v>0</v>
      </c>
      <c r="AB13" s="7">
        <v>0</v>
      </c>
      <c r="AC13" s="6">
        <v>46151</v>
      </c>
      <c r="AD13" s="7">
        <v>2958.2</v>
      </c>
      <c r="AE13" s="4">
        <v>117</v>
      </c>
      <c r="AF13" s="5" t="s">
        <v>134</v>
      </c>
      <c r="AG13" s="5" t="s">
        <v>159</v>
      </c>
      <c r="AH13" s="5"/>
      <c r="AI13" s="5"/>
      <c r="AJ13" s="4"/>
      <c r="AK13" s="5" t="s">
        <v>151</v>
      </c>
      <c r="AL13" s="5" t="s">
        <v>146</v>
      </c>
      <c r="AM13" s="6">
        <v>46134</v>
      </c>
      <c r="AN13" s="5" t="s">
        <v>137</v>
      </c>
    </row>
    <row r="14" spans="1:40" x14ac:dyDescent="0.25">
      <c r="A14" s="2" t="s">
        <v>61</v>
      </c>
      <c r="B14" s="2" t="s">
        <v>424</v>
      </c>
      <c r="C14" s="3">
        <v>46281</v>
      </c>
      <c r="D14" s="4">
        <v>556808178</v>
      </c>
      <c r="E14" s="5" t="s">
        <v>166</v>
      </c>
      <c r="F14" s="6">
        <v>46132</v>
      </c>
      <c r="G14" s="5" t="s">
        <v>139</v>
      </c>
      <c r="H14" s="5" t="s">
        <v>139</v>
      </c>
      <c r="I14" s="5" t="s">
        <v>86</v>
      </c>
      <c r="J14" s="5" t="s">
        <v>167</v>
      </c>
      <c r="K14" s="3">
        <v>46283</v>
      </c>
      <c r="L14" s="12">
        <f ca="1">IF($O14="","",$O14-TODAY())</f>
        <v>197</v>
      </c>
      <c r="M14" s="12">
        <f ca="1">IF(AND(TRIM($A14)="Finalized",$K14&lt;&gt;""),"",IF($C14="","",$C14+365-TODAY()))</f>
        <v>346</v>
      </c>
      <c r="N14" s="12">
        <f ca="1">IF(AND(TRIM($A14)="Finalized",$K14&lt;&gt;""),"",IF($C14="","",$C14+120-TODAY()))</f>
        <v>101</v>
      </c>
      <c r="O14" s="6">
        <f>IF(AND(TRIM($A14)="Finalized",$K14&lt;&gt;""),"",DATE(2027,4,20))</f>
        <v>46497</v>
      </c>
      <c r="P14" s="5" t="s">
        <v>67</v>
      </c>
      <c r="Q14" s="5" t="s">
        <v>68</v>
      </c>
      <c r="R14" s="5" t="s">
        <v>67</v>
      </c>
      <c r="S14" s="5" t="s">
        <v>69</v>
      </c>
      <c r="T14" s="5" t="s">
        <v>70</v>
      </c>
      <c r="U14" s="5" t="s">
        <v>69</v>
      </c>
      <c r="V14" s="5" t="s">
        <v>132</v>
      </c>
      <c r="W14" s="5"/>
      <c r="X14" s="5"/>
      <c r="Y14" s="5" t="s">
        <v>158</v>
      </c>
      <c r="Z14" s="7">
        <v>36353.800000000003</v>
      </c>
      <c r="AA14" s="7">
        <v>0</v>
      </c>
      <c r="AB14" s="7">
        <v>0</v>
      </c>
      <c r="AC14" s="6"/>
      <c r="AD14" s="7">
        <v>36353.800000000003</v>
      </c>
      <c r="AE14" s="4">
        <v>110</v>
      </c>
      <c r="AF14" s="5" t="s">
        <v>134</v>
      </c>
      <c r="AG14" s="5" t="s">
        <v>168</v>
      </c>
      <c r="AH14" s="5"/>
      <c r="AI14" s="5"/>
      <c r="AJ14" s="4"/>
      <c r="AK14" s="5" t="s">
        <v>151</v>
      </c>
      <c r="AL14" s="5" t="s">
        <v>146</v>
      </c>
      <c r="AM14" s="6">
        <v>46134</v>
      </c>
      <c r="AN14" s="5" t="s">
        <v>137</v>
      </c>
    </row>
    <row r="15" spans="1:40" x14ac:dyDescent="0.25">
      <c r="A15" s="2" t="s">
        <v>61</v>
      </c>
      <c r="B15" s="2" t="s">
        <v>425</v>
      </c>
      <c r="C15" s="3">
        <v>46199</v>
      </c>
      <c r="D15" s="4">
        <v>556834981</v>
      </c>
      <c r="E15" s="5" t="s">
        <v>169</v>
      </c>
      <c r="F15" s="6">
        <v>46132</v>
      </c>
      <c r="G15" s="5" t="s">
        <v>139</v>
      </c>
      <c r="H15" s="5" t="s">
        <v>139</v>
      </c>
      <c r="I15" s="5" t="s">
        <v>170</v>
      </c>
      <c r="J15" s="5" t="s">
        <v>171</v>
      </c>
      <c r="K15" s="3">
        <v>46283</v>
      </c>
      <c r="L15" s="12">
        <f ca="1">IF($O15="","",$O15-TODAY())</f>
        <v>197</v>
      </c>
      <c r="M15" s="12">
        <f ca="1">IF(AND(TRIM($A15)="Finalized",$K15&lt;&gt;""),"",IF($C15="","",$C15+365-TODAY()))</f>
        <v>264</v>
      </c>
      <c r="N15" s="12">
        <f ca="1">IF(AND(TRIM($A15)="Finalized",$K15&lt;&gt;""),"",IF($C15="","",$C15+120-TODAY()))</f>
        <v>19</v>
      </c>
      <c r="O15" s="6">
        <f>IF(AND(TRIM($A15)="Finalized",$K15&lt;&gt;""),"",DATE(2027,4,20))</f>
        <v>46497</v>
      </c>
      <c r="P15" s="5" t="s">
        <v>67</v>
      </c>
      <c r="Q15" s="5" t="s">
        <v>68</v>
      </c>
      <c r="R15" s="5" t="s">
        <v>67</v>
      </c>
      <c r="S15" s="5" t="s">
        <v>69</v>
      </c>
      <c r="T15" s="5" t="s">
        <v>70</v>
      </c>
      <c r="U15" s="5" t="s">
        <v>69</v>
      </c>
      <c r="V15" s="5" t="s">
        <v>150</v>
      </c>
      <c r="W15" s="5"/>
      <c r="X15" s="5"/>
      <c r="Y15" s="5" t="s">
        <v>158</v>
      </c>
      <c r="Z15" s="7">
        <v>36353.800000000003</v>
      </c>
      <c r="AA15" s="7">
        <v>0</v>
      </c>
      <c r="AB15" s="7">
        <v>0</v>
      </c>
      <c r="AC15" s="6">
        <v>46199</v>
      </c>
      <c r="AD15" s="7">
        <v>36353.800000000003</v>
      </c>
      <c r="AE15" s="4">
        <v>110</v>
      </c>
      <c r="AF15" s="5" t="s">
        <v>134</v>
      </c>
      <c r="AG15" s="5"/>
      <c r="AH15" s="5"/>
      <c r="AI15" s="5"/>
      <c r="AJ15" s="4"/>
      <c r="AK15" s="5" t="s">
        <v>145</v>
      </c>
      <c r="AL15" s="5" t="s">
        <v>155</v>
      </c>
      <c r="AM15" s="6">
        <v>46198</v>
      </c>
      <c r="AN15" s="5" t="s">
        <v>137</v>
      </c>
    </row>
    <row r="16" spans="1:40" x14ac:dyDescent="0.25">
      <c r="A16" s="2" t="s">
        <v>61</v>
      </c>
      <c r="B16" s="2" t="s">
        <v>407</v>
      </c>
      <c r="C16" s="3">
        <v>46142</v>
      </c>
      <c r="D16" s="4">
        <v>557499174</v>
      </c>
      <c r="E16" s="5" t="s">
        <v>164</v>
      </c>
      <c r="F16" s="6">
        <v>46139</v>
      </c>
      <c r="G16" s="5" t="s">
        <v>139</v>
      </c>
      <c r="H16" s="5" t="s">
        <v>139</v>
      </c>
      <c r="I16" s="5" t="s">
        <v>148</v>
      </c>
      <c r="J16" s="5" t="s">
        <v>162</v>
      </c>
      <c r="K16" s="3">
        <v>46278</v>
      </c>
      <c r="L16" s="12">
        <f ca="1">IF($O16="","",$O16-TODAY())</f>
        <v>204</v>
      </c>
      <c r="M16" s="12">
        <f ca="1">IF(AND(TRIM($A16)="Finalized",$K16&lt;&gt;""),"",IF($C16="","",$C16+365-TODAY()))</f>
        <v>207</v>
      </c>
      <c r="N16" s="12">
        <f ca="1">IF(AND(TRIM($A16)="Finalized",$K16&lt;&gt;""),"",IF($C16="","",$C16+120-TODAY()))</f>
        <v>-38</v>
      </c>
      <c r="O16" s="6">
        <f>IF(AND(TRIM($A16)="Finalized",$K16&lt;&gt;""),"",DATE(2027,4,27))</f>
        <v>46504</v>
      </c>
      <c r="P16" s="5" t="s">
        <v>67</v>
      </c>
      <c r="Q16" s="5" t="s">
        <v>68</v>
      </c>
      <c r="R16" s="5" t="s">
        <v>67</v>
      </c>
      <c r="S16" s="5" t="s">
        <v>69</v>
      </c>
      <c r="T16" s="5" t="s">
        <v>70</v>
      </c>
      <c r="U16" s="5" t="s">
        <v>69</v>
      </c>
      <c r="V16" s="5" t="s">
        <v>150</v>
      </c>
      <c r="W16" s="5"/>
      <c r="X16" s="5"/>
      <c r="Y16" s="5" t="s">
        <v>163</v>
      </c>
      <c r="Z16" s="7">
        <v>2958.2</v>
      </c>
      <c r="AA16" s="7">
        <v>0</v>
      </c>
      <c r="AB16" s="7">
        <v>0</v>
      </c>
      <c r="AC16" s="6">
        <v>46142</v>
      </c>
      <c r="AD16" s="7">
        <v>2958.2</v>
      </c>
      <c r="AE16" s="4">
        <v>103</v>
      </c>
      <c r="AF16" s="5" t="s">
        <v>134</v>
      </c>
      <c r="AG16" s="5"/>
      <c r="AH16" s="5"/>
      <c r="AI16" s="5"/>
      <c r="AJ16" s="4"/>
      <c r="AK16" s="5" t="s">
        <v>145</v>
      </c>
      <c r="AL16" s="5" t="s">
        <v>155</v>
      </c>
      <c r="AM16" s="6">
        <v>46140</v>
      </c>
      <c r="AN16" s="5" t="s">
        <v>137</v>
      </c>
    </row>
    <row r="17" spans="1:40" x14ac:dyDescent="0.25">
      <c r="A17" s="2" t="s">
        <v>76</v>
      </c>
      <c r="B17" s="2" t="s">
        <v>446</v>
      </c>
      <c r="C17" s="3">
        <v>46202</v>
      </c>
      <c r="D17" s="4">
        <v>557798679</v>
      </c>
      <c r="E17" s="5" t="s">
        <v>172</v>
      </c>
      <c r="F17" s="6">
        <v>46142</v>
      </c>
      <c r="G17" s="5" t="s">
        <v>173</v>
      </c>
      <c r="H17" s="5" t="s">
        <v>139</v>
      </c>
      <c r="I17" s="5" t="s">
        <v>173</v>
      </c>
      <c r="J17" s="5" t="s">
        <v>153</v>
      </c>
      <c r="K17" s="3">
        <v>46284</v>
      </c>
      <c r="L17" s="12">
        <f ca="1">IF($O17="","",$O17-TODAY())</f>
        <v>207</v>
      </c>
      <c r="M17" s="12">
        <f ca="1">IF(AND(TRIM($A17)="Finalized",$K17&lt;&gt;""),"",IF($C17="","",$C17+365-TODAY()))</f>
        <v>267</v>
      </c>
      <c r="N17" s="12">
        <f ca="1">IF(AND(TRIM($A17)="Finalized",$K17&lt;&gt;""),"",IF($C17="","",$C17+120-TODAY()))</f>
        <v>22</v>
      </c>
      <c r="O17" s="6">
        <f>IF(AND(TRIM($A17)="Finalized",$K17&lt;&gt;""),"",DATE(2027,4,30))</f>
        <v>46507</v>
      </c>
      <c r="P17" s="5" t="s">
        <v>67</v>
      </c>
      <c r="Q17" s="5" t="s">
        <v>68</v>
      </c>
      <c r="R17" s="5" t="s">
        <v>67</v>
      </c>
      <c r="S17" s="5" t="s">
        <v>69</v>
      </c>
      <c r="T17" s="5" t="s">
        <v>70</v>
      </c>
      <c r="U17" s="5" t="s">
        <v>69</v>
      </c>
      <c r="V17" s="5" t="s">
        <v>141</v>
      </c>
      <c r="W17" s="5"/>
      <c r="X17" s="5"/>
      <c r="Y17" s="5" t="s">
        <v>71</v>
      </c>
      <c r="Z17" s="7">
        <v>6392.96</v>
      </c>
      <c r="AA17" s="7">
        <v>5624.17</v>
      </c>
      <c r="AB17" s="7">
        <v>612.53</v>
      </c>
      <c r="AC17" s="6">
        <v>46202</v>
      </c>
      <c r="AD17" s="7">
        <v>156.26</v>
      </c>
      <c r="AE17" s="4">
        <v>100</v>
      </c>
      <c r="AF17" s="5" t="s">
        <v>168</v>
      </c>
      <c r="AG17" s="5" t="s">
        <v>174</v>
      </c>
      <c r="AH17" s="5"/>
      <c r="AI17" s="5"/>
      <c r="AJ17" s="4">
        <v>564922714</v>
      </c>
      <c r="AK17" s="5" t="s">
        <v>145</v>
      </c>
      <c r="AL17" s="5" t="s">
        <v>155</v>
      </c>
      <c r="AM17" s="6">
        <v>46153</v>
      </c>
      <c r="AN17" s="5" t="s">
        <v>137</v>
      </c>
    </row>
    <row r="18" spans="1:40" x14ac:dyDescent="0.25">
      <c r="A18" s="2" t="s">
        <v>61</v>
      </c>
      <c r="B18" s="2" t="s">
        <v>458</v>
      </c>
      <c r="C18" s="3">
        <v>46197</v>
      </c>
      <c r="D18" s="4">
        <v>555586629</v>
      </c>
      <c r="E18" s="5" t="s">
        <v>175</v>
      </c>
      <c r="F18" s="6">
        <v>46118</v>
      </c>
      <c r="G18" s="5" t="s">
        <v>176</v>
      </c>
      <c r="H18" s="5" t="s">
        <v>176</v>
      </c>
      <c r="I18" s="5" t="s">
        <v>65</v>
      </c>
      <c r="J18" s="5" t="s">
        <v>177</v>
      </c>
      <c r="K18" s="3">
        <v>46300</v>
      </c>
      <c r="L18" s="12">
        <f ca="1">IF($O18="","",$O18-TODAY())</f>
        <v>-92</v>
      </c>
      <c r="M18" s="12">
        <f ca="1">IF(AND(TRIM($A18)="Finalized",$K18&lt;&gt;""),"",IF($F18="","",$F18+90-TODAY()))</f>
        <v>-92</v>
      </c>
      <c r="N18" s="12">
        <f ca="1">IF(AND(TRIM($A18)="Finalized",$K18&lt;&gt;""),"",IF($C18="","",$C18+180-TODAY()))</f>
        <v>77</v>
      </c>
      <c r="O18" s="6">
        <f>IF(AND(TRIM($A18)="Finalized",$K18&lt;&gt;""),"",DATE(2026,7,5))</f>
        <v>46208</v>
      </c>
      <c r="P18" s="5" t="s">
        <v>87</v>
      </c>
      <c r="Q18" s="5" t="s">
        <v>178</v>
      </c>
      <c r="R18" s="5" t="s">
        <v>87</v>
      </c>
      <c r="S18" s="5" t="s">
        <v>114</v>
      </c>
      <c r="T18" s="5" t="s">
        <v>179</v>
      </c>
      <c r="U18" s="5" t="s">
        <v>69</v>
      </c>
      <c r="V18" s="5" t="s">
        <v>141</v>
      </c>
      <c r="W18" s="5"/>
      <c r="X18" s="5"/>
      <c r="Y18" s="5" t="s">
        <v>71</v>
      </c>
      <c r="Z18" s="7">
        <v>5492.55</v>
      </c>
      <c r="AA18" s="7">
        <v>0</v>
      </c>
      <c r="AB18" s="7">
        <v>0</v>
      </c>
      <c r="AC18" s="6">
        <v>46197</v>
      </c>
      <c r="AD18" s="7">
        <v>5492.55</v>
      </c>
      <c r="AE18" s="4">
        <v>124</v>
      </c>
      <c r="AF18" s="5" t="s">
        <v>180</v>
      </c>
      <c r="AG18" s="5"/>
      <c r="AH18" s="5"/>
      <c r="AI18" s="5"/>
      <c r="AJ18" s="4"/>
      <c r="AK18" s="5" t="s">
        <v>181</v>
      </c>
      <c r="AL18" s="5" t="s">
        <v>182</v>
      </c>
      <c r="AM18" s="6">
        <v>46134</v>
      </c>
      <c r="AN18" s="5" t="s">
        <v>137</v>
      </c>
    </row>
    <row r="19" spans="1:40" x14ac:dyDescent="0.25">
      <c r="A19" s="2" t="s">
        <v>61</v>
      </c>
      <c r="B19" s="2" t="s">
        <v>451</v>
      </c>
      <c r="C19" s="3">
        <v>46156</v>
      </c>
      <c r="D19" s="4">
        <v>561043971</v>
      </c>
      <c r="E19" s="5" t="s">
        <v>201</v>
      </c>
      <c r="F19" s="6">
        <v>46128</v>
      </c>
      <c r="G19" s="5" t="s">
        <v>184</v>
      </c>
      <c r="H19" s="5" t="s">
        <v>184</v>
      </c>
      <c r="I19" s="5" t="s">
        <v>65</v>
      </c>
      <c r="J19" s="5" t="s">
        <v>202</v>
      </c>
      <c r="K19" s="3">
        <v>46285</v>
      </c>
      <c r="L19" s="12">
        <f ca="1">IF($O19="","",$O19-TODAY())</f>
        <v>-82</v>
      </c>
      <c r="M19" s="12">
        <f ca="1">IF(AND(TRIM($A19)="Finalized",$K19&lt;&gt;""),"",IF($C19="","",$C19+180-TODAY()))</f>
        <v>36</v>
      </c>
      <c r="N19" s="12">
        <f ca="1">IF(AND(TRIM($A19)="Finalized",$K19&lt;&gt;""),"",IF($C19="","",$C19+365-TODAY()))</f>
        <v>221</v>
      </c>
      <c r="O19" s="6">
        <f>IF(AND(TRIM($A19)="Finalized",$K19&lt;&gt;""),"",DATE(2026,7,15))</f>
        <v>46218</v>
      </c>
      <c r="P19" s="5" t="s">
        <v>87</v>
      </c>
      <c r="Q19" s="5" t="s">
        <v>186</v>
      </c>
      <c r="R19" s="5" t="s">
        <v>179</v>
      </c>
      <c r="S19" s="5" t="s">
        <v>69</v>
      </c>
      <c r="T19" s="5" t="s">
        <v>67</v>
      </c>
      <c r="U19" s="5" t="s">
        <v>69</v>
      </c>
      <c r="V19" s="5" t="s">
        <v>187</v>
      </c>
      <c r="W19" s="5"/>
      <c r="X19" s="5"/>
      <c r="Y19" s="5" t="s">
        <v>71</v>
      </c>
      <c r="Z19" s="7">
        <v>6392.96</v>
      </c>
      <c r="AA19" s="7">
        <v>0</v>
      </c>
      <c r="AB19" s="7">
        <v>0</v>
      </c>
      <c r="AC19" s="6">
        <v>46156</v>
      </c>
      <c r="AD19" s="7">
        <v>6392.96</v>
      </c>
      <c r="AE19" s="4">
        <v>114</v>
      </c>
      <c r="AF19" s="5" t="s">
        <v>168</v>
      </c>
      <c r="AG19" s="5"/>
      <c r="AH19" s="5"/>
      <c r="AI19" s="5"/>
      <c r="AJ19" s="4"/>
      <c r="AK19" s="5" t="s">
        <v>188</v>
      </c>
      <c r="AL19" s="5" t="s">
        <v>74</v>
      </c>
      <c r="AM19" s="6">
        <v>46143</v>
      </c>
      <c r="AN19" s="5" t="s">
        <v>137</v>
      </c>
    </row>
    <row r="20" spans="1:40" x14ac:dyDescent="0.25">
      <c r="A20" s="2" t="s">
        <v>61</v>
      </c>
      <c r="B20" s="2" t="s">
        <v>454</v>
      </c>
      <c r="C20" s="3">
        <v>46215</v>
      </c>
      <c r="D20" s="4">
        <v>564913658</v>
      </c>
      <c r="E20" s="5" t="s">
        <v>213</v>
      </c>
      <c r="F20" s="6">
        <v>46140</v>
      </c>
      <c r="G20" s="5" t="s">
        <v>214</v>
      </c>
      <c r="H20" s="5" t="s">
        <v>214</v>
      </c>
      <c r="I20" s="5" t="s">
        <v>215</v>
      </c>
      <c r="J20" s="5" t="s">
        <v>216</v>
      </c>
      <c r="K20" s="3">
        <v>46285</v>
      </c>
      <c r="L20" s="12">
        <f ca="1">IF($O20="","",$O20-TODAY())</f>
        <v>-70</v>
      </c>
      <c r="M20" s="12">
        <f ca="1">IF(AND(TRIM($A20)="Finalized",$K20&lt;&gt;""),"",IF($F20="","",$F20+90-TODAY()))</f>
        <v>-70</v>
      </c>
      <c r="N20" s="12">
        <f ca="1">IF(AND(TRIM($A20)="Finalized",$K20&lt;&gt;""),"",IF($C20="","",$C20+60-TODAY()))</f>
        <v>-25</v>
      </c>
      <c r="O20" s="6">
        <f>IF(AND(TRIM($A20)="Finalized",$K20&lt;&gt;""),"",DATE(2026,7,27))</f>
        <v>46230</v>
      </c>
      <c r="P20" s="5" t="s">
        <v>87</v>
      </c>
      <c r="Q20" s="5" t="s">
        <v>217</v>
      </c>
      <c r="R20" s="5" t="s">
        <v>87</v>
      </c>
      <c r="S20" s="5" t="s">
        <v>114</v>
      </c>
      <c r="T20" s="5" t="s">
        <v>115</v>
      </c>
      <c r="U20" s="5" t="s">
        <v>69</v>
      </c>
      <c r="V20" s="5" t="s">
        <v>187</v>
      </c>
      <c r="W20" s="5" t="s">
        <v>142</v>
      </c>
      <c r="X20" s="5"/>
      <c r="Y20" s="5" t="s">
        <v>71</v>
      </c>
      <c r="Z20" s="7">
        <v>4520.1099999999997</v>
      </c>
      <c r="AA20" s="7">
        <v>0</v>
      </c>
      <c r="AB20" s="7">
        <v>0</v>
      </c>
      <c r="AC20" s="6">
        <v>46215</v>
      </c>
      <c r="AD20" s="7">
        <v>4520.1099999999997</v>
      </c>
      <c r="AE20" s="4">
        <v>102</v>
      </c>
      <c r="AF20" s="5" t="s">
        <v>144</v>
      </c>
      <c r="AG20" s="5"/>
      <c r="AH20" s="5"/>
      <c r="AI20" s="5"/>
      <c r="AJ20" s="4"/>
      <c r="AK20" s="5" t="s">
        <v>218</v>
      </c>
      <c r="AL20" s="5" t="s">
        <v>74</v>
      </c>
      <c r="AM20" s="6">
        <v>46153</v>
      </c>
      <c r="AN20" s="5" t="s">
        <v>137</v>
      </c>
    </row>
    <row r="21" spans="1:40" x14ac:dyDescent="0.25">
      <c r="A21" s="2" t="s">
        <v>456</v>
      </c>
      <c r="B21" s="2" t="s">
        <v>457</v>
      </c>
      <c r="C21" s="3">
        <v>46154</v>
      </c>
      <c r="D21" s="4">
        <v>556762240</v>
      </c>
      <c r="E21" s="5" t="s">
        <v>222</v>
      </c>
      <c r="F21" s="6">
        <v>46114</v>
      </c>
      <c r="G21" s="5" t="s">
        <v>223</v>
      </c>
      <c r="H21" s="5" t="s">
        <v>223</v>
      </c>
      <c r="I21" s="5" t="s">
        <v>173</v>
      </c>
      <c r="J21" s="5" t="s">
        <v>157</v>
      </c>
      <c r="K21" s="3">
        <v>46285</v>
      </c>
      <c r="L21" s="12">
        <f ca="1">IF($O21="","",$O21-TODAY())</f>
        <v>-66</v>
      </c>
      <c r="M21" s="12">
        <f ca="1">IF(AND(TRIM($A21)="Finalized",$K21&lt;&gt;""),"",IF($F21="","",$F21+365-TODAY()))</f>
        <v>179</v>
      </c>
      <c r="N21" s="12">
        <f ca="1">IF(AND(TRIM($A21)="Finalized",$K21&lt;&gt;""),"",IF($C21="","",$C21+180-TODAY()))</f>
        <v>34</v>
      </c>
      <c r="O21" s="6">
        <f>IF(AND(TRIM($A21)="Finalized",$K21&lt;&gt;""),"",DATE(2026,7,31))</f>
        <v>46234</v>
      </c>
      <c r="P21" s="5" t="s">
        <v>70</v>
      </c>
      <c r="Q21" s="5" t="s">
        <v>223</v>
      </c>
      <c r="R21" s="5" t="s">
        <v>67</v>
      </c>
      <c r="S21" s="5" t="s">
        <v>114</v>
      </c>
      <c r="T21" s="5" t="s">
        <v>179</v>
      </c>
      <c r="U21" s="5" t="s">
        <v>69</v>
      </c>
      <c r="V21" s="5" t="s">
        <v>150</v>
      </c>
      <c r="W21" s="5"/>
      <c r="X21" s="5"/>
      <c r="Y21" s="5" t="s">
        <v>158</v>
      </c>
      <c r="Z21" s="7">
        <v>5916.4</v>
      </c>
      <c r="AA21" s="7">
        <v>0</v>
      </c>
      <c r="AB21" s="7">
        <v>0</v>
      </c>
      <c r="AC21" s="6">
        <v>46154</v>
      </c>
      <c r="AD21" s="7">
        <v>5916.4</v>
      </c>
      <c r="AE21" s="4">
        <v>128</v>
      </c>
      <c r="AF21" s="5" t="s">
        <v>134</v>
      </c>
      <c r="AG21" s="5" t="s">
        <v>205</v>
      </c>
      <c r="AH21" s="5"/>
      <c r="AI21" s="5"/>
      <c r="AJ21" s="4"/>
      <c r="AK21" s="5" t="s">
        <v>224</v>
      </c>
      <c r="AL21" s="5" t="s">
        <v>91</v>
      </c>
      <c r="AM21" s="6">
        <v>46133</v>
      </c>
      <c r="AN21" s="5" t="s">
        <v>137</v>
      </c>
    </row>
    <row r="22" spans="1:40" x14ac:dyDescent="0.25">
      <c r="A22" s="2" t="s">
        <v>107</v>
      </c>
      <c r="B22" s="2" t="s">
        <v>419</v>
      </c>
      <c r="C22" s="3">
        <v>46170</v>
      </c>
      <c r="D22" s="4">
        <v>558742342</v>
      </c>
      <c r="E22" s="5" t="s">
        <v>130</v>
      </c>
      <c r="F22" s="6">
        <v>46140</v>
      </c>
      <c r="G22" s="5" t="s">
        <v>122</v>
      </c>
      <c r="H22" s="5" t="s">
        <v>122</v>
      </c>
      <c r="I22" s="5" t="s">
        <v>65</v>
      </c>
      <c r="J22" s="5" t="s">
        <v>131</v>
      </c>
      <c r="K22" s="3">
        <v>46245</v>
      </c>
      <c t="str" r="L22" s="12">
        <f ca="1">IF($O22="","",$O22-TODAY())</f>
        <v/>
      </c>
      <c t="str" r="M22" s="12">
        <f ca="1">IF(AND(TRIM($A22)="Finalized",$K22&lt;&gt;""),"",IF($C22="","",$C22+365-TODAY()))</f>
        <v/>
      </c>
      <c t="str" r="N22" s="12">
        <f ca="1">IF(AND(TRIM($A22)="Finalized",$K22&lt;&gt;""),"",IF($C22="","",$C22+90-TODAY()))</f>
        <v/>
      </c>
      <c t="str" r="O22" s="6">
        <f>IF(AND(TRIM($A22)="Finalized",$K22&lt;&gt;""),"",DATE(2026,8,26))</f>
        <v/>
      </c>
      <c r="P22" s="5" t="s">
        <v>70</v>
      </c>
      <c r="Q22" s="5" t="s">
        <v>123</v>
      </c>
      <c r="R22" s="5" t="s">
        <v>67</v>
      </c>
      <c r="S22" s="5" t="s">
        <v>69</v>
      </c>
      <c r="T22" s="5" t="s">
        <v>87</v>
      </c>
      <c r="U22" s="5" t="s">
        <v>69</v>
      </c>
      <c r="V22" s="5" t="s">
        <v>132</v>
      </c>
      <c r="W22" s="5"/>
      <c r="X22" s="5"/>
      <c r="Y22" s="5" t="s">
        <v>133</v>
      </c>
      <c r="Z22" s="7">
        <v>72707.600000000006</v>
      </c>
      <c r="AA22" s="7">
        <v>0</v>
      </c>
      <c r="AB22" s="7">
        <v>0</v>
      </c>
      <c r="AC22" s="6">
        <v>46170</v>
      </c>
      <c r="AD22" s="7">
        <v>72707.600000000006</v>
      </c>
      <c r="AE22" s="4">
        <v>102</v>
      </c>
      <c r="AF22" s="5" t="s">
        <v>134</v>
      </c>
      <c r="AG22" s="5" t="s">
        <v>135</v>
      </c>
      <c r="AH22" s="5" t="s">
        <v>136</v>
      </c>
      <c r="AI22" s="5"/>
      <c r="AJ22" s="4"/>
      <c r="AK22" s="5" t="s">
        <v>119</v>
      </c>
      <c r="AL22" s="5" t="s">
        <v>91</v>
      </c>
      <c r="AM22" s="6">
        <v>46153</v>
      </c>
      <c r="AN22" s="5" t="s">
        <v>137</v>
      </c>
    </row>
    <row r="23" spans="1:40" x14ac:dyDescent="0.25">
      <c r="A23" s="2" t="s">
        <v>107</v>
      </c>
      <c r="B23" s="2" t="s">
        <v>421</v>
      </c>
      <c r="C23" s="3">
        <v>46249</v>
      </c>
      <c r="D23" s="4">
        <v>556771003</v>
      </c>
      <c r="E23" s="5" t="s">
        <v>147</v>
      </c>
      <c r="F23" s="6">
        <v>46121</v>
      </c>
      <c r="G23" s="5" t="s">
        <v>139</v>
      </c>
      <c r="H23" s="5" t="s">
        <v>139</v>
      </c>
      <c r="I23" s="5" t="s">
        <v>148</v>
      </c>
      <c r="J23" s="5" t="s">
        <v>149</v>
      </c>
      <c r="K23" s="3">
        <v>46283</v>
      </c>
      <c t="str" r="L23" s="12">
        <f ca="1">IF($O23="","",$O23-TODAY())</f>
        <v/>
      </c>
      <c t="str" r="M23" s="12">
        <f ca="1">IF(AND(TRIM($A23)="Finalized",$K23&lt;&gt;""),"",IF($C23="","",$C23+365-TODAY()))</f>
        <v/>
      </c>
      <c t="str" r="N23" s="12">
        <f ca="1">IF(AND(TRIM($A23)="Finalized",$K23&lt;&gt;""),"",IF($C23="","",$C23+120-TODAY()))</f>
        <v/>
      </c>
      <c t="str" r="O23" s="6">
        <f>IF(AND(TRIM($A23)="Finalized",$K23&lt;&gt;""),"",DATE(2027,4,9))</f>
        <v/>
      </c>
      <c r="P23" s="5" t="s">
        <v>67</v>
      </c>
      <c r="Q23" s="5" t="s">
        <v>68</v>
      </c>
      <c r="R23" s="5" t="s">
        <v>67</v>
      </c>
      <c r="S23" s="5" t="s">
        <v>69</v>
      </c>
      <c r="T23" s="5" t="s">
        <v>70</v>
      </c>
      <c r="U23" s="5" t="s">
        <v>69</v>
      </c>
      <c r="V23" s="5" t="s">
        <v>150</v>
      </c>
      <c r="W23" s="5"/>
      <c r="X23" s="5"/>
      <c r="Y23" s="5" t="s">
        <v>133</v>
      </c>
      <c r="Z23" s="7">
        <v>72707.600000000006</v>
      </c>
      <c r="AA23" s="7">
        <v>0</v>
      </c>
      <c r="AB23" s="7">
        <v>0</v>
      </c>
      <c r="AC23" s="6"/>
      <c r="AD23" s="7">
        <v>72707.600000000006</v>
      </c>
      <c r="AE23" s="4">
        <v>121</v>
      </c>
      <c r="AF23" s="5" t="s">
        <v>134</v>
      </c>
      <c r="AG23" s="5"/>
      <c r="AH23" s="5"/>
      <c r="AI23" s="5"/>
      <c r="AJ23" s="4"/>
      <c r="AK23" s="5" t="s">
        <v>151</v>
      </c>
      <c r="AL23" s="5" t="s">
        <v>146</v>
      </c>
      <c r="AM23" s="6">
        <v>46133</v>
      </c>
      <c r="AN23" s="5" t="s">
        <v>137</v>
      </c>
    </row>
    <row r="24" spans="1:40" x14ac:dyDescent="0.25">
      <c r="A24" s="2" t="s">
        <v>107</v>
      </c>
      <c r="B24" s="2" t="s">
        <v>422</v>
      </c>
      <c r="C24" s="3">
        <v>46139</v>
      </c>
      <c r="D24" s="4">
        <v>556764690</v>
      </c>
      <c r="E24" s="5" t="s">
        <v>152</v>
      </c>
      <c r="F24" s="6">
        <v>46125</v>
      </c>
      <c r="G24" s="5" t="s">
        <v>139</v>
      </c>
      <c r="H24" s="5" t="s">
        <v>139</v>
      </c>
      <c r="I24" s="5" t="s">
        <v>148</v>
      </c>
      <c r="J24" s="5" t="s">
        <v>153</v>
      </c>
      <c r="K24" s="3">
        <v>46283</v>
      </c>
      <c t="str" r="L24" s="12">
        <f ca="1">IF($O24="","",$O24-TODAY())</f>
        <v/>
      </c>
      <c t="str" r="M24" s="12">
        <f ca="1">IF(AND(TRIM($A24)="Finalized",$K24&lt;&gt;""),"",IF($C24="","",$C24+365-TODAY()))</f>
        <v/>
      </c>
      <c t="str" r="N24" s="12">
        <f ca="1">IF(AND(TRIM($A24)="Finalized",$K24&lt;&gt;""),"",IF($C24="","",$C24+120-TODAY()))</f>
        <v/>
      </c>
      <c t="str" r="O24" s="6">
        <f>IF(AND(TRIM($A24)="Finalized",$K24&lt;&gt;""),"",DATE(2027,4,13))</f>
        <v/>
      </c>
      <c r="P24" s="5" t="s">
        <v>67</v>
      </c>
      <c r="Q24" s="5" t="s">
        <v>68</v>
      </c>
      <c r="R24" s="5" t="s">
        <v>67</v>
      </c>
      <c r="S24" s="5" t="s">
        <v>69</v>
      </c>
      <c r="T24" s="5" t="s">
        <v>70</v>
      </c>
      <c r="U24" s="5" t="s">
        <v>69</v>
      </c>
      <c r="V24" s="5" t="s">
        <v>141</v>
      </c>
      <c r="W24" s="5"/>
      <c r="X24" s="5"/>
      <c r="Y24" s="5" t="s">
        <v>71</v>
      </c>
      <c r="Z24" s="7">
        <v>6392.96</v>
      </c>
      <c r="AA24" s="7">
        <v>0</v>
      </c>
      <c r="AB24" s="7">
        <v>0</v>
      </c>
      <c r="AC24" s="6">
        <v>46139</v>
      </c>
      <c r="AD24" s="7">
        <v>6392.96</v>
      </c>
      <c r="AE24" s="4">
        <v>117</v>
      </c>
      <c r="AF24" s="5" t="s">
        <v>154</v>
      </c>
      <c r="AG24" s="5"/>
      <c r="AH24" s="5"/>
      <c r="AI24" s="5"/>
      <c r="AJ24" s="4"/>
      <c r="AK24" s="5" t="s">
        <v>145</v>
      </c>
      <c r="AL24" s="5" t="s">
        <v>155</v>
      </c>
      <c r="AM24" s="6">
        <v>46133</v>
      </c>
      <c r="AN24" s="5" t="s">
        <v>137</v>
      </c>
    </row>
    <row r="25" spans="1:40" x14ac:dyDescent="0.25">
      <c r="A25" s="2" t="s">
        <v>107</v>
      </c>
      <c r="B25" s="2" t="s">
        <v>460</v>
      </c>
      <c r="C25" s="3">
        <v>46148</v>
      </c>
      <c r="D25" s="4">
        <v>557840581</v>
      </c>
      <c r="E25" s="5" t="s">
        <v>164</v>
      </c>
      <c r="F25" s="6">
        <v>46126</v>
      </c>
      <c r="G25" s="5" t="s">
        <v>139</v>
      </c>
      <c r="H25" s="5" t="s">
        <v>139</v>
      </c>
      <c r="I25" s="5" t="s">
        <v>148</v>
      </c>
      <c r="J25" s="5" t="s">
        <v>153</v>
      </c>
      <c r="K25" s="3">
        <v>46300</v>
      </c>
      <c t="str" r="L25" s="12">
        <f ca="1">IF($O25="","",$O25-TODAY())</f>
        <v/>
      </c>
      <c t="str" r="M25" s="12">
        <f ca="1">IF(AND(TRIM($A25)="Finalized",$K25&lt;&gt;""),"",IF($C25="","",$C25+365-TODAY()))</f>
        <v/>
      </c>
      <c t="str" r="N25" s="12">
        <f ca="1">IF(AND(TRIM($A25)="Finalized",$K25&lt;&gt;""),"",IF($C25="","",$C25+120-TODAY()))</f>
        <v/>
      </c>
      <c t="str" r="O25" s="6">
        <f>IF(AND(TRIM($A25)="Finalized",$K25&lt;&gt;""),"",DATE(2027,4,14))</f>
        <v/>
      </c>
      <c r="P25" s="5" t="s">
        <v>67</v>
      </c>
      <c r="Q25" s="5" t="s">
        <v>68</v>
      </c>
      <c r="R25" s="5" t="s">
        <v>67</v>
      </c>
      <c r="S25" s="5" t="s">
        <v>69</v>
      </c>
      <c r="T25" s="5" t="s">
        <v>70</v>
      </c>
      <c r="U25" s="5" t="s">
        <v>69</v>
      </c>
      <c r="V25" s="5" t="s">
        <v>141</v>
      </c>
      <c r="W25" s="5"/>
      <c r="X25" s="5"/>
      <c r="Y25" s="5" t="s">
        <v>71</v>
      </c>
      <c r="Z25" s="7">
        <v>6392.96</v>
      </c>
      <c r="AA25" s="7">
        <v>0</v>
      </c>
      <c r="AB25" s="7">
        <v>0</v>
      </c>
      <c r="AC25" s="6">
        <v>46148</v>
      </c>
      <c r="AD25" s="7">
        <v>6392.96</v>
      </c>
      <c r="AE25" s="4">
        <v>116</v>
      </c>
      <c r="AF25" s="5" t="s">
        <v>165</v>
      </c>
      <c r="AG25" s="5"/>
      <c r="AH25" s="5"/>
      <c r="AI25" s="5"/>
      <c r="AJ25" s="4"/>
      <c r="AK25" s="5" t="s">
        <v>145</v>
      </c>
      <c r="AL25" s="5" t="s">
        <v>155</v>
      </c>
      <c r="AM25" s="6">
        <v>46143</v>
      </c>
      <c r="AN25" s="5" t="s">
        <v>137</v>
      </c>
    </row>
    <row r="26" spans="1:40" x14ac:dyDescent="0.25">
      <c r="A26" s="2" t="s">
        <v>107</v>
      </c>
      <c r="B26" s="2" t="s">
        <v>447</v>
      </c>
      <c r="C26" s="3">
        <v>46127</v>
      </c>
      <c r="D26" s="4">
        <v>565388227</v>
      </c>
      <c r="E26" s="5" t="s">
        <v>183</v>
      </c>
      <c r="F26" s="6">
        <v>46118</v>
      </c>
      <c r="G26" s="5" t="s">
        <v>184</v>
      </c>
      <c r="H26" s="5" t="s">
        <v>184</v>
      </c>
      <c r="I26" s="5" t="s">
        <v>65</v>
      </c>
      <c r="J26" s="5" t="s">
        <v>185</v>
      </c>
      <c r="K26" s="3">
        <v>46284</v>
      </c>
      <c t="str" r="L26" s="12">
        <f ca="1">IF($O26="","",$O26-TODAY())</f>
        <v/>
      </c>
      <c t="str" r="M26" s="12">
        <f ca="1">IF(AND(TRIM($A26)="Finalized",$K26&lt;&gt;""),"",IF($C26="","",$C26+180-TODAY()))</f>
        <v/>
      </c>
      <c t="str" r="N26" s="12">
        <f ca="1">IF(AND(TRIM($A26)="Finalized",$K26&lt;&gt;""),"",IF($C26="","",$C26+365-TODAY()))</f>
        <v/>
      </c>
      <c t="str" r="O26" s="6">
        <f>IF(AND(TRIM($A26)="Finalized",$K26&lt;&gt;""),"",DATE(2026,7,5))</f>
        <v/>
      </c>
      <c r="P26" s="5" t="s">
        <v>87</v>
      </c>
      <c r="Q26" s="5" t="s">
        <v>186</v>
      </c>
      <c r="R26" s="5" t="s">
        <v>179</v>
      </c>
      <c r="S26" s="5" t="s">
        <v>69</v>
      </c>
      <c r="T26" s="5" t="s">
        <v>67</v>
      </c>
      <c r="U26" s="5" t="s">
        <v>69</v>
      </c>
      <c r="V26" s="5" t="s">
        <v>187</v>
      </c>
      <c r="W26" s="5"/>
      <c r="X26" s="5"/>
      <c r="Y26" s="5" t="s">
        <v>71</v>
      </c>
      <c r="Z26" s="7">
        <v>9479.4</v>
      </c>
      <c r="AA26" s="7">
        <v>0</v>
      </c>
      <c r="AB26" s="7">
        <v>0</v>
      </c>
      <c r="AC26" s="6">
        <v>46127</v>
      </c>
      <c r="AD26" s="7">
        <v>9479.4</v>
      </c>
      <c r="AE26" s="4">
        <v>124</v>
      </c>
      <c r="AF26" s="5" t="s">
        <v>159</v>
      </c>
      <c r="AG26" s="5"/>
      <c r="AH26" s="5"/>
      <c r="AI26" s="5"/>
      <c r="AJ26" s="4"/>
      <c r="AK26" s="5" t="s">
        <v>188</v>
      </c>
      <c r="AL26" s="5" t="s">
        <v>74</v>
      </c>
      <c r="AM26" s="6">
        <v>46121</v>
      </c>
      <c r="AN26" s="5" t="s">
        <v>137</v>
      </c>
    </row>
    <row r="27" spans="1:40" x14ac:dyDescent="0.25">
      <c r="A27" s="2" t="s">
        <v>107</v>
      </c>
      <c r="B27" s="2" t="s">
        <v>450</v>
      </c>
      <c r="C27" s="3">
        <v>46170</v>
      </c>
      <c r="D27" s="4">
        <v>556802417</v>
      </c>
      <c r="E27" s="5" t="s">
        <v>197</v>
      </c>
      <c r="F27" s="6">
        <v>46125</v>
      </c>
      <c r="G27" s="5" t="s">
        <v>94</v>
      </c>
      <c r="H27" s="5" t="s">
        <v>94</v>
      </c>
      <c r="I27" s="5" t="s">
        <v>65</v>
      </c>
      <c r="J27" s="5" t="s">
        <v>157</v>
      </c>
      <c r="K27" s="3">
        <v>46285</v>
      </c>
      <c t="str" r="L27" s="12">
        <f ca="1">IF($O27="","",$O27-TODAY())</f>
        <v/>
      </c>
      <c t="str" r="M27" s="12">
        <f ca="1">IF(AND(TRIM($A27)="Finalized",$K27&lt;&gt;""),"",IF($C27="","",$C27+365-TODAY()))</f>
        <v/>
      </c>
      <c t="str" r="N27" s="12">
        <f ca="1">IF(AND(TRIM($A27)="Finalized",$K27&lt;&gt;""),"",IF($C27="","",$C27+365-TODAY()))</f>
        <v/>
      </c>
      <c t="str" r="O27" s="6">
        <f>IF(AND(TRIM($A27)="Finalized",$K27&lt;&gt;""),"",DATE(2026,7,12))</f>
        <v/>
      </c>
      <c r="P27" s="5" t="s">
        <v>87</v>
      </c>
      <c r="Q27" s="5" t="s">
        <v>96</v>
      </c>
      <c r="R27" s="5" t="s">
        <v>67</v>
      </c>
      <c r="S27" s="5" t="s">
        <v>69</v>
      </c>
      <c r="T27" s="5" t="s">
        <v>67</v>
      </c>
      <c r="U27" s="5" t="s">
        <v>69</v>
      </c>
      <c r="V27" s="5" t="s">
        <v>150</v>
      </c>
      <c r="W27" s="5"/>
      <c r="X27" s="5"/>
      <c r="Y27" s="5" t="s">
        <v>158</v>
      </c>
      <c r="Z27" s="7">
        <v>5916.4</v>
      </c>
      <c r="AA27" s="7">
        <v>0</v>
      </c>
      <c r="AB27" s="7">
        <v>0</v>
      </c>
      <c r="AC27" s="6">
        <v>46170</v>
      </c>
      <c r="AD27" s="7">
        <v>5916.4</v>
      </c>
      <c r="AE27" s="4">
        <v>117</v>
      </c>
      <c r="AF27" s="5" t="s">
        <v>134</v>
      </c>
      <c r="AG27" s="5" t="s">
        <v>159</v>
      </c>
      <c r="AH27" s="5"/>
      <c r="AI27" s="5"/>
      <c r="AJ27" s="4"/>
      <c r="AK27" s="5" t="s">
        <v>82</v>
      </c>
      <c r="AL27" s="5" t="s">
        <v>196</v>
      </c>
      <c r="AM27" s="6">
        <v>46134</v>
      </c>
      <c r="AN27" s="5" t="s">
        <v>137</v>
      </c>
    </row>
    <row r="28" spans="1:40" x14ac:dyDescent="0.25">
      <c r="A28" s="2" t="s">
        <v>107</v>
      </c>
      <c r="B28" s="2" t="s">
        <v>450</v>
      </c>
      <c r="C28" s="3">
        <v>46167</v>
      </c>
      <c r="D28" s="4">
        <v>556804689</v>
      </c>
      <c r="E28" s="5" t="s">
        <v>198</v>
      </c>
      <c r="F28" s="6">
        <v>46125</v>
      </c>
      <c r="G28" s="5" t="s">
        <v>94</v>
      </c>
      <c r="H28" s="5" t="s">
        <v>94</v>
      </c>
      <c r="I28" s="5" t="s">
        <v>65</v>
      </c>
      <c r="J28" s="5" t="s">
        <v>193</v>
      </c>
      <c r="K28" s="3">
        <v>46285</v>
      </c>
      <c t="str" r="L28" s="12">
        <f ca="1">IF($O28="","",$O28-TODAY())</f>
        <v/>
      </c>
      <c t="str" r="M28" s="12">
        <f ca="1">IF(AND(TRIM($A28)="Finalized",$K28&lt;&gt;""),"",IF($C28="","",$C28+365-TODAY()))</f>
        <v/>
      </c>
      <c t="str" r="N28" s="12">
        <f ca="1">IF(AND(TRIM($A28)="Finalized",$K28&lt;&gt;""),"",IF($C28="","",$C28+365-TODAY()))</f>
        <v/>
      </c>
      <c t="str" r="O28" s="6">
        <f>IF(AND(TRIM($A28)="Finalized",$K28&lt;&gt;""),"",DATE(2026,7,12))</f>
        <v/>
      </c>
      <c r="P28" s="5" t="s">
        <v>87</v>
      </c>
      <c r="Q28" s="5" t="s">
        <v>96</v>
      </c>
      <c r="R28" s="5" t="s">
        <v>67</v>
      </c>
      <c r="S28" s="5" t="s">
        <v>69</v>
      </c>
      <c r="T28" s="5" t="s">
        <v>67</v>
      </c>
      <c r="U28" s="5" t="s">
        <v>69</v>
      </c>
      <c r="V28" s="5" t="s">
        <v>132</v>
      </c>
      <c r="W28" s="5"/>
      <c r="X28" s="5"/>
      <c r="Y28" s="5" t="s">
        <v>158</v>
      </c>
      <c r="Z28" s="7">
        <v>5916.4</v>
      </c>
      <c r="AA28" s="7">
        <v>0</v>
      </c>
      <c r="AB28" s="7">
        <v>0</v>
      </c>
      <c r="AC28" s="6">
        <v>46167</v>
      </c>
      <c r="AD28" s="7">
        <v>5916.4</v>
      </c>
      <c r="AE28" s="4">
        <v>117</v>
      </c>
      <c r="AF28" s="5" t="s">
        <v>134</v>
      </c>
      <c r="AG28" s="5" t="s">
        <v>168</v>
      </c>
      <c r="AH28" s="5"/>
      <c r="AI28" s="5"/>
      <c r="AJ28" s="4"/>
      <c r="AK28" s="5" t="s">
        <v>82</v>
      </c>
      <c r="AL28" s="5" t="s">
        <v>196</v>
      </c>
      <c r="AM28" s="6">
        <v>46134</v>
      </c>
      <c r="AN28" s="5" t="s">
        <v>137</v>
      </c>
    </row>
    <row r="29" spans="1:40" x14ac:dyDescent="0.25">
      <c r="A29" s="2" t="s">
        <v>107</v>
      </c>
      <c r="B29" s="2" t="s">
        <v>450</v>
      </c>
      <c r="C29" s="3">
        <v>46170</v>
      </c>
      <c r="D29" s="4">
        <v>556801421</v>
      </c>
      <c r="E29" s="5" t="s">
        <v>199</v>
      </c>
      <c r="F29" s="6">
        <v>46128</v>
      </c>
      <c r="G29" s="5" t="s">
        <v>94</v>
      </c>
      <c r="H29" s="5" t="s">
        <v>94</v>
      </c>
      <c r="I29" s="5" t="s">
        <v>65</v>
      </c>
      <c r="J29" s="5" t="s">
        <v>157</v>
      </c>
      <c r="K29" s="3">
        <v>46285</v>
      </c>
      <c t="str" r="L29" s="12">
        <f ca="1">IF($O29="","",$O29-TODAY())</f>
        <v/>
      </c>
      <c t="str" r="M29" s="12">
        <f ca="1">IF(AND(TRIM($A29)="Finalized",$K29&lt;&gt;""),"",IF($C29="","",$C29+365-TODAY()))</f>
        <v/>
      </c>
      <c t="str" r="N29" s="12">
        <f ca="1">IF(AND(TRIM($A29)="Finalized",$K29&lt;&gt;""),"",IF($C29="","",$C29+365-TODAY()))</f>
        <v/>
      </c>
      <c t="str" r="O29" s="6">
        <f>IF(AND(TRIM($A29)="Finalized",$K29&lt;&gt;""),"",DATE(2026,7,15))</f>
        <v/>
      </c>
      <c r="P29" s="5" t="s">
        <v>87</v>
      </c>
      <c r="Q29" s="5" t="s">
        <v>96</v>
      </c>
      <c r="R29" s="5" t="s">
        <v>67</v>
      </c>
      <c r="S29" s="5" t="s">
        <v>69</v>
      </c>
      <c r="T29" s="5" t="s">
        <v>67</v>
      </c>
      <c r="U29" s="5" t="s">
        <v>69</v>
      </c>
      <c r="V29" s="5" t="s">
        <v>150</v>
      </c>
      <c r="W29" s="5"/>
      <c r="X29" s="5"/>
      <c r="Y29" s="5" t="s">
        <v>158</v>
      </c>
      <c r="Z29" s="7">
        <v>5916.4</v>
      </c>
      <c r="AA29" s="7">
        <v>0</v>
      </c>
      <c r="AB29" s="7">
        <v>0</v>
      </c>
      <c r="AC29" s="6">
        <v>46170</v>
      </c>
      <c r="AD29" s="7">
        <v>5916.4</v>
      </c>
      <c r="AE29" s="4">
        <v>114</v>
      </c>
      <c r="AF29" s="5" t="s">
        <v>134</v>
      </c>
      <c r="AG29" s="5" t="s">
        <v>159</v>
      </c>
      <c r="AH29" s="5"/>
      <c r="AI29" s="5"/>
      <c r="AJ29" s="4"/>
      <c r="AK29" s="5" t="s">
        <v>200</v>
      </c>
      <c r="AL29" s="5" t="s">
        <v>182</v>
      </c>
      <c r="AM29" s="6">
        <v>46134</v>
      </c>
      <c r="AN29" s="5" t="s">
        <v>137</v>
      </c>
    </row>
    <row r="30" spans="1:40" x14ac:dyDescent="0.25">
      <c r="A30" s="2" t="s">
        <v>107</v>
      </c>
      <c r="B30" s="2" t="s">
        <v>452</v>
      </c>
      <c r="C30" s="3">
        <v>46154</v>
      </c>
      <c r="D30" s="4">
        <v>558609820</v>
      </c>
      <c r="E30" s="5" t="s">
        <v>206</v>
      </c>
      <c r="F30" s="6">
        <v>46135</v>
      </c>
      <c r="G30" s="5" t="s">
        <v>207</v>
      </c>
      <c r="H30" s="5" t="s">
        <v>207</v>
      </c>
      <c r="I30" s="5" t="s">
        <v>65</v>
      </c>
      <c r="J30" s="5" t="s">
        <v>208</v>
      </c>
      <c r="K30" s="3">
        <v>46285</v>
      </c>
      <c t="str" r="L30" s="12">
        <f ca="1">IF($O30="","",$O30-TODAY())</f>
        <v/>
      </c>
      <c t="str" r="M30" s="12">
        <f ca="1">IF(AND(TRIM($A30)="Finalized",$K30&lt;&gt;""),"",IF($C30="","",$C30+180-TODAY()))</f>
        <v/>
      </c>
      <c t="str" r="N30" s="12">
        <f ca="1">IF(AND(TRIM($A30)="Finalized",$K30&lt;&gt;""),"",IF($C30="","",$C30+365-TODAY()))</f>
        <v/>
      </c>
      <c t="str" r="O30" s="6">
        <f>IF(AND(TRIM($A30)="Finalized",$K30&lt;&gt;""),"",DATE(2026,7,22))</f>
        <v/>
      </c>
      <c r="P30" s="5" t="s">
        <v>87</v>
      </c>
      <c r="Q30" s="5" t="s">
        <v>209</v>
      </c>
      <c r="R30" s="5" t="s">
        <v>179</v>
      </c>
      <c r="S30" s="5" t="s">
        <v>69</v>
      </c>
      <c r="T30" s="5" t="s">
        <v>67</v>
      </c>
      <c r="U30" s="5" t="s">
        <v>69</v>
      </c>
      <c r="V30" s="5" t="s">
        <v>132</v>
      </c>
      <c r="W30" s="5"/>
      <c r="X30" s="5"/>
      <c r="Y30" s="5" t="s">
        <v>163</v>
      </c>
      <c r="Z30" s="7">
        <v>21135.1</v>
      </c>
      <c r="AA30" s="7">
        <v>0</v>
      </c>
      <c r="AB30" s="7">
        <v>0</v>
      </c>
      <c r="AC30" s="6"/>
      <c r="AD30" s="7">
        <v>21135.1</v>
      </c>
      <c r="AE30" s="4">
        <v>107</v>
      </c>
      <c r="AF30" s="5" t="s">
        <v>134</v>
      </c>
      <c r="AG30" s="5"/>
      <c r="AH30" s="5"/>
      <c r="AI30" s="5"/>
      <c r="AJ30" s="4"/>
      <c r="AK30" s="5" t="s">
        <v>194</v>
      </c>
      <c r="AL30" s="5" t="s">
        <v>74</v>
      </c>
      <c r="AM30" s="6">
        <v>46150</v>
      </c>
      <c r="AN30" s="5" t="s">
        <v>137</v>
      </c>
    </row>
    <row r="31" spans="1:40" x14ac:dyDescent="0.25">
      <c r="A31" s="2" t="s">
        <v>107</v>
      </c>
      <c r="B31" s="2" t="s">
        <v>452</v>
      </c>
      <c r="C31" s="3">
        <v>46156</v>
      </c>
      <c r="D31" s="4">
        <v>557507395</v>
      </c>
      <c r="E31" s="5" t="s">
        <v>210</v>
      </c>
      <c r="F31" s="6">
        <v>46139</v>
      </c>
      <c r="G31" s="5" t="s">
        <v>207</v>
      </c>
      <c r="H31" s="5" t="s">
        <v>207</v>
      </c>
      <c r="I31" s="5" t="s">
        <v>207</v>
      </c>
      <c r="J31" s="5" t="s">
        <v>157</v>
      </c>
      <c r="K31" s="3">
        <v>46285</v>
      </c>
      <c t="str" r="L31" s="12">
        <f ca="1">IF($O31="","",$O31-TODAY())</f>
        <v/>
      </c>
      <c t="str" r="M31" s="12">
        <f ca="1">IF(AND(TRIM($A31)="Finalized",$K31&lt;&gt;""),"",IF($C31="","",$C31+180-TODAY()))</f>
        <v/>
      </c>
      <c t="str" r="N31" s="12">
        <f ca="1">IF(AND(TRIM($A31)="Finalized",$K31&lt;&gt;""),"",IF($C31="","",$C31+365-TODAY()))</f>
        <v/>
      </c>
      <c t="str" r="O31" s="6">
        <f>IF(AND(TRIM($A31)="Finalized",$K31&lt;&gt;""),"",DATE(2026,7,26))</f>
        <v/>
      </c>
      <c r="P31" s="5" t="s">
        <v>87</v>
      </c>
      <c r="Q31" s="5" t="s">
        <v>209</v>
      </c>
      <c r="R31" s="5" t="s">
        <v>179</v>
      </c>
      <c r="S31" s="5" t="s">
        <v>69</v>
      </c>
      <c r="T31" s="5" t="s">
        <v>67</v>
      </c>
      <c r="U31" s="5" t="s">
        <v>69</v>
      </c>
      <c r="V31" s="5" t="s">
        <v>150</v>
      </c>
      <c r="W31" s="5"/>
      <c r="X31" s="5"/>
      <c r="Y31" s="5" t="s">
        <v>158</v>
      </c>
      <c r="Z31" s="7">
        <v>5916.4</v>
      </c>
      <c r="AA31" s="7">
        <v>0</v>
      </c>
      <c r="AB31" s="7">
        <v>0</v>
      </c>
      <c r="AC31" s="6">
        <v>46156</v>
      </c>
      <c r="AD31" s="7">
        <v>5916.4</v>
      </c>
      <c r="AE31" s="4">
        <v>103</v>
      </c>
      <c r="AF31" s="5" t="s">
        <v>134</v>
      </c>
      <c r="AG31" s="5" t="s">
        <v>159</v>
      </c>
      <c r="AH31" s="5"/>
      <c r="AI31" s="5"/>
      <c r="AJ31" s="4"/>
      <c r="AK31" s="5" t="s">
        <v>181</v>
      </c>
      <c r="AL31" s="5" t="s">
        <v>182</v>
      </c>
      <c r="AM31" s="6">
        <v>46140</v>
      </c>
      <c r="AN31" s="5" t="s">
        <v>137</v>
      </c>
    </row>
    <row r="32" spans="1:40" x14ac:dyDescent="0.25">
      <c r="A32" s="2" t="s">
        <v>107</v>
      </c>
      <c r="B32" s="2" t="s">
        <v>453</v>
      </c>
      <c r="C32" s="3">
        <v>46217</v>
      </c>
      <c r="D32" s="4">
        <v>562510509</v>
      </c>
      <c r="E32" s="5" t="s">
        <v>211</v>
      </c>
      <c r="F32" s="6">
        <v>46139</v>
      </c>
      <c r="G32" s="5" t="s">
        <v>94</v>
      </c>
      <c r="H32" s="5" t="s">
        <v>94</v>
      </c>
      <c r="I32" s="5" t="s">
        <v>65</v>
      </c>
      <c r="J32" s="5" t="s">
        <v>157</v>
      </c>
      <c r="K32" s="3">
        <v>46285</v>
      </c>
      <c t="str" r="L32" s="12">
        <f ca="1">IF($O32="","",$O32-TODAY())</f>
        <v/>
      </c>
      <c t="str" r="M32" s="12">
        <f ca="1">IF(AND(TRIM($A32)="Finalized",$K32&lt;&gt;""),"",IF($C32="","",$C32+365-TODAY()))</f>
        <v/>
      </c>
      <c t="str" r="N32" s="12">
        <f ca="1">IF(AND(TRIM($A32)="Finalized",$K32&lt;&gt;""),"",IF($C32="","",$C32+365-TODAY()))</f>
        <v/>
      </c>
      <c t="str" r="O32" s="6">
        <f>IF(AND(TRIM($A32)="Finalized",$K32&lt;&gt;""),"",DATE(2026,7,26))</f>
        <v/>
      </c>
      <c r="P32" s="5" t="s">
        <v>87</v>
      </c>
      <c r="Q32" s="5" t="s">
        <v>96</v>
      </c>
      <c r="R32" s="5" t="s">
        <v>67</v>
      </c>
      <c r="S32" s="5" t="s">
        <v>69</v>
      </c>
      <c r="T32" s="5" t="s">
        <v>67</v>
      </c>
      <c r="U32" s="5" t="s">
        <v>69</v>
      </c>
      <c r="V32" s="5" t="s">
        <v>150</v>
      </c>
      <c r="W32" s="5"/>
      <c r="X32" s="5"/>
      <c r="Y32" s="5" t="s">
        <v>158</v>
      </c>
      <c r="Z32" s="7">
        <v>5916.4</v>
      </c>
      <c r="AA32" s="7">
        <v>0</v>
      </c>
      <c r="AB32" s="7">
        <v>0</v>
      </c>
      <c r="AC32" s="6">
        <v>46217</v>
      </c>
      <c r="AD32" s="7">
        <v>5916.4</v>
      </c>
      <c r="AE32" s="4">
        <v>103</v>
      </c>
      <c r="AF32" s="5" t="s">
        <v>134</v>
      </c>
      <c r="AG32" s="5" t="s">
        <v>205</v>
      </c>
      <c r="AH32" s="5"/>
      <c r="AI32" s="5"/>
      <c r="AJ32" s="4"/>
      <c r="AK32" s="5" t="s">
        <v>212</v>
      </c>
      <c r="AL32" s="5" t="s">
        <v>91</v>
      </c>
      <c r="AM32" s="6">
        <v>46189</v>
      </c>
      <c r="AN32" s="5" t="s">
        <v>137</v>
      </c>
    </row>
  </sheetData>
  <autoFilter ref="A1:AN32" xr:uid="{00000000-0009-0000-0000-000001000000}"/>
  <conditionalFormatting sqref="L2:O1000">
    <cfRule type="expression" dxfId="101" priority="1" stopIfTrue="1">
      <formula>AND(TRIM($A2)="Finalized",$K2&lt;&gt;"")</formula>
    </cfRule>
  </conditionalFormatting>
  <conditionalFormatting sqref="L2:L32">
    <cfRule type="expression" dxfId="79" priority="2">
      <formula>AND($L2&lt;&gt;"", $L2&gt;=0, $L2&lt;=5)</formula>
    </cfRule>
    <cfRule type="expression" dxfId="78" priority="3">
      <formula>AND($L2&lt;&gt;"", $L2&gt;5, $L2&lt;=30)</formula>
    </cfRule>
    <cfRule type="expression" dxfId="77" priority="4">
      <formula>AND($L2&lt;&gt;"", $L2&gt;30)</formula>
    </cfRule>
    <cfRule type="expression" dxfId="76" priority="5">
      <formula>AND($L2&lt;&gt;"", $L2&lt;0)</formula>
    </cfRule>
    <cfRule type="expression" dxfId="75" priority="6">
      <formula>$L2=""</formula>
    </cfRule>
  </conditionalFormatting>
  <conditionalFormatting sqref="M2:M32">
    <cfRule type="expression" dxfId="74" priority="7">
      <formula>AND($M2&lt;&gt;"", $M2&gt;=0, $M2&lt;=5)</formula>
    </cfRule>
    <cfRule type="expression" dxfId="73" priority="8">
      <formula>AND($M2&lt;&gt;"", $M2&gt;5, $M2&lt;=30)</formula>
    </cfRule>
    <cfRule type="expression" dxfId="72" priority="9">
      <formula>AND($M2&lt;&gt;"", $M2&gt;30)</formula>
    </cfRule>
    <cfRule type="expression" dxfId="71" priority="10">
      <formula>AND($M2&lt;&gt;"", $M2&lt;0)</formula>
    </cfRule>
    <cfRule type="expression" dxfId="70" priority="11">
      <formula>$M2=""</formula>
    </cfRule>
  </conditionalFormatting>
  <conditionalFormatting sqref="N2:N32">
    <cfRule type="expression" dxfId="69" priority="12">
      <formula>AND($N2&lt;&gt;"", $N2&gt;=0, $N2&lt;=5)</formula>
    </cfRule>
    <cfRule type="expression" dxfId="68" priority="13">
      <formula>AND($N2&lt;&gt;"", $N2&gt;5, $N2&lt;=30)</formula>
    </cfRule>
    <cfRule type="expression" dxfId="67" priority="14">
      <formula>AND($N2&lt;&gt;"", $N2&gt;30)</formula>
    </cfRule>
    <cfRule type="expression" dxfId="66" priority="15">
      <formula>AND($N2&lt;&gt;"", $N2&lt;0)</formula>
    </cfRule>
    <cfRule type="expression" dxfId="65" priority="16">
      <formula>$N2=""</formula>
    </cfRule>
  </conditionalFormatting>
  <conditionalFormatting sqref="O2:U32">
    <cfRule type="expression" dxfId="64" priority="17">
      <formula>AND($L2&lt;&gt;"", $L2&gt;=0, $L2&lt;=5)</formula>
    </cfRule>
    <cfRule type="expression" dxfId="63" priority="18">
      <formula>AND($L2&lt;&gt;"", $L2&gt;5, $L2&lt;=30)</formula>
    </cfRule>
    <cfRule type="expression" dxfId="62" priority="19">
      <formula>AND($L2&lt;&gt;"", $L2&gt;30)</formula>
    </cfRule>
    <cfRule type="expression" dxfId="61" priority="20">
      <formula>AND($L2&lt;&gt;"", $L2&lt;0)</formula>
    </cfRule>
    <cfRule type="expression" dxfId="60" priority="21">
      <formula>$L2=""</formula>
    </cfRule>
  </conditionalFormatting>
  <conditionalFormatting sqref="A2:AN1000">
    <cfRule type="expression" dxfId="100" priority="22">
      <formula>TRIM($A2)="PAID"</formula>
    </cfRule>
    <cfRule type="expression" dxfId="101" priority="23">
      <formula>TRIM($A2)="Finalized"</formula>
    </cfRule>
    <cfRule type="expression" dxfId="102" priority="24">
      <formula>TRIM($A2)="Received"</formula>
    </cfRule>
    <cfRule type="expression" dxfId="103" priority="25">
      <formula>TRIM($A2)="Pending"</formula>
    </cfRule>
    <cfRule type="expression" dxfId="104" priority="26">
      <formula>TRIM($A2)="Under Review"</formula>
    </cfRule>
    <cfRule type="expression" dxfId="105" priority="27">
      <formula>AND(TRIM($A2)="Denied",$K2="")</formula>
    </cfRule>
    <cfRule type="expression" dxfId="108" priority="30">
      <formula>AND(TRIM($A2)="Denied",$K2&lt;&gt;"")</formula>
    </cfRule>
    <cfRule type="expression" dxfId="106" priority="28">
      <formula>TRIM($A2)="Rejected"</formula>
    </cfRule>
    <cfRule type="expression" dxfId="107" priority="29">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7"/>
  <sheetViews>
    <sheetView zoomScale="90" workbookViewId="0">
      <pane xSplit="2" ySplit="1" topLeftCell="C2" activePane="bottomRight" state="frozen"/>
      <selection pane="topRight"/>
      <selection pane="bottomLeft"/>
      <selection pane="bottomRight" activeCell="B27" sqref="B27"/>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27.85546875" customWidth="1"/>
    <col min="8" max="8" width="31.7109375" customWidth="1"/>
    <col min="9" max="9" width="40" hidden="1" customWidth="1"/>
    <col min="10" max="10" width="42" customWidth="1"/>
    <col min="11" max="11" width="14" customWidth="1"/>
    <col min="12" max="12" width="12" customWidth="1"/>
    <col min="13" max="13" width="19.28515625" customWidth="1"/>
    <col min="14" max="14" width="18.140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21</v>
      </c>
      <c r="B1" s="11" t="s">
        <v>22</v>
      </c>
      <c r="C1" s="11" t="s">
        <v>23</v>
      </c>
      <c r="D1" s="11" t="s">
        <v>24</v>
      </c>
      <c r="E1" s="11" t="s">
        <v>25</v>
      </c>
      <c r="F1" s="11" t="s">
        <v>26</v>
      </c>
      <c r="G1" s="11" t="s">
        <v>27</v>
      </c>
      <c r="H1" s="11" t="s">
        <v>28</v>
      </c>
      <c r="I1" s="11" t="s">
        <v>29</v>
      </c>
      <c r="J1" s="11" t="s">
        <v>30</v>
      </c>
      <c r="K1" s="11" t="s">
        <v>31</v>
      </c>
      <c r="L1" s="1" t="s">
        <v>32</v>
      </c>
      <c r="M1" s="1" t="s">
        <v>33</v>
      </c>
      <c r="N1" s="1" t="s">
        <v>34</v>
      </c>
      <c r="O1" s="11" t="s">
        <v>35</v>
      </c>
      <c r="P1" s="11" t="s">
        <v>36</v>
      </c>
      <c r="Q1" s="11" t="s">
        <v>37</v>
      </c>
      <c r="R1" s="11" t="s">
        <v>38</v>
      </c>
      <c r="S1" s="11" t="s">
        <v>39</v>
      </c>
      <c r="T1" s="11" t="s">
        <v>40</v>
      </c>
      <c r="U1" s="11" t="s">
        <v>41</v>
      </c>
      <c r="V1" s="11" t="s">
        <v>42</v>
      </c>
      <c r="W1" s="11" t="s">
        <v>43</v>
      </c>
      <c r="X1" s="11" t="s">
        <v>44</v>
      </c>
      <c r="Y1" s="11" t="s">
        <v>45</v>
      </c>
      <c r="Z1" s="11" t="s">
        <v>46</v>
      </c>
      <c r="AA1" s="11" t="s">
        <v>47</v>
      </c>
      <c r="AB1" s="11" t="s">
        <v>48</v>
      </c>
      <c r="AC1" s="11" t="s">
        <v>49</v>
      </c>
      <c r="AD1" s="11" t="s">
        <v>50</v>
      </c>
      <c r="AE1" s="11" t="s">
        <v>51</v>
      </c>
      <c r="AF1" s="11" t="s">
        <v>52</v>
      </c>
      <c r="AG1" s="11" t="s">
        <v>53</v>
      </c>
      <c r="AH1" s="11" t="s">
        <v>54</v>
      </c>
      <c r="AI1" s="11" t="s">
        <v>55</v>
      </c>
      <c r="AJ1" s="11" t="s">
        <v>56</v>
      </c>
      <c r="AK1" s="11" t="s">
        <v>57</v>
      </c>
      <c r="AL1" s="11" t="s">
        <v>58</v>
      </c>
      <c r="AM1" s="11" t="s">
        <v>59</v>
      </c>
      <c r="AN1" s="11" t="s">
        <v>60</v>
      </c>
    </row>
    <row r="2" spans="1:40" x14ac:dyDescent="0.25">
      <c r="A2" s="2" t="s">
        <v>426</v>
      </c>
      <c r="B2" s="2" t="s">
        <v>428</v>
      </c>
      <c r="C2" s="3">
        <v>46165</v>
      </c>
      <c r="D2" s="4">
        <v>558554119</v>
      </c>
      <c r="E2" s="5" t="s">
        <v>253</v>
      </c>
      <c r="F2" s="6">
        <v>46118</v>
      </c>
      <c r="G2" s="5" t="s">
        <v>111</v>
      </c>
      <c r="H2" s="5" t="s">
        <v>111</v>
      </c>
      <c r="I2" s="5" t="s">
        <v>65</v>
      </c>
      <c r="J2" s="5" t="s">
        <v>254</v>
      </c>
      <c r="K2" s="3"/>
      <c r="L2" s="12">
        <f ca="1">IF($O2="","",$O2-TODAY())</f>
        <v>-92</v>
      </c>
      <c r="M2" s="12">
        <f ca="1">IF(AND(TRIM($A2)="Finalized",$K2&lt;&gt;""),"",IF($F2="","",$F2+90-TODAY()))</f>
        <v>-92</v>
      </c>
      <c r="N2" s="12">
        <f ca="1">IF(AND(TRIM($A2)="Finalized",$K2&lt;&gt;""),"",IF($C2="","",$C2+540-TODAY()))</f>
        <v>405</v>
      </c>
      <c r="O2" s="6">
        <f>IF(AND(TRIM($A2)="Finalized",$K2&lt;&gt;""),"",DATE(2026,7,5))</f>
        <v>46208</v>
      </c>
      <c r="P2" s="5" t="s">
        <v>87</v>
      </c>
      <c r="Q2" s="5" t="s">
        <v>113</v>
      </c>
      <c r="R2" s="5" t="s">
        <v>87</v>
      </c>
      <c r="S2" s="5" t="s">
        <v>114</v>
      </c>
      <c r="T2" s="5" t="s">
        <v>437</v>
      </c>
      <c r="U2" s="5" t="s">
        <v>69</v>
      </c>
      <c r="V2" s="5" t="s">
        <v>249</v>
      </c>
      <c r="W2" s="5" t="s">
        <v>255</v>
      </c>
      <c r="X2" s="5" t="s">
        <v>256</v>
      </c>
      <c r="Y2" s="5" t="s">
        <v>71</v>
      </c>
      <c r="Z2" s="7">
        <v>7585.97</v>
      </c>
      <c r="AA2" s="7">
        <v>0</v>
      </c>
      <c r="AB2" s="7">
        <v>0</v>
      </c>
      <c r="AC2" s="6">
        <v>46165</v>
      </c>
      <c r="AD2" s="7">
        <v>7585.97</v>
      </c>
      <c r="AE2" s="4">
        <v>124</v>
      </c>
      <c r="AF2" s="5" t="s">
        <v>257</v>
      </c>
      <c r="AG2" s="5" t="s">
        <v>241</v>
      </c>
      <c r="AH2" s="5" t="s">
        <v>258</v>
      </c>
      <c r="AI2" s="5"/>
      <c r="AJ2" s="4"/>
      <c r="AK2" s="5" t="s">
        <v>242</v>
      </c>
      <c r="AL2" s="5" t="s">
        <v>243</v>
      </c>
      <c r="AM2" s="6">
        <v>46149</v>
      </c>
      <c r="AN2" s="5" t="s">
        <v>244</v>
      </c>
    </row>
    <row r="3" spans="1:40" x14ac:dyDescent="0.25">
      <c r="A3" s="2" t="s">
        <v>426</v>
      </c>
      <c r="B3" s="2" t="s">
        <v>429</v>
      </c>
      <c r="C3" s="3">
        <v>46162</v>
      </c>
      <c r="D3" s="4">
        <v>558686340</v>
      </c>
      <c r="E3" s="5" t="s">
        <v>259</v>
      </c>
      <c r="F3" s="6">
        <v>46125</v>
      </c>
      <c r="G3" s="5" t="s">
        <v>176</v>
      </c>
      <c r="H3" s="5" t="s">
        <v>176</v>
      </c>
      <c r="I3" s="5" t="s">
        <v>65</v>
      </c>
      <c r="J3" s="5" t="s">
        <v>260</v>
      </c>
      <c r="K3" s="3"/>
      <c r="L3" s="12">
        <f ca="1">IF($O3="","",$O3-TODAY())</f>
        <v>-85</v>
      </c>
      <c r="M3" s="12">
        <f ca="1">IF(AND(TRIM($A3)="Finalized",$K3&lt;&gt;""),"",IF($F3="","",$F3+90-TODAY()))</f>
        <v>-85</v>
      </c>
      <c r="N3" s="12">
        <f ca="1">IF(AND(TRIM($A3)="Finalized",$K3&lt;&gt;""),"",IF($C3="","",$C3+180-TODAY()))</f>
        <v>42</v>
      </c>
      <c r="O3" s="6">
        <f>IF(AND(TRIM($A3)="Finalized",$K3&lt;&gt;""),"",DATE(2026,7,12))</f>
        <v>46215</v>
      </c>
      <c r="P3" s="5" t="s">
        <v>87</v>
      </c>
      <c r="Q3" s="5" t="s">
        <v>178</v>
      </c>
      <c r="R3" s="5" t="s">
        <v>87</v>
      </c>
      <c r="S3" s="5" t="s">
        <v>114</v>
      </c>
      <c r="T3" s="5" t="s">
        <v>179</v>
      </c>
      <c r="U3" s="5" t="s">
        <v>69</v>
      </c>
      <c r="V3" s="5" t="s">
        <v>261</v>
      </c>
      <c r="W3" s="5" t="s">
        <v>256</v>
      </c>
      <c r="X3" s="5"/>
      <c r="Y3" s="5" t="s">
        <v>251</v>
      </c>
      <c r="Z3" s="7">
        <v>17767.189999999999</v>
      </c>
      <c r="AA3" s="7">
        <v>0</v>
      </c>
      <c r="AB3" s="7">
        <v>0</v>
      </c>
      <c r="AC3" s="6">
        <v>46162</v>
      </c>
      <c r="AD3" s="7">
        <v>17767.189999999999</v>
      </c>
      <c r="AE3" s="4">
        <v>117</v>
      </c>
      <c r="AF3" s="5" t="s">
        <v>257</v>
      </c>
      <c r="AG3" s="5" t="s">
        <v>241</v>
      </c>
      <c r="AH3" s="5" t="s">
        <v>258</v>
      </c>
      <c r="AI3" s="5"/>
      <c r="AJ3" s="4"/>
      <c r="AK3" s="5" t="s">
        <v>242</v>
      </c>
      <c r="AL3" s="5" t="s">
        <v>74</v>
      </c>
      <c r="AM3" s="6">
        <v>46152</v>
      </c>
      <c r="AN3" s="5" t="s">
        <v>244</v>
      </c>
    </row>
    <row r="4" spans="1:40" x14ac:dyDescent="0.25">
      <c r="A4" s="2" t="s">
        <v>61</v>
      </c>
      <c r="B4" s="2" t="s">
        <v>400</v>
      </c>
      <c r="C4" s="3">
        <v>46190</v>
      </c>
      <c r="D4" s="4">
        <v>558686302</v>
      </c>
      <c r="E4" s="5" t="s">
        <v>245</v>
      </c>
      <c r="F4" s="6">
        <v>46125</v>
      </c>
      <c r="G4" s="5" t="s">
        <v>246</v>
      </c>
      <c r="H4" s="5" t="s">
        <v>246</v>
      </c>
      <c r="I4" s="5" t="s">
        <v>184</v>
      </c>
      <c r="J4" s="5" t="s">
        <v>247</v>
      </c>
      <c r="K4" s="3">
        <v>46278</v>
      </c>
      <c r="L4" s="12">
        <f ca="1">IF($O4="","",$O4-TODAY())</f>
        <v>190</v>
      </c>
      <c r="M4" s="12">
        <f ca="1">IF(AND(TRIM($A4)="Finalized",$K4&lt;&gt;""),"",IF($C4="","",$C4+180-TODAY()))</f>
        <v>70</v>
      </c>
      <c r="N4" s="12">
        <f ca="1">IF(AND(TRIM($A4)="Finalized",$K4&lt;&gt;""),"",IF($C4="","",$C4+365-TODAY()))</f>
        <v>255</v>
      </c>
      <c r="O4" s="6">
        <f>IF(AND(TRIM($A4)="Finalized",$K4&lt;&gt;""),"",DATE(2027,4,13))</f>
        <v>46490</v>
      </c>
      <c r="P4" s="5" t="s">
        <v>67</v>
      </c>
      <c r="Q4" s="5" t="s">
        <v>248</v>
      </c>
      <c r="R4" s="5" t="s">
        <v>179</v>
      </c>
      <c r="S4" s="5" t="s">
        <v>69</v>
      </c>
      <c r="T4" s="5" t="s">
        <v>67</v>
      </c>
      <c r="U4" s="5" t="s">
        <v>69</v>
      </c>
      <c r="V4" s="5" t="s">
        <v>249</v>
      </c>
      <c r="W4" s="5" t="s">
        <v>250</v>
      </c>
      <c r="X4" s="5" t="s">
        <v>142</v>
      </c>
      <c r="Y4" s="5" t="s">
        <v>251</v>
      </c>
      <c r="Z4" s="7">
        <v>67599.91</v>
      </c>
      <c r="AA4" s="7">
        <v>0</v>
      </c>
      <c r="AB4" s="7">
        <v>0</v>
      </c>
      <c r="AC4" s="6">
        <v>46190</v>
      </c>
      <c r="AD4" s="7">
        <v>67599.91</v>
      </c>
      <c r="AE4" s="4">
        <v>117</v>
      </c>
      <c r="AF4" s="5" t="s">
        <v>240</v>
      </c>
      <c r="AG4" s="5" t="s">
        <v>241</v>
      </c>
      <c r="AH4" s="5" t="s">
        <v>144</v>
      </c>
      <c r="AI4" s="5"/>
      <c r="AJ4" s="4"/>
      <c r="AK4" s="5" t="s">
        <v>242</v>
      </c>
      <c r="AL4" s="5" t="s">
        <v>252</v>
      </c>
      <c r="AM4" s="6">
        <v>46152</v>
      </c>
      <c r="AN4" s="5" t="s">
        <v>244</v>
      </c>
    </row>
    <row r="5" spans="1:40" x14ac:dyDescent="0.25">
      <c r="A5" s="2" t="s">
        <v>61</v>
      </c>
      <c r="B5" s="2" t="s">
        <v>402</v>
      </c>
      <c r="C5" s="3">
        <v>46162</v>
      </c>
      <c r="D5" s="4">
        <v>558686710</v>
      </c>
      <c r="E5" s="5" t="s">
        <v>262</v>
      </c>
      <c r="F5" s="6">
        <v>46132</v>
      </c>
      <c r="G5" s="5" t="s">
        <v>86</v>
      </c>
      <c r="H5" s="5" t="s">
        <v>86</v>
      </c>
      <c r="I5" s="5" t="s">
        <v>86</v>
      </c>
      <c r="J5" s="5" t="s">
        <v>263</v>
      </c>
      <c r="K5" s="3">
        <v>46278</v>
      </c>
      <c r="L5" s="12">
        <f ca="1">IF($O5="","",$O5-TODAY())</f>
        <v>-78</v>
      </c>
      <c r="M5" s="12">
        <f ca="1">IF(AND(TRIM($A5)="Finalized",$K5&lt;&gt;""),"",IF($F5="","",$F5+90-TODAY()))</f>
        <v>-78</v>
      </c>
      <c r="N5" s="12">
        <f ca="1">IF(AND(TRIM($A5)="Finalized",$K5&lt;&gt;""),"",IF($C5="","",$C5+365-TODAY()))</f>
        <v>227</v>
      </c>
      <c r="O5" s="6">
        <f>IF(AND(TRIM($A5)="Finalized",$K5&lt;&gt;""),"",DATE(2026,7,19))</f>
        <v>46222</v>
      </c>
      <c r="P5" s="5" t="s">
        <v>87</v>
      </c>
      <c r="Q5" s="5" t="s">
        <v>88</v>
      </c>
      <c r="R5" s="5" t="s">
        <v>87</v>
      </c>
      <c r="S5" s="5" t="s">
        <v>114</v>
      </c>
      <c r="T5" s="5" t="s">
        <v>67</v>
      </c>
      <c r="U5" s="5" t="s">
        <v>69</v>
      </c>
      <c r="V5" s="5" t="s">
        <v>237</v>
      </c>
      <c r="W5" s="5" t="s">
        <v>255</v>
      </c>
      <c r="X5" s="5" t="s">
        <v>256</v>
      </c>
      <c r="Y5" s="5" t="s">
        <v>264</v>
      </c>
      <c r="Z5" s="7">
        <v>67599.91</v>
      </c>
      <c r="AA5" s="7">
        <v>66579.55</v>
      </c>
      <c r="AB5" s="7">
        <v>918.36</v>
      </c>
      <c r="AC5" s="6">
        <v>46162</v>
      </c>
      <c r="AD5" s="7">
        <v>102</v>
      </c>
      <c r="AE5" s="4">
        <v>110</v>
      </c>
      <c r="AF5" s="5" t="s">
        <v>257</v>
      </c>
      <c r="AG5" s="5" t="s">
        <v>241</v>
      </c>
      <c r="AH5" s="5" t="s">
        <v>258</v>
      </c>
      <c r="AI5" s="5"/>
      <c r="AJ5" s="4">
        <v>561534376</v>
      </c>
      <c r="AK5" s="5" t="s">
        <v>242</v>
      </c>
      <c r="AL5" s="5" t="s">
        <v>243</v>
      </c>
      <c r="AM5" s="6">
        <v>46152</v>
      </c>
      <c r="AN5" s="5" t="s">
        <v>244</v>
      </c>
    </row>
    <row r="6" spans="1:40" x14ac:dyDescent="0.25">
      <c r="A6" s="2" t="s">
        <v>107</v>
      </c>
      <c r="B6" s="2" t="s">
        <v>401</v>
      </c>
      <c r="C6" s="3">
        <v>46162</v>
      </c>
      <c r="D6" s="4">
        <v>558686908</v>
      </c>
      <c r="E6" s="5" t="s">
        <v>233</v>
      </c>
      <c r="F6" s="6">
        <v>46132</v>
      </c>
      <c r="G6" s="5" t="s">
        <v>234</v>
      </c>
      <c r="H6" s="5" t="s">
        <v>234</v>
      </c>
      <c r="I6" s="5" t="s">
        <v>65</v>
      </c>
      <c r="J6" s="5" t="s">
        <v>235</v>
      </c>
      <c r="K6" s="3">
        <v>46278</v>
      </c>
      <c t="str" r="L6" s="12">
        <f ca="1">IF($O6="","",$O6-TODAY())</f>
        <v/>
      </c>
      <c t="str" r="M6" s="12">
        <f ca="1">IF(AND(TRIM($A6)="Finalized",$K6&lt;&gt;""),"",IF($F6="","",$F6+365-TODAY()))</f>
        <v/>
      </c>
      <c t="str" r="N6" s="12">
        <f ca="1">IF(AND(TRIM($A6)="Finalized",$K6&lt;&gt;""),"",IF($F6="","",$F6+365-TODAY()))</f>
        <v/>
      </c>
      <c t="str" r="O6" s="6">
        <f>IF(AND(TRIM($A6)="Finalized",$K6&lt;&gt;""),"",DATE(2026,10,17))</f>
        <v/>
      </c>
      <c r="P6" s="5" t="s">
        <v>179</v>
      </c>
      <c r="Q6" s="5" t="s">
        <v>236</v>
      </c>
      <c r="R6" s="5" t="s">
        <v>67</v>
      </c>
      <c r="S6" s="5" t="s">
        <v>114</v>
      </c>
      <c r="T6" s="5" t="s">
        <v>67</v>
      </c>
      <c r="U6" s="5" t="s">
        <v>114</v>
      </c>
      <c r="V6" s="5" t="s">
        <v>237</v>
      </c>
      <c r="W6" s="5" t="s">
        <v>238</v>
      </c>
      <c r="X6" s="5" t="s">
        <v>142</v>
      </c>
      <c r="Y6" s="5" t="s">
        <v>239</v>
      </c>
      <c r="Z6" s="7">
        <v>12959.73</v>
      </c>
      <c r="AA6" s="7">
        <v>0</v>
      </c>
      <c r="AB6" s="7">
        <v>0</v>
      </c>
      <c r="AC6" s="6">
        <v>46162</v>
      </c>
      <c r="AD6" s="7">
        <v>12959.73</v>
      </c>
      <c r="AE6" s="4">
        <v>110</v>
      </c>
      <c r="AF6" s="5" t="s">
        <v>240</v>
      </c>
      <c r="AG6" s="5" t="s">
        <v>241</v>
      </c>
      <c r="AH6" s="5" t="s">
        <v>144</v>
      </c>
      <c r="AI6" s="5"/>
      <c r="AJ6" s="4"/>
      <c r="AK6" s="5" t="s">
        <v>242</v>
      </c>
      <c r="AL6" s="5" t="s">
        <v>243</v>
      </c>
      <c r="AM6" s="6">
        <v>46152</v>
      </c>
      <c r="AN6" s="5" t="s">
        <v>244</v>
      </c>
    </row>
    <row r="7" spans="1:40" x14ac:dyDescent="0.25">
      <c r="A7" s="2" t="s">
        <v>394</v>
      </c>
      <c r="B7" s="2" t="s">
        <v>403</v>
      </c>
      <c r="C7" s="3">
        <v>46181</v>
      </c>
      <c r="D7" s="4">
        <v>558686759</v>
      </c>
      <c r="E7" s="5" t="s">
        <v>265</v>
      </c>
      <c r="F7" s="6">
        <v>46132</v>
      </c>
      <c r="G7" s="5" t="s">
        <v>266</v>
      </c>
      <c r="H7" s="5" t="s">
        <v>266</v>
      </c>
      <c r="I7" s="5" t="s">
        <v>65</v>
      </c>
      <c r="J7" s="5" t="s">
        <v>267</v>
      </c>
      <c r="K7" s="3">
        <v>46199</v>
      </c>
      <c r="L7" s="4" t="str">
        <f ca="1">IF($O7="","",$O7-TODAY())</f>
        <v/>
      </c>
      <c r="M7" s="4"/>
      <c r="N7" s="4"/>
      <c r="O7" s="6"/>
      <c r="P7" s="5"/>
      <c r="Q7" s="5" t="s">
        <v>127</v>
      </c>
      <c r="R7" s="5"/>
      <c r="S7" s="5"/>
      <c r="T7" s="5"/>
      <c r="U7" s="5"/>
      <c r="V7" s="5" t="s">
        <v>237</v>
      </c>
      <c r="W7" s="5" t="s">
        <v>255</v>
      </c>
      <c r="X7" s="5" t="s">
        <v>256</v>
      </c>
      <c r="Y7" s="5" t="s">
        <v>268</v>
      </c>
      <c r="Z7" s="7">
        <v>68271.210000000006</v>
      </c>
      <c r="AA7" s="7">
        <v>67367.5</v>
      </c>
      <c r="AB7" s="7">
        <v>0</v>
      </c>
      <c r="AC7" s="6">
        <v>46181</v>
      </c>
      <c r="AD7" s="7">
        <v>903.71</v>
      </c>
      <c r="AE7" s="4">
        <v>110</v>
      </c>
      <c r="AF7" s="5" t="s">
        <v>257</v>
      </c>
      <c r="AG7" s="5" t="s">
        <v>241</v>
      </c>
      <c r="AH7" s="5" t="s">
        <v>258</v>
      </c>
      <c r="AI7" s="5"/>
      <c r="AJ7" s="4"/>
      <c r="AK7" s="5" t="s">
        <v>242</v>
      </c>
      <c r="AL7" s="5" t="s">
        <v>243</v>
      </c>
      <c r="AM7" s="6">
        <v>46152</v>
      </c>
      <c r="AN7" s="5" t="s">
        <v>244</v>
      </c>
    </row>
  </sheetData>
  <autoFilter ref="A1:AN7" xr:uid="{00000000-0009-0000-0000-000002000000}"/>
  <conditionalFormatting sqref="L2:O1000">
    <cfRule type="expression" dxfId="101" priority="1" stopIfTrue="1">
      <formula>AND(TRIM($A2)="Finalized",$K2&lt;&gt;"")</formula>
    </cfRule>
  </conditionalFormatting>
  <conditionalFormatting sqref="L2:L7">
    <cfRule type="expression" dxfId="59" priority="2">
      <formula>AND($L2&lt;&gt;"", $L2&gt;=0, $L2&lt;=5)</formula>
    </cfRule>
    <cfRule type="expression" dxfId="58" priority="3">
      <formula>AND($L2&lt;&gt;"", $L2&gt;5, $L2&lt;=30)</formula>
    </cfRule>
    <cfRule type="expression" dxfId="57" priority="4">
      <formula>AND($L2&lt;&gt;"", $L2&gt;30)</formula>
    </cfRule>
    <cfRule type="expression" dxfId="56" priority="5">
      <formula>AND($L2&lt;&gt;"", $L2&lt;0)</formula>
    </cfRule>
    <cfRule type="expression" dxfId="55" priority="6">
      <formula>$L2=""</formula>
    </cfRule>
  </conditionalFormatting>
  <conditionalFormatting sqref="M2:M7">
    <cfRule type="expression" dxfId="54" priority="7">
      <formula>AND($M2&lt;&gt;"", $M2&gt;=0, $M2&lt;=5)</formula>
    </cfRule>
    <cfRule type="expression" dxfId="53" priority="8">
      <formula>AND($M2&lt;&gt;"", $M2&gt;5, $M2&lt;=30)</formula>
    </cfRule>
    <cfRule type="expression" dxfId="52" priority="9">
      <formula>AND($M2&lt;&gt;"", $M2&gt;30)</formula>
    </cfRule>
    <cfRule type="expression" dxfId="51" priority="10">
      <formula>AND($M2&lt;&gt;"", $M2&lt;0)</formula>
    </cfRule>
    <cfRule type="expression" dxfId="50" priority="11">
      <formula>$M2=""</formula>
    </cfRule>
  </conditionalFormatting>
  <conditionalFormatting sqref="N2:N7">
    <cfRule type="expression" dxfId="49" priority="12">
      <formula>AND($N2&lt;&gt;"", $N2&gt;=0, $N2&lt;=5)</formula>
    </cfRule>
    <cfRule type="expression" dxfId="48" priority="13">
      <formula>AND($N2&lt;&gt;"", $N2&gt;5, $N2&lt;=30)</formula>
    </cfRule>
    <cfRule type="expression" dxfId="47" priority="14">
      <formula>AND($N2&lt;&gt;"", $N2&gt;30)</formula>
    </cfRule>
    <cfRule type="expression" dxfId="46" priority="15">
      <formula>AND($N2&lt;&gt;"", $N2&lt;0)</formula>
    </cfRule>
    <cfRule type="expression" dxfId="45" priority="16">
      <formula>$N2=""</formula>
    </cfRule>
  </conditionalFormatting>
  <conditionalFormatting sqref="O2:U7">
    <cfRule type="expression" dxfId="44" priority="17">
      <formula>AND($L2&lt;&gt;"", $L2&gt;=0, $L2&lt;=5)</formula>
    </cfRule>
    <cfRule type="expression" dxfId="43" priority="18">
      <formula>AND($L2&lt;&gt;"", $L2&gt;5, $L2&lt;=30)</formula>
    </cfRule>
    <cfRule type="expression" dxfId="42" priority="19">
      <formula>AND($L2&lt;&gt;"", $L2&gt;30)</formula>
    </cfRule>
    <cfRule type="expression" dxfId="41" priority="20">
      <formula>AND($L2&lt;&gt;"", $L2&lt;0)</formula>
    </cfRule>
    <cfRule type="expression" dxfId="40" priority="21">
      <formula>$L2=""</formula>
    </cfRule>
  </conditionalFormatting>
  <conditionalFormatting sqref="A2:AN1000">
    <cfRule type="expression" dxfId="100" priority="22">
      <formula>TRIM($A2)="PAID"</formula>
    </cfRule>
    <cfRule type="expression" dxfId="101" priority="23">
      <formula>TRIM($A2)="Finalized"</formula>
    </cfRule>
    <cfRule type="expression" dxfId="102" priority="24">
      <formula>TRIM($A2)="Received"</formula>
    </cfRule>
    <cfRule type="expression" dxfId="103" priority="25">
      <formula>TRIM($A2)="Pending"</formula>
    </cfRule>
    <cfRule type="expression" dxfId="104" priority="26">
      <formula>TRIM($A2)="Under Review"</formula>
    </cfRule>
    <cfRule type="expression" dxfId="105" priority="27">
      <formula>AND(TRIM($A2)="Denied",$K2="")</formula>
    </cfRule>
    <cfRule type="expression" dxfId="108" priority="30">
      <formula>AND(TRIM($A2)="Denied",$K2&lt;&gt;"")</formula>
    </cfRule>
    <cfRule type="expression" dxfId="106" priority="28">
      <formula>TRIM($A2)="Rejected"</formula>
    </cfRule>
    <cfRule type="expression" dxfId="107" priority="29">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18"/>
  <sheetViews>
    <sheetView zoomScale="90" workbookViewId="0">
      <pane xSplit="2" ySplit="1" topLeftCell="C2" activePane="bottomRight" state="frozen"/>
      <selection pane="topRight"/>
      <selection pane="bottomLeft"/>
      <selection pane="bottomRight" activeCell="B34" sqref="B34"/>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30.28515625" customWidth="1"/>
    <col min="8" max="8" width="34" customWidth="1"/>
    <col min="9" max="9" width="40" hidden="1" customWidth="1"/>
    <col min="10" max="10" width="39" customWidth="1"/>
    <col min="11" max="11" width="14" customWidth="1"/>
    <col min="12" max="12" width="12" customWidth="1"/>
    <col min="13" max="13" width="18.140625" customWidth="1"/>
    <col min="14" max="14" width="16.710937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21</v>
      </c>
      <c r="B1" s="11" t="s">
        <v>22</v>
      </c>
      <c r="C1" s="11" t="s">
        <v>23</v>
      </c>
      <c r="D1" s="11" t="s">
        <v>24</v>
      </c>
      <c r="E1" s="11" t="s">
        <v>25</v>
      </c>
      <c r="F1" s="11" t="s">
        <v>26</v>
      </c>
      <c r="G1" s="11" t="s">
        <v>27</v>
      </c>
      <c r="H1" s="11" t="s">
        <v>28</v>
      </c>
      <c r="I1" s="11" t="s">
        <v>29</v>
      </c>
      <c r="J1" s="11" t="s">
        <v>30</v>
      </c>
      <c r="K1" s="11" t="s">
        <v>31</v>
      </c>
      <c r="L1" s="1" t="s">
        <v>32</v>
      </c>
      <c r="M1" s="1" t="s">
        <v>33</v>
      </c>
      <c r="N1" s="1" t="s">
        <v>34</v>
      </c>
      <c r="O1" s="11" t="s">
        <v>35</v>
      </c>
      <c r="P1" s="11" t="s">
        <v>36</v>
      </c>
      <c r="Q1" s="11" t="s">
        <v>37</v>
      </c>
      <c r="R1" s="11" t="s">
        <v>38</v>
      </c>
      <c r="S1" s="11" t="s">
        <v>39</v>
      </c>
      <c r="T1" s="11" t="s">
        <v>40</v>
      </c>
      <c r="U1" s="11" t="s">
        <v>41</v>
      </c>
      <c r="V1" s="11" t="s">
        <v>42</v>
      </c>
      <c r="W1" s="11" t="s">
        <v>43</v>
      </c>
      <c r="X1" s="11" t="s">
        <v>44</v>
      </c>
      <c r="Y1" s="11" t="s">
        <v>45</v>
      </c>
      <c r="Z1" s="11" t="s">
        <v>46</v>
      </c>
      <c r="AA1" s="11" t="s">
        <v>47</v>
      </c>
      <c r="AB1" s="11" t="s">
        <v>48</v>
      </c>
      <c r="AC1" s="11" t="s">
        <v>49</v>
      </c>
      <c r="AD1" s="11" t="s">
        <v>50</v>
      </c>
      <c r="AE1" s="11" t="s">
        <v>51</v>
      </c>
      <c r="AF1" s="11" t="s">
        <v>52</v>
      </c>
      <c r="AG1" s="11" t="s">
        <v>53</v>
      </c>
      <c r="AH1" s="11" t="s">
        <v>54</v>
      </c>
      <c r="AI1" s="11" t="s">
        <v>55</v>
      </c>
      <c r="AJ1" s="11" t="s">
        <v>56</v>
      </c>
      <c r="AK1" s="11" t="s">
        <v>57</v>
      </c>
      <c r="AL1" s="11" t="s">
        <v>58</v>
      </c>
      <c r="AM1" s="11" t="s">
        <v>59</v>
      </c>
      <c r="AN1" s="11" t="s">
        <v>60</v>
      </c>
    </row>
    <row r="2" spans="1:40" x14ac:dyDescent="0.25">
      <c r="A2" s="2" t="s">
        <v>426</v>
      </c>
      <c r="B2" s="2" t="s">
        <v>430</v>
      </c>
      <c r="C2" s="3"/>
      <c r="D2" s="4">
        <v>556696226</v>
      </c>
      <c r="E2" s="5" t="s">
        <v>327</v>
      </c>
      <c r="F2" s="6">
        <v>46125</v>
      </c>
      <c r="G2" s="5" t="s">
        <v>328</v>
      </c>
      <c r="H2" s="5" t="s">
        <v>328</v>
      </c>
      <c r="I2" s="5" t="s">
        <v>65</v>
      </c>
      <c r="J2" s="5" t="s">
        <v>329</v>
      </c>
      <c r="K2" s="3"/>
      <c r="L2" s="4" t="str">
        <f ca="1">IF($O2="","",$O2-TODAY())</f>
        <v/>
      </c>
      <c r="M2" s="4"/>
      <c r="N2" s="4"/>
      <c r="O2" s="6"/>
      <c r="P2" s="5"/>
      <c r="Q2" s="5" t="s">
        <v>127</v>
      </c>
      <c r="R2" s="5"/>
      <c r="S2" s="5"/>
      <c r="T2" s="5"/>
      <c r="U2" s="5"/>
      <c r="V2" s="5" t="s">
        <v>330</v>
      </c>
      <c r="W2" s="5"/>
      <c r="X2" s="5"/>
      <c r="Y2" s="5" t="s">
        <v>71</v>
      </c>
      <c r="Z2" s="7">
        <v>9768.43</v>
      </c>
      <c r="AA2" s="7">
        <v>0</v>
      </c>
      <c r="AB2" s="7">
        <v>0</v>
      </c>
      <c r="AC2" s="6"/>
      <c r="AD2" s="7">
        <v>9768.43</v>
      </c>
      <c r="AE2" s="4">
        <v>117</v>
      </c>
      <c r="AF2" s="5" t="s">
        <v>159</v>
      </c>
      <c r="AG2" s="5" t="s">
        <v>168</v>
      </c>
      <c r="AH2" s="5" t="s">
        <v>287</v>
      </c>
      <c r="AI2" s="5" t="s">
        <v>331</v>
      </c>
      <c r="AJ2" s="4"/>
      <c r="AK2" s="5" t="s">
        <v>188</v>
      </c>
      <c r="AL2" s="5" t="s">
        <v>252</v>
      </c>
      <c r="AM2" s="6">
        <v>46133</v>
      </c>
      <c r="AN2" s="5" t="s">
        <v>274</v>
      </c>
    </row>
    <row r="3" spans="1:40" x14ac:dyDescent="0.25">
      <c r="A3" s="2" t="s">
        <v>426</v>
      </c>
      <c r="B3" s="2" t="s">
        <v>431</v>
      </c>
      <c r="C3" s="3"/>
      <c r="D3" s="4">
        <v>556723206</v>
      </c>
      <c r="E3" s="5" t="s">
        <v>332</v>
      </c>
      <c r="F3" s="6">
        <v>46127</v>
      </c>
      <c r="G3" s="5" t="s">
        <v>333</v>
      </c>
      <c r="H3" s="5" t="s">
        <v>333</v>
      </c>
      <c r="I3" s="5" t="s">
        <v>65</v>
      </c>
      <c r="J3" s="5" t="s">
        <v>290</v>
      </c>
      <c r="K3" s="3"/>
      <c r="L3" s="4" t="str">
        <f ca="1">IF($O3="","",$O3-TODAY())</f>
        <v/>
      </c>
      <c r="M3" s="4"/>
      <c r="N3" s="4"/>
      <c r="O3" s="6"/>
      <c r="P3" s="5"/>
      <c r="Q3" s="5" t="s">
        <v>127</v>
      </c>
      <c r="R3" s="5"/>
      <c r="S3" s="5"/>
      <c r="T3" s="5"/>
      <c r="U3" s="5"/>
      <c r="V3" s="5"/>
      <c r="W3" s="5"/>
      <c r="X3" s="5"/>
      <c r="Y3" s="5" t="s">
        <v>71</v>
      </c>
      <c r="Z3" s="7">
        <v>9056.39</v>
      </c>
      <c r="AA3" s="7">
        <v>0</v>
      </c>
      <c r="AB3" s="7">
        <v>0</v>
      </c>
      <c r="AC3" s="6"/>
      <c r="AD3" s="7">
        <v>9056.39</v>
      </c>
      <c r="AE3" s="4">
        <v>115</v>
      </c>
      <c r="AF3" s="5" t="s">
        <v>281</v>
      </c>
      <c r="AG3" s="5" t="s">
        <v>165</v>
      </c>
      <c r="AH3" s="5" t="s">
        <v>154</v>
      </c>
      <c r="AI3" s="5" t="s">
        <v>287</v>
      </c>
      <c r="AJ3" s="4"/>
      <c r="AK3" s="5" t="s">
        <v>288</v>
      </c>
      <c r="AL3" s="5" t="s">
        <v>252</v>
      </c>
      <c r="AM3" s="6">
        <v>46164</v>
      </c>
      <c r="AN3" s="5" t="s">
        <v>274</v>
      </c>
    </row>
    <row r="4" spans="1:40" x14ac:dyDescent="0.25">
      <c r="A4" s="2" t="s">
        <v>61</v>
      </c>
      <c r="B4" s="2" t="s">
        <v>414</v>
      </c>
      <c r="C4" s="3">
        <v>46135</v>
      </c>
      <c r="D4" s="4">
        <v>556660363</v>
      </c>
      <c r="E4" s="5" t="s">
        <v>269</v>
      </c>
      <c r="F4" s="6">
        <v>46118</v>
      </c>
      <c r="G4" s="5" t="s">
        <v>64</v>
      </c>
      <c r="H4" s="5" t="s">
        <v>64</v>
      </c>
      <c r="I4" s="5" t="s">
        <v>270</v>
      </c>
      <c r="J4" s="5" t="s">
        <v>271</v>
      </c>
      <c r="K4" s="3">
        <v>46279</v>
      </c>
      <c r="L4" s="12">
        <f ca="1">IF($O4="","",$O4-TODAY())</f>
        <v>183</v>
      </c>
      <c r="M4" s="12">
        <f ca="1">IF(AND(TRIM($A4)="Finalized",$K4&lt;&gt;""),"",IF($C4="","",$C4+365-TODAY()))</f>
        <v>200</v>
      </c>
      <c r="N4" s="12">
        <f ca="1">IF(AND(TRIM($A4)="Finalized",$K4&lt;&gt;""),"",IF($C4="","",$C4+120-TODAY()))</f>
        <v>-45</v>
      </c>
      <c r="O4" s="6">
        <f>IF(AND(TRIM($A4)="Finalized",$K4&lt;&gt;""),"",DATE(2027,4,6))</f>
        <v>46483</v>
      </c>
      <c r="P4" s="5" t="s">
        <v>67</v>
      </c>
      <c r="Q4" s="5" t="s">
        <v>68</v>
      </c>
      <c r="R4" s="5" t="s">
        <v>67</v>
      </c>
      <c r="S4" s="5" t="s">
        <v>69</v>
      </c>
      <c r="T4" s="5" t="s">
        <v>70</v>
      </c>
      <c r="U4" s="5" t="s">
        <v>69</v>
      </c>
      <c r="V4" s="5"/>
      <c r="W4" s="5"/>
      <c r="X4" s="5"/>
      <c r="Y4" s="5" t="s">
        <v>71</v>
      </c>
      <c r="Z4" s="7">
        <v>5784.24</v>
      </c>
      <c r="AA4" s="7">
        <v>0</v>
      </c>
      <c r="AB4" s="7">
        <v>0</v>
      </c>
      <c r="AC4" s="6">
        <v>46135</v>
      </c>
      <c r="AD4" s="7">
        <v>5784.24</v>
      </c>
      <c r="AE4" s="4">
        <v>124</v>
      </c>
      <c r="AF4" s="5" t="s">
        <v>272</v>
      </c>
      <c r="AG4" s="5" t="s">
        <v>273</v>
      </c>
      <c r="AH4" s="5"/>
      <c r="AI4" s="5"/>
      <c r="AJ4" s="4"/>
      <c r="AK4" s="5" t="s">
        <v>188</v>
      </c>
      <c r="AL4" s="5" t="s">
        <v>252</v>
      </c>
      <c r="AM4" s="6">
        <v>46133</v>
      </c>
      <c r="AN4" s="5" t="s">
        <v>274</v>
      </c>
    </row>
    <row r="5" spans="1:40" x14ac:dyDescent="0.25">
      <c r="A5" s="2" t="s">
        <v>61</v>
      </c>
      <c r="B5" s="2" t="s">
        <v>412</v>
      </c>
      <c r="C5" s="3">
        <v>46140</v>
      </c>
      <c r="D5" s="4">
        <v>556661876</v>
      </c>
      <c r="E5" s="5" t="s">
        <v>275</v>
      </c>
      <c r="F5" s="6">
        <v>46118</v>
      </c>
      <c r="G5" s="5" t="s">
        <v>64</v>
      </c>
      <c r="H5" s="5" t="s">
        <v>64</v>
      </c>
      <c r="I5" s="5" t="s">
        <v>276</v>
      </c>
      <c r="J5" s="5" t="s">
        <v>271</v>
      </c>
      <c r="K5" s="3">
        <v>46279</v>
      </c>
      <c r="L5" s="12">
        <f ca="1">IF($O5="","",$O5-TODAY())</f>
        <v>183</v>
      </c>
      <c r="M5" s="12">
        <f ca="1">IF(AND(TRIM($A5)="Finalized",$K5&lt;&gt;""),"",IF($C5="","",$C5+365-TODAY()))</f>
        <v>205</v>
      </c>
      <c r="N5" s="12">
        <f ca="1">IF(AND(TRIM($A5)="Finalized",$K5&lt;&gt;""),"",IF($C5="","",$C5+120-TODAY()))</f>
        <v>-40</v>
      </c>
      <c r="O5" s="6">
        <f>IF(AND(TRIM($A5)="Finalized",$K5&lt;&gt;""),"",DATE(2027,4,6))</f>
        <v>46483</v>
      </c>
      <c r="P5" s="5" t="s">
        <v>67</v>
      </c>
      <c r="Q5" s="5" t="s">
        <v>68</v>
      </c>
      <c r="R5" s="5" t="s">
        <v>67</v>
      </c>
      <c r="S5" s="5" t="s">
        <v>69</v>
      </c>
      <c r="T5" s="5" t="s">
        <v>70</v>
      </c>
      <c r="U5" s="5" t="s">
        <v>69</v>
      </c>
      <c r="V5" s="5"/>
      <c r="W5" s="5"/>
      <c r="X5" s="5"/>
      <c r="Y5" s="5" t="s">
        <v>71</v>
      </c>
      <c r="Z5" s="7">
        <v>5784.24</v>
      </c>
      <c r="AA5" s="7">
        <v>0</v>
      </c>
      <c r="AB5" s="7">
        <v>0</v>
      </c>
      <c r="AC5" s="6">
        <v>46140</v>
      </c>
      <c r="AD5" s="7">
        <v>5784.24</v>
      </c>
      <c r="AE5" s="4">
        <v>124</v>
      </c>
      <c r="AF5" s="5" t="s">
        <v>227</v>
      </c>
      <c r="AG5" s="5" t="s">
        <v>277</v>
      </c>
      <c r="AH5" s="5"/>
      <c r="AI5" s="5"/>
      <c r="AJ5" s="4"/>
      <c r="AK5" s="5" t="s">
        <v>188</v>
      </c>
      <c r="AL5" s="5" t="s">
        <v>252</v>
      </c>
      <c r="AM5" s="6">
        <v>46133</v>
      </c>
      <c r="AN5" s="5" t="s">
        <v>274</v>
      </c>
    </row>
    <row r="6" spans="1:40" x14ac:dyDescent="0.25">
      <c r="A6" s="2" t="s">
        <v>61</v>
      </c>
      <c r="B6" s="2" t="s">
        <v>413</v>
      </c>
      <c r="C6" s="3">
        <v>46136</v>
      </c>
      <c r="D6" s="4">
        <v>556715025</v>
      </c>
      <c r="E6" s="5" t="s">
        <v>166</v>
      </c>
      <c r="F6" s="6">
        <v>46128</v>
      </c>
      <c r="G6" s="5" t="s">
        <v>64</v>
      </c>
      <c r="H6" s="5" t="s">
        <v>64</v>
      </c>
      <c r="I6" s="5" t="s">
        <v>86</v>
      </c>
      <c r="J6" s="5" t="s">
        <v>271</v>
      </c>
      <c r="K6" s="3">
        <v>46279</v>
      </c>
      <c r="L6" s="12">
        <f ca="1">IF($O6="","",$O6-TODAY())</f>
        <v>193</v>
      </c>
      <c r="M6" s="12">
        <f ca="1">IF(AND(TRIM($A6)="Finalized",$K6&lt;&gt;""),"",IF($C6="","",$C6+365-TODAY()))</f>
        <v>201</v>
      </c>
      <c r="N6" s="12">
        <f ca="1">IF(AND(TRIM($A6)="Finalized",$K6&lt;&gt;""),"",IF($C6="","",$C6+120-TODAY()))</f>
        <v>-44</v>
      </c>
      <c r="O6" s="6">
        <f>IF(AND(TRIM($A6)="Finalized",$K6&lt;&gt;""),"",DATE(2027,4,16))</f>
        <v>46493</v>
      </c>
      <c r="P6" s="5" t="s">
        <v>67</v>
      </c>
      <c r="Q6" s="5" t="s">
        <v>68</v>
      </c>
      <c r="R6" s="5" t="s">
        <v>67</v>
      </c>
      <c r="S6" s="5" t="s">
        <v>69</v>
      </c>
      <c r="T6" s="5" t="s">
        <v>70</v>
      </c>
      <c r="U6" s="5" t="s">
        <v>69</v>
      </c>
      <c r="V6" s="5"/>
      <c r="W6" s="5"/>
      <c r="X6" s="5"/>
      <c r="Y6" s="5" t="s">
        <v>71</v>
      </c>
      <c r="Z6" s="7">
        <v>5784.24</v>
      </c>
      <c r="AA6" s="7">
        <v>0</v>
      </c>
      <c r="AB6" s="7">
        <v>0</v>
      </c>
      <c r="AC6" s="6">
        <v>46136</v>
      </c>
      <c r="AD6" s="7">
        <v>5784.24</v>
      </c>
      <c r="AE6" s="4">
        <v>114</v>
      </c>
      <c r="AF6" s="5" t="s">
        <v>277</v>
      </c>
      <c r="AG6" s="5"/>
      <c r="AH6" s="5"/>
      <c r="AI6" s="5"/>
      <c r="AJ6" s="4"/>
      <c r="AK6" s="5" t="s">
        <v>188</v>
      </c>
      <c r="AL6" s="5" t="s">
        <v>252</v>
      </c>
      <c r="AM6" s="6">
        <v>46133</v>
      </c>
      <c r="AN6" s="5" t="s">
        <v>274</v>
      </c>
    </row>
    <row r="7" spans="1:40" x14ac:dyDescent="0.25">
      <c r="A7" s="2" t="s">
        <v>76</v>
      </c>
      <c r="B7" s="2" t="s">
        <v>406</v>
      </c>
      <c r="C7" s="3">
        <v>46136</v>
      </c>
      <c r="D7" s="4">
        <v>556710044</v>
      </c>
      <c r="E7" s="5" t="s">
        <v>278</v>
      </c>
      <c r="F7" s="6">
        <v>46132</v>
      </c>
      <c r="G7" s="5" t="s">
        <v>64</v>
      </c>
      <c r="H7" s="5" t="s">
        <v>64</v>
      </c>
      <c r="I7" s="5" t="s">
        <v>148</v>
      </c>
      <c r="J7" s="5" t="s">
        <v>279</v>
      </c>
      <c r="K7" s="3">
        <v>46266</v>
      </c>
      <c r="L7" s="12">
        <f ca="1">IF($O7="","",$O7-TODAY())</f>
        <v>197</v>
      </c>
      <c r="M7" s="12">
        <f ca="1">IF(AND(TRIM($A7)="Finalized",$K7&lt;&gt;""),"",IF($C7="","",$C7+365-TODAY()))</f>
        <v>201</v>
      </c>
      <c r="N7" s="12">
        <f ca="1">IF(AND(TRIM($A7)="Finalized",$K7&lt;&gt;""),"",IF($C7="","",$C7+120-TODAY()))</f>
        <v>-44</v>
      </c>
      <c r="O7" s="6">
        <f>IF(AND(TRIM($A7)="Finalized",$K7&lt;&gt;""),"",DATE(2027,4,20))</f>
        <v>46497</v>
      </c>
      <c r="P7" s="5" t="s">
        <v>67</v>
      </c>
      <c r="Q7" s="5" t="s">
        <v>68</v>
      </c>
      <c r="R7" s="5" t="s">
        <v>67</v>
      </c>
      <c r="S7" s="5" t="s">
        <v>69</v>
      </c>
      <c r="T7" s="5" t="s">
        <v>70</v>
      </c>
      <c r="U7" s="5" t="s">
        <v>69</v>
      </c>
      <c r="V7" s="5" t="s">
        <v>142</v>
      </c>
      <c r="W7" s="5"/>
      <c r="X7" s="5"/>
      <c r="Y7" s="5" t="s">
        <v>71</v>
      </c>
      <c r="Z7" s="7">
        <v>7623.07</v>
      </c>
      <c r="AA7" s="7">
        <v>0</v>
      </c>
      <c r="AB7" s="7">
        <v>0</v>
      </c>
      <c r="AC7" s="6">
        <v>46136</v>
      </c>
      <c r="AD7" s="7">
        <v>7623.07</v>
      </c>
      <c r="AE7" s="4">
        <v>110</v>
      </c>
      <c r="AF7" s="5" t="s">
        <v>159</v>
      </c>
      <c r="AG7" s="5"/>
      <c r="AH7" s="5"/>
      <c r="AI7" s="5"/>
      <c r="AJ7" s="4"/>
      <c r="AK7" s="5" t="s">
        <v>116</v>
      </c>
      <c r="AL7" s="5" t="s">
        <v>252</v>
      </c>
      <c r="AM7" s="6">
        <v>46134</v>
      </c>
      <c r="AN7" s="5" t="s">
        <v>274</v>
      </c>
    </row>
    <row r="8" spans="1:40" x14ac:dyDescent="0.25">
      <c r="A8" s="2" t="s">
        <v>61</v>
      </c>
      <c r="B8" s="2" t="s">
        <v>407</v>
      </c>
      <c r="C8" s="3">
        <v>46147</v>
      </c>
      <c r="D8" s="4">
        <v>557458399</v>
      </c>
      <c r="E8" s="5" t="s">
        <v>164</v>
      </c>
      <c r="F8" s="6">
        <v>46135</v>
      </c>
      <c r="G8" s="5" t="s">
        <v>64</v>
      </c>
      <c r="H8" s="5" t="s">
        <v>64</v>
      </c>
      <c r="I8" s="5" t="s">
        <v>148</v>
      </c>
      <c r="J8" s="5" t="s">
        <v>280</v>
      </c>
      <c r="K8" s="3">
        <v>46278</v>
      </c>
      <c r="L8" s="12">
        <f ca="1">IF($O8="","",$O8-TODAY())</f>
        <v>200</v>
      </c>
      <c r="M8" s="12">
        <f ca="1">IF(AND(TRIM($A8)="Finalized",$K8&lt;&gt;""),"",IF($C8="","",$C8+365-TODAY()))</f>
        <v>212</v>
      </c>
      <c r="N8" s="12">
        <f ca="1">IF(AND(TRIM($A8)="Finalized",$K8&lt;&gt;""),"",IF($C8="","",$C8+120-TODAY()))</f>
        <v>-33</v>
      </c>
      <c r="O8" s="6">
        <f>IF(AND(TRIM($A8)="Finalized",$K8&lt;&gt;""),"",DATE(2027,4,23))</f>
        <v>46500</v>
      </c>
      <c r="P8" s="5" t="s">
        <v>67</v>
      </c>
      <c r="Q8" s="5" t="s">
        <v>68</v>
      </c>
      <c r="R8" s="5" t="s">
        <v>67</v>
      </c>
      <c r="S8" s="5" t="s">
        <v>69</v>
      </c>
      <c r="T8" s="5" t="s">
        <v>70</v>
      </c>
      <c r="U8" s="5" t="s">
        <v>69</v>
      </c>
      <c r="V8" s="5"/>
      <c r="W8" s="5"/>
      <c r="X8" s="5"/>
      <c r="Y8" s="5" t="s">
        <v>71</v>
      </c>
      <c r="Z8" s="7">
        <v>7623.07</v>
      </c>
      <c r="AA8" s="7">
        <v>0</v>
      </c>
      <c r="AB8" s="7">
        <v>0</v>
      </c>
      <c r="AC8" s="6">
        <v>46147</v>
      </c>
      <c r="AD8" s="7">
        <v>7623.07</v>
      </c>
      <c r="AE8" s="4">
        <v>107</v>
      </c>
      <c r="AF8" s="5" t="s">
        <v>281</v>
      </c>
      <c r="AG8" s="5" t="s">
        <v>165</v>
      </c>
      <c r="AH8" s="5" t="s">
        <v>282</v>
      </c>
      <c r="AI8" s="5"/>
      <c r="AJ8" s="4"/>
      <c r="AK8" s="5" t="s">
        <v>188</v>
      </c>
      <c r="AL8" s="5" t="s">
        <v>252</v>
      </c>
      <c r="AM8" s="6">
        <v>46140</v>
      </c>
      <c r="AN8" s="5" t="s">
        <v>274</v>
      </c>
    </row>
    <row r="9" spans="1:40" x14ac:dyDescent="0.25">
      <c r="A9" s="2" t="s">
        <v>61</v>
      </c>
      <c r="B9" s="2" t="s">
        <v>408</v>
      </c>
      <c r="C9" s="3">
        <v>46218</v>
      </c>
      <c r="D9" s="4">
        <v>556734047</v>
      </c>
      <c r="E9" s="5" t="s">
        <v>283</v>
      </c>
      <c r="F9" s="6">
        <v>46113</v>
      </c>
      <c r="G9" s="5" t="s">
        <v>184</v>
      </c>
      <c r="H9" s="5" t="s">
        <v>184</v>
      </c>
      <c r="I9" s="5" t="s">
        <v>65</v>
      </c>
      <c r="J9" s="5" t="s">
        <v>284</v>
      </c>
      <c r="K9" s="3">
        <v>46278</v>
      </c>
      <c r="L9" s="12">
        <f ca="1">IF($O9="","",$O9-TODAY())</f>
        <v>-97</v>
      </c>
      <c r="M9" s="12">
        <f ca="1">IF(AND(TRIM($A9)="Finalized",$K9&lt;&gt;""),"",IF($C9="","",$C9+180-TODAY()))</f>
        <v>98</v>
      </c>
      <c r="N9" s="12">
        <f ca="1">IF(AND(TRIM($A9)="Finalized",$K9&lt;&gt;""),"",IF($C9="","",$C9+365-TODAY()))</f>
        <v>283</v>
      </c>
      <c r="O9" s="6">
        <f>IF(AND(TRIM($A9)="Finalized",$K9&lt;&gt;""),"",DATE(2026,6,30))</f>
        <v>46203</v>
      </c>
      <c r="P9" s="5" t="s">
        <v>87</v>
      </c>
      <c r="Q9" s="5" t="s">
        <v>186</v>
      </c>
      <c r="R9" s="5" t="s">
        <v>179</v>
      </c>
      <c r="S9" s="5" t="s">
        <v>69</v>
      </c>
      <c r="T9" s="5" t="s">
        <v>67</v>
      </c>
      <c r="U9" s="5" t="s">
        <v>69</v>
      </c>
      <c r="V9" s="5"/>
      <c r="W9" s="5"/>
      <c r="X9" s="5"/>
      <c r="Y9" s="5" t="s">
        <v>71</v>
      </c>
      <c r="Z9" s="7">
        <v>9056.39</v>
      </c>
      <c r="AA9" s="7">
        <v>0</v>
      </c>
      <c r="AB9" s="7">
        <v>0</v>
      </c>
      <c r="AC9" s="6">
        <v>46218</v>
      </c>
      <c r="AD9" s="7">
        <v>9056.39</v>
      </c>
      <c r="AE9" s="4">
        <v>129</v>
      </c>
      <c r="AF9" s="5" t="s">
        <v>285</v>
      </c>
      <c r="AG9" s="5" t="s">
        <v>286</v>
      </c>
      <c r="AH9" s="5" t="s">
        <v>287</v>
      </c>
      <c r="AI9" s="5"/>
      <c r="AJ9" s="4"/>
      <c r="AK9" s="5" t="s">
        <v>288</v>
      </c>
      <c r="AL9" s="5" t="s">
        <v>252</v>
      </c>
      <c r="AM9" s="6">
        <v>46146</v>
      </c>
      <c r="AN9" s="5" t="s">
        <v>274</v>
      </c>
    </row>
    <row r="10" spans="1:40" x14ac:dyDescent="0.25">
      <c r="A10" s="2" t="s">
        <v>61</v>
      </c>
      <c r="B10" s="2" t="s">
        <v>405</v>
      </c>
      <c r="C10" s="3">
        <v>46252</v>
      </c>
      <c r="D10" s="4">
        <v>556717576</v>
      </c>
      <c r="E10" s="5" t="s">
        <v>295</v>
      </c>
      <c r="F10" s="6">
        <v>46127</v>
      </c>
      <c r="G10" s="5" t="s">
        <v>296</v>
      </c>
      <c r="H10" s="5" t="s">
        <v>296</v>
      </c>
      <c r="I10" s="5" t="s">
        <v>65</v>
      </c>
      <c r="J10" s="5" t="s">
        <v>297</v>
      </c>
      <c r="K10" s="3">
        <v>46278</v>
      </c>
      <c r="L10" s="12">
        <f ca="1">IF($O10="","",$O10-TODAY())</f>
        <v>-83</v>
      </c>
      <c r="M10" s="12">
        <f ca="1">IF(AND(TRIM($A10)="Finalized",$K10&lt;&gt;""),"",IF($C10="","",$C10+180-TODAY()))</f>
        <v>132</v>
      </c>
      <c r="N10" s="12">
        <f ca="1">IF(AND(TRIM($A10)="Finalized",$K10&lt;&gt;""),"",IF($C10="","",$C10+365-TODAY()))</f>
        <v>317</v>
      </c>
      <c r="O10" s="6">
        <f>IF(AND(TRIM($A10)="Finalized",$K10&lt;&gt;""),"",DATE(2026,7,14))</f>
        <v>46217</v>
      </c>
      <c r="P10" s="5" t="s">
        <v>87</v>
      </c>
      <c r="Q10" s="5" t="s">
        <v>298</v>
      </c>
      <c r="R10" s="5" t="s">
        <v>179</v>
      </c>
      <c r="S10" s="5" t="s">
        <v>69</v>
      </c>
      <c r="T10" s="5" t="s">
        <v>67</v>
      </c>
      <c r="U10" s="5" t="s">
        <v>69</v>
      </c>
      <c r="V10" s="5" t="s">
        <v>299</v>
      </c>
      <c r="W10" s="5"/>
      <c r="X10" s="5"/>
      <c r="Y10" s="5" t="s">
        <v>71</v>
      </c>
      <c r="Z10" s="7">
        <v>20158.46</v>
      </c>
      <c r="AA10" s="7">
        <v>0</v>
      </c>
      <c r="AB10" s="7">
        <v>0</v>
      </c>
      <c r="AC10" s="6"/>
      <c r="AD10" s="7">
        <v>20158.46</v>
      </c>
      <c r="AE10" s="4">
        <v>115</v>
      </c>
      <c r="AF10" s="5" t="s">
        <v>221</v>
      </c>
      <c r="AG10" s="5" t="s">
        <v>220</v>
      </c>
      <c r="AH10" s="5" t="s">
        <v>300</v>
      </c>
      <c r="AI10" s="5"/>
      <c r="AJ10" s="4"/>
      <c r="AK10" s="5" t="s">
        <v>288</v>
      </c>
      <c r="AL10" s="5" t="s">
        <v>252</v>
      </c>
      <c r="AM10" s="6">
        <v>46197</v>
      </c>
      <c r="AN10" s="5" t="s">
        <v>274</v>
      </c>
    </row>
    <row r="11" spans="1:40" x14ac:dyDescent="0.25">
      <c r="A11" s="2" t="s">
        <v>61</v>
      </c>
      <c r="B11" s="2" t="s">
        <v>415</v>
      </c>
      <c r="C11" s="3">
        <v>46202</v>
      </c>
      <c r="D11" s="4">
        <v>563133469</v>
      </c>
      <c r="E11" s="5" t="s">
        <v>303</v>
      </c>
      <c r="F11" s="6">
        <v>46135</v>
      </c>
      <c r="G11" s="5" t="s">
        <v>214</v>
      </c>
      <c r="H11" s="5" t="s">
        <v>214</v>
      </c>
      <c r="I11" s="5" t="s">
        <v>65</v>
      </c>
      <c r="J11" s="5" t="s">
        <v>304</v>
      </c>
      <c r="K11" s="3">
        <v>46279</v>
      </c>
      <c r="L11" s="12">
        <f ca="1">IF($O11="","",$O11-TODAY())</f>
        <v>-75</v>
      </c>
      <c r="M11" s="12">
        <f ca="1">IF(AND(TRIM($A11)="Finalized",$K11&lt;&gt;""),"",IF($F11="","",$F11+90-TODAY()))</f>
        <v>-75</v>
      </c>
      <c r="N11" s="12">
        <f ca="1">IF(AND(TRIM($A11)="Finalized",$K11&lt;&gt;""),"",IF($C11="","",$C11+60-TODAY()))</f>
        <v>-38</v>
      </c>
      <c r="O11" s="6">
        <f>IF(AND(TRIM($A11)="Finalized",$K11&lt;&gt;""),"",DATE(2026,7,22))</f>
        <v>46225</v>
      </c>
      <c r="P11" s="5" t="s">
        <v>87</v>
      </c>
      <c r="Q11" s="5" t="s">
        <v>217</v>
      </c>
      <c r="R11" s="5" t="s">
        <v>87</v>
      </c>
      <c r="S11" s="5" t="s">
        <v>114</v>
      </c>
      <c r="T11" s="5" t="s">
        <v>115</v>
      </c>
      <c r="U11" s="5" t="s">
        <v>69</v>
      </c>
      <c r="V11" s="5" t="s">
        <v>299</v>
      </c>
      <c r="W11" s="5"/>
      <c r="X11" s="5"/>
      <c r="Y11" s="5" t="s">
        <v>71</v>
      </c>
      <c r="Z11" s="7">
        <v>20158.46</v>
      </c>
      <c r="AA11" s="7">
        <v>0</v>
      </c>
      <c r="AB11" s="7">
        <v>0</v>
      </c>
      <c r="AC11" s="6">
        <v>46202</v>
      </c>
      <c r="AD11" s="7">
        <v>20158.46</v>
      </c>
      <c r="AE11" s="4">
        <v>107</v>
      </c>
      <c r="AF11" s="5" t="s">
        <v>168</v>
      </c>
      <c r="AG11" s="5" t="s">
        <v>174</v>
      </c>
      <c r="AH11" s="5"/>
      <c r="AI11" s="5"/>
      <c r="AJ11" s="4"/>
      <c r="AK11" s="5" t="s">
        <v>305</v>
      </c>
      <c r="AL11" s="5" t="s">
        <v>306</v>
      </c>
      <c r="AM11" s="6">
        <v>46147</v>
      </c>
      <c r="AN11" s="5" t="s">
        <v>274</v>
      </c>
    </row>
    <row r="12" spans="1:40" x14ac:dyDescent="0.25">
      <c r="A12" s="2" t="s">
        <v>61</v>
      </c>
      <c r="B12" s="2" t="s">
        <v>411</v>
      </c>
      <c r="C12" s="3">
        <v>46156</v>
      </c>
      <c r="D12" s="4">
        <v>558377934</v>
      </c>
      <c r="E12" s="5" t="s">
        <v>307</v>
      </c>
      <c r="F12" s="6">
        <v>46139</v>
      </c>
      <c r="G12" s="5" t="s">
        <v>207</v>
      </c>
      <c r="H12" s="5" t="s">
        <v>207</v>
      </c>
      <c r="I12" s="5" t="s">
        <v>65</v>
      </c>
      <c r="J12" s="5" t="s">
        <v>308</v>
      </c>
      <c r="K12" s="3">
        <v>46278</v>
      </c>
      <c r="L12" s="12">
        <f ca="1">IF($O12="","",$O12-TODAY())</f>
        <v>-71</v>
      </c>
      <c r="M12" s="12">
        <f ca="1">IF(AND(TRIM($A12)="Finalized",$K12&lt;&gt;""),"",IF($C12="","",$C12+180-TODAY()))</f>
        <v>36</v>
      </c>
      <c r="N12" s="12">
        <f ca="1">IF(AND(TRIM($A12)="Finalized",$K12&lt;&gt;""),"",IF($C12="","",$C12+365-TODAY()))</f>
        <v>221</v>
      </c>
      <c r="O12" s="6">
        <f>IF(AND(TRIM($A12)="Finalized",$K12&lt;&gt;""),"",DATE(2026,7,26))</f>
        <v>46229</v>
      </c>
      <c r="P12" s="5" t="s">
        <v>87</v>
      </c>
      <c r="Q12" s="5" t="s">
        <v>209</v>
      </c>
      <c r="R12" s="5" t="s">
        <v>179</v>
      </c>
      <c r="S12" s="5" t="s">
        <v>69</v>
      </c>
      <c r="T12" s="5" t="s">
        <v>67</v>
      </c>
      <c r="U12" s="5" t="s">
        <v>69</v>
      </c>
      <c r="V12" s="5"/>
      <c r="W12" s="5"/>
      <c r="X12" s="5"/>
      <c r="Y12" s="5" t="s">
        <v>71</v>
      </c>
      <c r="Z12" s="7">
        <v>14614.67</v>
      </c>
      <c r="AA12" s="7">
        <v>0</v>
      </c>
      <c r="AB12" s="7">
        <v>0</v>
      </c>
      <c r="AC12" s="6">
        <v>46156</v>
      </c>
      <c r="AD12" s="7">
        <v>14614.67</v>
      </c>
      <c r="AE12" s="4">
        <v>103</v>
      </c>
      <c r="AF12" s="5" t="s">
        <v>221</v>
      </c>
      <c r="AG12" s="5" t="s">
        <v>309</v>
      </c>
      <c r="AH12" s="5" t="s">
        <v>310</v>
      </c>
      <c r="AI12" s="5"/>
      <c r="AJ12" s="4"/>
      <c r="AK12" s="5" t="s">
        <v>188</v>
      </c>
      <c r="AL12" s="5" t="s">
        <v>252</v>
      </c>
      <c r="AM12" s="6">
        <v>46148</v>
      </c>
      <c r="AN12" s="5" t="s">
        <v>274</v>
      </c>
    </row>
    <row r="13" spans="1:40" x14ac:dyDescent="0.25">
      <c r="A13" s="2" t="s">
        <v>61</v>
      </c>
      <c r="B13" s="2" t="s">
        <v>311</v>
      </c>
      <c r="C13" s="3">
        <v>46267</v>
      </c>
      <c r="D13" s="4">
        <v>558405759</v>
      </c>
      <c r="E13" s="5" t="s">
        <v>312</v>
      </c>
      <c r="F13" s="6">
        <v>46141</v>
      </c>
      <c r="G13" s="5" t="s">
        <v>207</v>
      </c>
      <c r="H13" s="5" t="s">
        <v>207</v>
      </c>
      <c r="I13" s="5" t="s">
        <v>65</v>
      </c>
      <c r="J13" s="5" t="s">
        <v>313</v>
      </c>
      <c r="K13" s="3">
        <v>46257</v>
      </c>
      <c r="L13" s="12">
        <f ca="1">IF($O13="","",$O13-TODAY())</f>
        <v>-69</v>
      </c>
      <c r="M13" s="12">
        <f ca="1">IF(AND(TRIM($A13)="Finalized",$K13&lt;&gt;""),"",IF($C13="","",$C13+180-TODAY()))</f>
        <v>147</v>
      </c>
      <c r="N13" s="12">
        <f ca="1">IF(AND(TRIM($A13)="Finalized",$K13&lt;&gt;""),"",IF($C13="","",$C13+365-TODAY()))</f>
        <v>332</v>
      </c>
      <c r="O13" s="6">
        <f>IF(AND(TRIM($A13)="Finalized",$K13&lt;&gt;""),"",DATE(2026,7,28))</f>
        <v>46231</v>
      </c>
      <c r="P13" s="5" t="s">
        <v>87</v>
      </c>
      <c r="Q13" s="5" t="s">
        <v>209</v>
      </c>
      <c r="R13" s="5" t="s">
        <v>179</v>
      </c>
      <c r="S13" s="5" t="s">
        <v>69</v>
      </c>
      <c r="T13" s="5" t="s">
        <v>67</v>
      </c>
      <c r="U13" s="5" t="s">
        <v>69</v>
      </c>
      <c r="V13" s="5" t="s">
        <v>299</v>
      </c>
      <c r="W13" s="5"/>
      <c r="X13" s="5"/>
      <c r="Y13" s="5" t="s">
        <v>71</v>
      </c>
      <c r="Z13" s="7">
        <v>23841.63</v>
      </c>
      <c r="AA13" s="7">
        <v>0</v>
      </c>
      <c r="AB13" s="7">
        <v>0</v>
      </c>
      <c r="AC13" s="6"/>
      <c r="AD13" s="7">
        <v>23841.63</v>
      </c>
      <c r="AE13" s="4">
        <v>101</v>
      </c>
      <c r="AF13" s="5" t="s">
        <v>314</v>
      </c>
      <c r="AG13" s="5" t="s">
        <v>300</v>
      </c>
      <c r="AH13" s="5" t="s">
        <v>220</v>
      </c>
      <c r="AI13" s="5" t="s">
        <v>315</v>
      </c>
      <c r="AJ13" s="4"/>
      <c r="AK13" s="5" t="s">
        <v>288</v>
      </c>
      <c r="AL13" s="5" t="s">
        <v>252</v>
      </c>
      <c r="AM13" s="6">
        <v>46184</v>
      </c>
      <c r="AN13" s="5" t="s">
        <v>274</v>
      </c>
    </row>
    <row r="14" spans="1:40" x14ac:dyDescent="0.25">
      <c r="A14" s="2" t="s">
        <v>61</v>
      </c>
      <c r="B14" s="2" t="s">
        <v>316</v>
      </c>
      <c r="C14" s="3">
        <v>46220</v>
      </c>
      <c r="D14" s="4">
        <v>556732851</v>
      </c>
      <c r="E14" s="5" t="s">
        <v>317</v>
      </c>
      <c r="F14" s="6">
        <v>46113</v>
      </c>
      <c r="G14" s="5" t="s">
        <v>318</v>
      </c>
      <c r="H14" s="5" t="s">
        <v>318</v>
      </c>
      <c r="I14" s="5" t="s">
        <v>65</v>
      </c>
      <c r="J14" s="5" t="s">
        <v>319</v>
      </c>
      <c r="K14" s="3">
        <v>46261</v>
      </c>
      <c r="L14" s="12">
        <f ca="1">IF($O14="","",$O14-TODAY())</f>
        <v>-67</v>
      </c>
      <c r="M14" s="12">
        <f ca="1">IF(AND(TRIM($A14)="Finalized",$K14&lt;&gt;""),"",IF($C14="","",$C14+180-TODAY()))</f>
        <v>100</v>
      </c>
      <c r="N14" s="12">
        <f ca="1">IF(AND(TRIM($A14)="Finalized",$K14&lt;&gt;""),"",IF($C14="","",$C14+180-TODAY()))</f>
        <v>100</v>
      </c>
      <c r="O14" s="6">
        <f>IF(AND(TRIM($A14)="Finalized",$K14&lt;&gt;""),"",DATE(2026,7,30))</f>
        <v>46233</v>
      </c>
      <c r="P14" s="5" t="s">
        <v>70</v>
      </c>
      <c r="Q14" s="5" t="s">
        <v>320</v>
      </c>
      <c r="R14" s="5" t="s">
        <v>179</v>
      </c>
      <c r="S14" s="5" t="s">
        <v>69</v>
      </c>
      <c r="T14" s="5" t="s">
        <v>179</v>
      </c>
      <c r="U14" s="5" t="s">
        <v>69</v>
      </c>
      <c r="V14" s="5" t="s">
        <v>299</v>
      </c>
      <c r="W14" s="5"/>
      <c r="X14" s="5"/>
      <c r="Y14" s="5" t="s">
        <v>71</v>
      </c>
      <c r="Z14" s="7">
        <v>23841.63</v>
      </c>
      <c r="AA14" s="7">
        <v>0</v>
      </c>
      <c r="AB14" s="7">
        <v>0</v>
      </c>
      <c r="AC14" s="6">
        <v>46220</v>
      </c>
      <c r="AD14" s="7">
        <v>23841.63</v>
      </c>
      <c r="AE14" s="4">
        <v>129</v>
      </c>
      <c r="AF14" s="5" t="s">
        <v>220</v>
      </c>
      <c r="AG14" s="5" t="s">
        <v>321</v>
      </c>
      <c r="AH14" s="5" t="s">
        <v>322</v>
      </c>
      <c r="AI14" s="5" t="s">
        <v>323</v>
      </c>
      <c r="AJ14" s="4"/>
      <c r="AK14" s="5" t="s">
        <v>288</v>
      </c>
      <c r="AL14" s="5" t="s">
        <v>252</v>
      </c>
      <c r="AM14" s="6">
        <v>46197</v>
      </c>
      <c r="AN14" s="5" t="s">
        <v>274</v>
      </c>
    </row>
    <row r="15" spans="1:40" x14ac:dyDescent="0.25">
      <c r="A15" s="2" t="s">
        <v>61</v>
      </c>
      <c r="B15" s="2" t="s">
        <v>416</v>
      </c>
      <c r="C15" s="3">
        <v>46136</v>
      </c>
      <c r="D15" s="4">
        <v>554827888</v>
      </c>
      <c r="E15" s="5" t="s">
        <v>324</v>
      </c>
      <c r="F15" s="6">
        <v>46115</v>
      </c>
      <c r="G15" s="5" t="s">
        <v>325</v>
      </c>
      <c r="H15" s="5" t="s">
        <v>325</v>
      </c>
      <c r="I15" s="5" t="s">
        <v>65</v>
      </c>
      <c r="J15" s="5" t="s">
        <v>280</v>
      </c>
      <c r="K15" s="3">
        <v>46279</v>
      </c>
      <c r="L15" s="12">
        <f ca="1">IF($O15="","",$O15-TODAY())</f>
        <v>-65</v>
      </c>
      <c r="M15" s="12">
        <f ca="1">IF(AND(TRIM($A15)="Finalized",$K15&lt;&gt;""),"",IF($C15="","",$C15+180-TODAY()))</f>
        <v>16</v>
      </c>
      <c r="N15" s="12">
        <f ca="1">IF(AND(TRIM($A15)="Finalized",$K15&lt;&gt;""),"",IF($C15="","",$C15+180-TODAY()))</f>
        <v>16</v>
      </c>
      <c r="O15" s="6">
        <f>IF(AND(TRIM($A15)="Finalized",$K15&lt;&gt;""),"",DATE(2026,8,1))</f>
        <v>46235</v>
      </c>
      <c r="P15" s="5" t="s">
        <v>70</v>
      </c>
      <c r="Q15" s="5" t="s">
        <v>326</v>
      </c>
      <c r="R15" s="5" t="s">
        <v>179</v>
      </c>
      <c r="S15" s="5" t="s">
        <v>69</v>
      </c>
      <c r="T15" s="5" t="s">
        <v>179</v>
      </c>
      <c r="U15" s="5" t="s">
        <v>69</v>
      </c>
      <c r="V15" s="5"/>
      <c r="W15" s="5"/>
      <c r="X15" s="5"/>
      <c r="Y15" s="5" t="s">
        <v>71</v>
      </c>
      <c r="Z15" s="7">
        <v>7623.07</v>
      </c>
      <c r="AA15" s="7">
        <v>0</v>
      </c>
      <c r="AB15" s="7">
        <v>0</v>
      </c>
      <c r="AC15" s="6">
        <v>46136</v>
      </c>
      <c r="AD15" s="7">
        <v>7623.07</v>
      </c>
      <c r="AE15" s="4">
        <v>127</v>
      </c>
      <c r="AF15" s="5" t="s">
        <v>159</v>
      </c>
      <c r="AG15" s="5"/>
      <c r="AH15" s="5"/>
      <c r="AI15" s="5"/>
      <c r="AJ15" s="4"/>
      <c r="AK15" s="5" t="s">
        <v>119</v>
      </c>
      <c r="AL15" s="5" t="s">
        <v>243</v>
      </c>
      <c r="AM15" s="6">
        <v>46119</v>
      </c>
      <c r="AN15" s="5" t="s">
        <v>274</v>
      </c>
    </row>
    <row r="16" spans="1:40" x14ac:dyDescent="0.25">
      <c r="A16" s="2" t="s">
        <v>107</v>
      </c>
      <c r="B16" s="2" t="s">
        <v>404</v>
      </c>
      <c r="C16" s="3">
        <v>46261</v>
      </c>
      <c r="D16" s="4">
        <v>556735438</v>
      </c>
      <c r="E16" s="5" t="s">
        <v>289</v>
      </c>
      <c r="F16" s="6">
        <v>46113</v>
      </c>
      <c r="G16" s="5" t="s">
        <v>207</v>
      </c>
      <c r="H16" s="5" t="s">
        <v>207</v>
      </c>
      <c r="I16" s="5" t="s">
        <v>65</v>
      </c>
      <c r="J16" s="5" t="s">
        <v>290</v>
      </c>
      <c r="K16" s="3">
        <v>46269</v>
      </c>
      <c t="str" r="L16" s="12">
        <f ca="1">IF($O16="","",$O16-TODAY())</f>
        <v/>
      </c>
      <c t="str" r="M16" s="12">
        <f ca="1">IF(AND(TRIM($A16)="Finalized",$K16&lt;&gt;""),"",IF($C16="","",$C16+180-TODAY()))</f>
        <v/>
      </c>
      <c t="str" r="N16" s="12">
        <f ca="1">IF(AND(TRIM($A16)="Finalized",$K16&lt;&gt;""),"",IF($C16="","",$C16+365-TODAY()))</f>
        <v/>
      </c>
      <c t="str" r="O16" s="6">
        <f>IF(AND(TRIM($A16)="Finalized",$K16&lt;&gt;""),"",DATE(2026,6,30))</f>
        <v/>
      </c>
      <c r="P16" s="5" t="s">
        <v>87</v>
      </c>
      <c r="Q16" s="5" t="s">
        <v>209</v>
      </c>
      <c r="R16" s="5" t="s">
        <v>179</v>
      </c>
      <c r="S16" s="5" t="s">
        <v>69</v>
      </c>
      <c r="T16" s="5" t="s">
        <v>67</v>
      </c>
      <c r="U16" s="5" t="s">
        <v>69</v>
      </c>
      <c r="V16" s="5"/>
      <c r="W16" s="5"/>
      <c r="X16" s="5"/>
      <c r="Y16" s="5" t="s">
        <v>71</v>
      </c>
      <c r="Z16" s="7">
        <v>9056.39</v>
      </c>
      <c r="AA16" s="7">
        <v>0</v>
      </c>
      <c r="AB16" s="7">
        <v>0</v>
      </c>
      <c r="AC16" s="6"/>
      <c r="AD16" s="7">
        <v>9056.39</v>
      </c>
      <c r="AE16" s="4">
        <v>129</v>
      </c>
      <c r="AF16" s="5" t="s">
        <v>291</v>
      </c>
      <c r="AG16" s="5" t="s">
        <v>292</v>
      </c>
      <c r="AH16" s="5" t="s">
        <v>287</v>
      </c>
      <c r="AI16" s="5"/>
      <c r="AJ16" s="4"/>
      <c r="AK16" s="5" t="s">
        <v>288</v>
      </c>
      <c r="AL16" s="5" t="s">
        <v>252</v>
      </c>
      <c r="AM16" s="6">
        <v>46197</v>
      </c>
      <c r="AN16" s="5" t="s">
        <v>274</v>
      </c>
    </row>
    <row r="17" spans="1:40" x14ac:dyDescent="0.25">
      <c r="A17" s="2" t="s">
        <v>107</v>
      </c>
      <c r="B17" s="2" t="s">
        <v>409</v>
      </c>
      <c r="C17" s="3">
        <v>46141</v>
      </c>
      <c r="D17" s="4">
        <v>556692374</v>
      </c>
      <c r="E17" s="5" t="s">
        <v>293</v>
      </c>
      <c r="F17" s="6">
        <v>46125</v>
      </c>
      <c r="G17" s="5" t="s">
        <v>86</v>
      </c>
      <c r="H17" s="5" t="s">
        <v>86</v>
      </c>
      <c r="I17" s="5" t="s">
        <v>65</v>
      </c>
      <c r="J17" s="5" t="s">
        <v>294</v>
      </c>
      <c r="K17" s="3">
        <v>46278</v>
      </c>
      <c t="str" r="L17" s="12">
        <f ca="1">IF($O17="","",$O17-TODAY())</f>
        <v/>
      </c>
      <c t="str" r="M17" s="12">
        <f ca="1">IF(AND(TRIM($A17)="Finalized",$K17&lt;&gt;""),"",IF($F17="","",$F17+90-TODAY()))</f>
        <v/>
      </c>
      <c t="str" r="N17" s="12">
        <f ca="1">IF(AND(TRIM($A17)="Finalized",$K17&lt;&gt;""),"",IF($C17="","",$C17+365-TODAY()))</f>
        <v/>
      </c>
      <c t="str" r="O17" s="6">
        <f>IF(AND(TRIM($A17)="Finalized",$K17&lt;&gt;""),"",DATE(2026,7,12))</f>
        <v/>
      </c>
      <c r="P17" s="5" t="s">
        <v>87</v>
      </c>
      <c r="Q17" s="5" t="s">
        <v>88</v>
      </c>
      <c r="R17" s="5" t="s">
        <v>87</v>
      </c>
      <c r="S17" s="5" t="s">
        <v>114</v>
      </c>
      <c r="T17" s="5" t="s">
        <v>67</v>
      </c>
      <c r="U17" s="5" t="s">
        <v>69</v>
      </c>
      <c r="V17" s="5"/>
      <c r="W17" s="5"/>
      <c r="X17" s="5"/>
      <c r="Y17" s="5" t="s">
        <v>71</v>
      </c>
      <c r="Z17" s="7">
        <v>5441.29</v>
      </c>
      <c r="AA17" s="7">
        <v>0</v>
      </c>
      <c r="AB17" s="7">
        <v>0</v>
      </c>
      <c r="AC17" s="6">
        <v>46141</v>
      </c>
      <c r="AD17" s="7">
        <v>5441.29</v>
      </c>
      <c r="AE17" s="4">
        <v>117</v>
      </c>
      <c r="AF17" s="5" t="s">
        <v>205</v>
      </c>
      <c r="AG17" s="5"/>
      <c r="AH17" s="5"/>
      <c r="AI17" s="5"/>
      <c r="AJ17" s="4"/>
      <c r="AK17" s="5" t="s">
        <v>188</v>
      </c>
      <c r="AL17" s="5" t="s">
        <v>252</v>
      </c>
      <c r="AM17" s="6">
        <v>46133</v>
      </c>
      <c r="AN17" s="5" t="s">
        <v>274</v>
      </c>
    </row>
    <row r="18" spans="1:40" x14ac:dyDescent="0.25">
      <c r="A18" s="2" t="s">
        <v>107</v>
      </c>
      <c r="B18" s="2" t="s">
        <v>410</v>
      </c>
      <c r="C18" s="3">
        <v>46183</v>
      </c>
      <c r="D18" s="4">
        <v>558964326</v>
      </c>
      <c r="E18" s="5" t="s">
        <v>301</v>
      </c>
      <c r="F18" s="6">
        <v>46129</v>
      </c>
      <c r="G18" s="5" t="s">
        <v>296</v>
      </c>
      <c r="H18" s="5" t="s">
        <v>296</v>
      </c>
      <c r="I18" s="5" t="s">
        <v>65</v>
      </c>
      <c r="J18" s="5" t="s">
        <v>284</v>
      </c>
      <c r="K18" s="3">
        <v>46278</v>
      </c>
      <c t="str" r="L18" s="12">
        <f ca="1">IF($O18="","",$O18-TODAY())</f>
        <v/>
      </c>
      <c t="str" r="M18" s="12">
        <f ca="1">IF(AND(TRIM($A18)="Finalized",$K18&lt;&gt;""),"",IF($C18="","",$C18+180-TODAY()))</f>
        <v/>
      </c>
      <c t="str" r="N18" s="12">
        <f ca="1">IF(AND(TRIM($A18)="Finalized",$K18&lt;&gt;""),"",IF($C18="","",$C18+365-TODAY()))</f>
        <v/>
      </c>
      <c t="str" r="O18" s="6">
        <f>IF(AND(TRIM($A18)="Finalized",$K18&lt;&gt;""),"",DATE(2026,7,16))</f>
        <v/>
      </c>
      <c r="P18" s="5" t="s">
        <v>87</v>
      </c>
      <c r="Q18" s="5" t="s">
        <v>298</v>
      </c>
      <c r="R18" s="5" t="s">
        <v>179</v>
      </c>
      <c r="S18" s="5" t="s">
        <v>69</v>
      </c>
      <c r="T18" s="5" t="s">
        <v>67</v>
      </c>
      <c r="U18" s="5" t="s">
        <v>69</v>
      </c>
      <c r="V18" s="5"/>
      <c r="W18" s="5"/>
      <c r="X18" s="5"/>
      <c r="Y18" s="5" t="s">
        <v>71</v>
      </c>
      <c r="Z18" s="7">
        <v>9056.39</v>
      </c>
      <c r="AA18" s="7">
        <v>0</v>
      </c>
      <c r="AB18" s="7">
        <v>0</v>
      </c>
      <c r="AC18" s="6">
        <v>46183</v>
      </c>
      <c r="AD18" s="7">
        <v>9056.39</v>
      </c>
      <c r="AE18" s="4">
        <v>113</v>
      </c>
      <c r="AF18" s="5" t="s">
        <v>159</v>
      </c>
      <c r="AG18" s="5"/>
      <c r="AH18" s="5"/>
      <c r="AI18" s="5"/>
      <c r="AJ18" s="4"/>
      <c r="AK18" s="5" t="s">
        <v>302</v>
      </c>
      <c r="AL18" s="5" t="s">
        <v>252</v>
      </c>
      <c r="AM18" s="6">
        <v>46153</v>
      </c>
      <c r="AN18" s="5" t="s">
        <v>274</v>
      </c>
    </row>
  </sheetData>
  <autoFilter ref="A1:AN18" xr:uid="{00000000-0009-0000-0000-000003000000}"/>
  <conditionalFormatting sqref="L2:O1000">
    <cfRule type="expression" dxfId="101" priority="1" stopIfTrue="1">
      <formula>AND(TRIM($A2)="Finalized",$K2&lt;&gt;"")</formula>
    </cfRule>
  </conditionalFormatting>
  <conditionalFormatting sqref="L2:L18">
    <cfRule type="expression" dxfId="39" priority="2">
      <formula>AND($L2&lt;&gt;"", $L2&gt;=0, $L2&lt;=5)</formula>
    </cfRule>
    <cfRule type="expression" dxfId="38" priority="3">
      <formula>AND($L2&lt;&gt;"", $L2&gt;5, $L2&lt;=30)</formula>
    </cfRule>
    <cfRule type="expression" dxfId="37" priority="4">
      <formula>AND($L2&lt;&gt;"", $L2&gt;30)</formula>
    </cfRule>
    <cfRule type="expression" dxfId="36" priority="5">
      <formula>AND($L2&lt;&gt;"", $L2&lt;0)</formula>
    </cfRule>
    <cfRule type="expression" dxfId="35" priority="6">
      <formula>$L2=""</formula>
    </cfRule>
  </conditionalFormatting>
  <conditionalFormatting sqref="M2:M18">
    <cfRule type="expression" dxfId="34" priority="7">
      <formula>AND($M2&lt;&gt;"", $M2&gt;=0, $M2&lt;=5)</formula>
    </cfRule>
    <cfRule type="expression" dxfId="33" priority="8">
      <formula>AND($M2&lt;&gt;"", $M2&gt;5, $M2&lt;=30)</formula>
    </cfRule>
    <cfRule type="expression" dxfId="32" priority="9">
      <formula>AND($M2&lt;&gt;"", $M2&gt;30)</formula>
    </cfRule>
    <cfRule type="expression" dxfId="31" priority="10">
      <formula>AND($M2&lt;&gt;"", $M2&lt;0)</formula>
    </cfRule>
    <cfRule type="expression" dxfId="30" priority="11">
      <formula>$M2=""</formula>
    </cfRule>
  </conditionalFormatting>
  <conditionalFormatting sqref="N2:N18">
    <cfRule type="expression" dxfId="29" priority="12">
      <formula>AND($N2&lt;&gt;"", $N2&gt;=0, $N2&lt;=5)</formula>
    </cfRule>
    <cfRule type="expression" dxfId="28" priority="13">
      <formula>AND($N2&lt;&gt;"", $N2&gt;5, $N2&lt;=30)</formula>
    </cfRule>
    <cfRule type="expression" dxfId="27" priority="14">
      <formula>AND($N2&lt;&gt;"", $N2&gt;30)</formula>
    </cfRule>
    <cfRule type="expression" dxfId="26" priority="15">
      <formula>AND($N2&lt;&gt;"", $N2&lt;0)</formula>
    </cfRule>
    <cfRule type="expression" dxfId="25" priority="16">
      <formula>$N2=""</formula>
    </cfRule>
  </conditionalFormatting>
  <conditionalFormatting sqref="O2:U18">
    <cfRule type="expression" dxfId="24" priority="17">
      <formula>AND($L2&lt;&gt;"", $L2&gt;=0, $L2&lt;=5)</formula>
    </cfRule>
    <cfRule type="expression" dxfId="23" priority="18">
      <formula>AND($L2&lt;&gt;"", $L2&gt;5, $L2&lt;=30)</formula>
    </cfRule>
    <cfRule type="expression" dxfId="22" priority="19">
      <formula>AND($L2&lt;&gt;"", $L2&gt;30)</formula>
    </cfRule>
    <cfRule type="expression" dxfId="21" priority="20">
      <formula>AND($L2&lt;&gt;"", $L2&lt;0)</formula>
    </cfRule>
    <cfRule type="expression" dxfId="20" priority="21">
      <formula>$L2=""</formula>
    </cfRule>
  </conditionalFormatting>
  <conditionalFormatting sqref="A2:AN1000">
    <cfRule type="expression" dxfId="100" priority="22">
      <formula>TRIM($A2)="PAID"</formula>
    </cfRule>
    <cfRule type="expression" dxfId="101" priority="23">
      <formula>TRIM($A2)="Finalized"</formula>
    </cfRule>
    <cfRule type="expression" dxfId="102" priority="24">
      <formula>TRIM($A2)="Received"</formula>
    </cfRule>
    <cfRule type="expression" dxfId="103" priority="25">
      <formula>TRIM($A2)="Pending"</formula>
    </cfRule>
    <cfRule type="expression" dxfId="104" priority="26">
      <formula>TRIM($A2)="Under Review"</formula>
    </cfRule>
    <cfRule type="expression" dxfId="105" priority="27">
      <formula>AND(TRIM($A2)="Denied",$K2="")</formula>
    </cfRule>
    <cfRule type="expression" dxfId="108" priority="30">
      <formula>AND(TRIM($A2)="Denied",$K2&lt;&gt;"")</formula>
    </cfRule>
    <cfRule type="expression" dxfId="106" priority="28">
      <formula>TRIM($A2)="Rejected"</formula>
    </cfRule>
    <cfRule type="expression" dxfId="107" priority="29">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20"/>
  <sheetViews>
    <sheetView zoomScale="90" workbookViewId="0">
      <pane xSplit="2" ySplit="1" topLeftCell="C2" activePane="bottomRight" state="frozen"/>
      <selection pane="topRight"/>
      <selection pane="bottomLeft"/>
      <selection pane="bottomRight" activeCell="A20" sqref="A20"/>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8.85546875" customWidth="1"/>
    <col min="11" max="11" width="14" customWidth="1"/>
    <col min="12" max="12" width="12" customWidth="1"/>
    <col min="13" max="13" width="18.28515625" customWidth="1"/>
    <col min="14" max="14" width="16.57031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21</v>
      </c>
      <c r="B1" s="11" t="s">
        <v>22</v>
      </c>
      <c r="C1" s="11" t="s">
        <v>23</v>
      </c>
      <c r="D1" s="11" t="s">
        <v>24</v>
      </c>
      <c r="E1" s="11" t="s">
        <v>25</v>
      </c>
      <c r="F1" s="11" t="s">
        <v>26</v>
      </c>
      <c r="G1" s="11" t="s">
        <v>27</v>
      </c>
      <c r="H1" s="11" t="s">
        <v>28</v>
      </c>
      <c r="I1" s="11" t="s">
        <v>29</v>
      </c>
      <c r="J1" s="11" t="s">
        <v>30</v>
      </c>
      <c r="K1" s="1" t="s">
        <v>334</v>
      </c>
      <c r="L1" s="1" t="s">
        <v>32</v>
      </c>
      <c r="M1" s="1" t="s">
        <v>33</v>
      </c>
      <c r="N1" s="1" t="s">
        <v>34</v>
      </c>
      <c r="O1" s="11" t="s">
        <v>35</v>
      </c>
      <c r="P1" s="11" t="s">
        <v>36</v>
      </c>
      <c r="Q1" s="11" t="s">
        <v>37</v>
      </c>
      <c r="R1" s="11" t="s">
        <v>38</v>
      </c>
      <c r="S1" s="11" t="s">
        <v>39</v>
      </c>
      <c r="T1" s="11" t="s">
        <v>40</v>
      </c>
      <c r="U1" s="11" t="s">
        <v>41</v>
      </c>
      <c r="V1" s="11" t="s">
        <v>42</v>
      </c>
      <c r="W1" s="11" t="s">
        <v>43</v>
      </c>
      <c r="X1" s="11" t="s">
        <v>44</v>
      </c>
      <c r="Y1" s="11" t="s">
        <v>45</v>
      </c>
      <c r="Z1" s="11" t="s">
        <v>46</v>
      </c>
      <c r="AA1" s="11" t="s">
        <v>47</v>
      </c>
      <c r="AB1" s="11" t="s">
        <v>48</v>
      </c>
      <c r="AC1" s="11" t="s">
        <v>49</v>
      </c>
      <c r="AD1" s="11" t="s">
        <v>50</v>
      </c>
      <c r="AE1" s="11" t="s">
        <v>51</v>
      </c>
      <c r="AF1" s="11" t="s">
        <v>52</v>
      </c>
      <c r="AG1" s="11" t="s">
        <v>53</v>
      </c>
      <c r="AH1" s="11" t="s">
        <v>54</v>
      </c>
      <c r="AI1" s="11" t="s">
        <v>55</v>
      </c>
      <c r="AJ1" s="11" t="s">
        <v>56</v>
      </c>
      <c r="AK1" s="11" t="s">
        <v>57</v>
      </c>
      <c r="AL1" s="11" t="s">
        <v>58</v>
      </c>
      <c r="AM1" s="11" t="s">
        <v>59</v>
      </c>
      <c r="AN1" s="11" t="s">
        <v>60</v>
      </c>
    </row>
    <row r="2" spans="1:40" x14ac:dyDescent="0.25">
      <c r="A2" s="2" t="s">
        <v>426</v>
      </c>
      <c r="B2" s="2" t="s">
        <v>432</v>
      </c>
      <c r="C2" s="3">
        <v>46177</v>
      </c>
      <c r="D2" s="4">
        <v>565376983</v>
      </c>
      <c r="E2" s="5" t="s">
        <v>379</v>
      </c>
      <c r="F2" s="6">
        <v>46135</v>
      </c>
      <c r="G2" s="5" t="s">
        <v>207</v>
      </c>
      <c r="H2" s="5" t="s">
        <v>207</v>
      </c>
      <c r="I2" s="5" t="s">
        <v>65</v>
      </c>
      <c r="J2" s="5" t="s">
        <v>380</v>
      </c>
      <c r="K2" s="3"/>
      <c r="L2" s="12">
        <f ca="1">IF($O2="","",$O2-TODAY())</f>
        <v>-75</v>
      </c>
      <c r="M2" s="12">
        <f ca="1">IF(AND(TRIM($A2)="Finalized",$K2&lt;&gt;""),"",IF($C2="","",$C2+180-TODAY()))</f>
        <v>57</v>
      </c>
      <c r="N2" s="12">
        <f ca="1">IF(AND(TRIM($A2)="Finalized",$K2&lt;&gt;""),"",IF($C2="","",$C2+365-TODAY()))</f>
        <v>242</v>
      </c>
      <c r="O2" s="6">
        <f>IF(AND(TRIM($A2)="Finalized",$K2&lt;&gt;""),"",DATE(2026,7,22))</f>
        <v>46225</v>
      </c>
      <c r="P2" s="5" t="s">
        <v>87</v>
      </c>
      <c r="Q2" s="5" t="s">
        <v>209</v>
      </c>
      <c r="R2" s="5" t="s">
        <v>179</v>
      </c>
      <c r="S2" s="5" t="s">
        <v>69</v>
      </c>
      <c r="T2" s="5" t="s">
        <v>67</v>
      </c>
      <c r="U2" s="5" t="s">
        <v>69</v>
      </c>
      <c r="V2" s="5"/>
      <c r="W2" s="5"/>
      <c r="X2" s="5"/>
      <c r="Y2" s="5" t="s">
        <v>71</v>
      </c>
      <c r="Z2" s="7">
        <v>2943.43</v>
      </c>
      <c r="AA2" s="7">
        <v>0</v>
      </c>
      <c r="AB2" s="7">
        <v>0</v>
      </c>
      <c r="AC2" s="6">
        <v>46177</v>
      </c>
      <c r="AD2" s="7">
        <v>2943.43</v>
      </c>
      <c r="AE2" s="4">
        <v>107</v>
      </c>
      <c r="AF2" s="5" t="s">
        <v>355</v>
      </c>
      <c r="AG2" s="5"/>
      <c r="AH2" s="5"/>
      <c r="AI2" s="5"/>
      <c r="AJ2" s="4"/>
      <c r="AK2" s="5" t="s">
        <v>106</v>
      </c>
      <c r="AL2" s="5" t="s">
        <v>350</v>
      </c>
      <c r="AM2" s="6">
        <v>46148</v>
      </c>
      <c r="AN2" s="5" t="s">
        <v>339</v>
      </c>
    </row>
    <row r="3" spans="1:40" x14ac:dyDescent="0.25">
      <c r="A3" s="2" t="s">
        <v>426</v>
      </c>
      <c r="B3" s="2" t="s">
        <v>433</v>
      </c>
      <c r="C3" s="3">
        <v>46152</v>
      </c>
      <c r="D3" s="4">
        <v>558643419</v>
      </c>
      <c r="E3" s="5" t="s">
        <v>381</v>
      </c>
      <c r="F3" s="6">
        <v>46142</v>
      </c>
      <c r="G3" s="5" t="s">
        <v>173</v>
      </c>
      <c r="H3" s="5" t="s">
        <v>94</v>
      </c>
      <c r="I3" s="5" t="s">
        <v>173</v>
      </c>
      <c r="J3" s="5" t="s">
        <v>382</v>
      </c>
      <c r="K3" s="3"/>
      <c r="L3" s="12">
        <f ca="1">IF($O3="","",$O3-TODAY())</f>
        <v>-68</v>
      </c>
      <c r="M3" s="12">
        <f ca="1">IF(AND(TRIM($A3)="Finalized",$K3&lt;&gt;""),"",IF($C3="","",$C3+365-TODAY()))</f>
        <v>217</v>
      </c>
      <c r="N3" s="12">
        <f ca="1">IF(AND(TRIM($A3)="Finalized",$K3&lt;&gt;""),"",IF($C3="","",$C3+365-TODAY()))</f>
        <v>217</v>
      </c>
      <c r="O3" s="6">
        <f>IF(AND(TRIM($A3)="Finalized",$K3&lt;&gt;""),"",DATE(2026,7,29))</f>
        <v>46232</v>
      </c>
      <c r="P3" s="5" t="s">
        <v>87</v>
      </c>
      <c r="Q3" s="5" t="s">
        <v>96</v>
      </c>
      <c r="R3" s="5" t="s">
        <v>67</v>
      </c>
      <c r="S3" s="5" t="s">
        <v>69</v>
      </c>
      <c r="T3" s="5" t="s">
        <v>67</v>
      </c>
      <c r="U3" s="5" t="s">
        <v>69</v>
      </c>
      <c r="V3" s="5"/>
      <c r="W3" s="5"/>
      <c r="X3" s="5"/>
      <c r="Y3" s="5" t="s">
        <v>71</v>
      </c>
      <c r="Z3" s="7">
        <v>1649.2</v>
      </c>
      <c r="AA3" s="7">
        <v>1454.49</v>
      </c>
      <c r="AB3" s="7">
        <v>59.71</v>
      </c>
      <c r="AC3" s="6">
        <v>46152</v>
      </c>
      <c r="AD3" s="7">
        <v>135</v>
      </c>
      <c r="AE3" s="4">
        <v>100</v>
      </c>
      <c r="AF3" s="5" t="s">
        <v>367</v>
      </c>
      <c r="AG3" s="5"/>
      <c r="AH3" s="5"/>
      <c r="AI3" s="5"/>
      <c r="AJ3" s="4">
        <v>561157100</v>
      </c>
      <c r="AK3" s="5" t="s">
        <v>106</v>
      </c>
      <c r="AL3" s="5" t="s">
        <v>350</v>
      </c>
      <c r="AM3" s="6">
        <v>46148</v>
      </c>
      <c r="AN3" s="5" t="s">
        <v>339</v>
      </c>
    </row>
    <row r="4" spans="1:40" x14ac:dyDescent="0.25">
      <c r="A4" s="2" t="s">
        <v>426</v>
      </c>
      <c r="B4" s="2" t="s">
        <v>434</v>
      </c>
      <c r="C4" s="3">
        <v>46153</v>
      </c>
      <c r="D4" s="4">
        <v>558622490</v>
      </c>
      <c r="E4" s="5" t="s">
        <v>384</v>
      </c>
      <c r="F4" s="6">
        <v>46113</v>
      </c>
      <c r="G4" s="5" t="s">
        <v>385</v>
      </c>
      <c r="H4" s="5" t="s">
        <v>385</v>
      </c>
      <c r="I4" s="5" t="s">
        <v>65</v>
      </c>
      <c r="J4" s="5" t="s">
        <v>386</v>
      </c>
      <c r="K4" s="3"/>
      <c r="L4" s="12">
        <f ca="1">IF($O4="","",$O4-TODAY())</f>
        <v>-67</v>
      </c>
      <c r="M4" s="12"/>
      <c r="N4" s="12">
        <f ca="1">IF(AND(TRIM($A4)="Finalized",$K4&lt;&gt;""),"",IF($C4="","",$C4+65-TODAY()))</f>
        <v>-82</v>
      </c>
      <c r="O4" s="6">
        <f>IF(AND(TRIM($A4)="Finalized",$K4&lt;&gt;""),"",DATE(2026,7,30))</f>
        <v>46233</v>
      </c>
      <c r="P4" s="5" t="s">
        <v>70</v>
      </c>
      <c r="Q4" s="5" t="s">
        <v>387</v>
      </c>
      <c r="R4" s="5"/>
      <c r="S4" s="5"/>
      <c r="T4" s="5" t="s">
        <v>388</v>
      </c>
      <c r="U4" s="5" t="s">
        <v>69</v>
      </c>
      <c r="V4" s="5"/>
      <c r="W4" s="5"/>
      <c r="X4" s="5"/>
      <c r="Y4" s="5" t="s">
        <v>71</v>
      </c>
      <c r="Z4" s="7">
        <v>3822.49</v>
      </c>
      <c r="AA4" s="7">
        <v>0</v>
      </c>
      <c r="AB4" s="7">
        <v>0</v>
      </c>
      <c r="AC4" s="6">
        <v>46153</v>
      </c>
      <c r="AD4" s="7">
        <v>3822.49</v>
      </c>
      <c r="AE4" s="4">
        <v>129</v>
      </c>
      <c r="AF4" s="5" t="s">
        <v>389</v>
      </c>
      <c r="AG4" s="5" t="s">
        <v>277</v>
      </c>
      <c r="AH4" s="5" t="s">
        <v>165</v>
      </c>
      <c r="AI4" s="5" t="s">
        <v>154</v>
      </c>
      <c r="AJ4" s="4"/>
      <c r="AK4" s="5" t="s">
        <v>116</v>
      </c>
      <c r="AL4" s="5" t="s">
        <v>196</v>
      </c>
      <c r="AM4" s="6">
        <v>46140</v>
      </c>
      <c r="AN4" s="5" t="s">
        <v>339</v>
      </c>
    </row>
    <row r="5" spans="1:40" x14ac:dyDescent="0.25">
      <c r="A5" s="2" t="s">
        <v>426</v>
      </c>
      <c r="B5" s="2" t="s">
        <v>435</v>
      </c>
      <c r="C5" s="3">
        <v>46157</v>
      </c>
      <c r="D5" s="4">
        <v>557575573</v>
      </c>
      <c r="E5" s="5" t="s">
        <v>390</v>
      </c>
      <c r="F5" s="6">
        <v>46134</v>
      </c>
      <c r="G5" s="5" t="s">
        <v>391</v>
      </c>
      <c r="H5" s="5" t="s">
        <v>391</v>
      </c>
      <c r="I5" s="5" t="s">
        <v>65</v>
      </c>
      <c r="J5" s="5" t="s">
        <v>382</v>
      </c>
      <c r="K5" s="3"/>
      <c r="L5" s="12" t="str">
        <f ca="1">IF($O5="","",$O5-TODAY())</f>
        <v/>
      </c>
      <c r="M5" s="12"/>
      <c r="N5" s="12">
        <f ca="1">IF(AND(TRIM($A5)="Finalized",$K5&lt;&gt;""),"",IF($C5="","",$C5+180-TODAY()))</f>
        <v>37</v>
      </c>
      <c r="O5" s="6"/>
      <c r="P5" s="5"/>
      <c r="Q5" s="5" t="s">
        <v>392</v>
      </c>
      <c r="R5" s="5"/>
      <c r="S5" s="5"/>
      <c r="T5" s="5" t="s">
        <v>179</v>
      </c>
      <c r="U5" s="5" t="s">
        <v>69</v>
      </c>
      <c r="V5" s="5"/>
      <c r="W5" s="5"/>
      <c r="X5" s="5"/>
      <c r="Y5" s="5" t="s">
        <v>71</v>
      </c>
      <c r="Z5" s="7">
        <v>1649.2</v>
      </c>
      <c r="AA5" s="7">
        <v>0</v>
      </c>
      <c r="AB5" s="7">
        <v>0</v>
      </c>
      <c r="AC5" s="6">
        <v>46157</v>
      </c>
      <c r="AD5" s="7">
        <v>1649.2</v>
      </c>
      <c r="AE5" s="4">
        <v>108</v>
      </c>
      <c r="AF5" s="5" t="s">
        <v>352</v>
      </c>
      <c r="AG5" s="5" t="s">
        <v>351</v>
      </c>
      <c r="AH5" s="5" t="s">
        <v>349</v>
      </c>
      <c r="AI5" s="5"/>
      <c r="AJ5" s="4"/>
      <c r="AK5" s="5" t="s">
        <v>116</v>
      </c>
      <c r="AL5" s="5" t="s">
        <v>196</v>
      </c>
      <c r="AM5" s="6">
        <v>46141</v>
      </c>
      <c r="AN5" s="5" t="s">
        <v>339</v>
      </c>
    </row>
    <row r="6" spans="1:40" x14ac:dyDescent="0.25">
      <c r="A6" s="2" t="s">
        <v>76</v>
      </c>
      <c r="B6" s="2" t="s">
        <v>340</v>
      </c>
      <c r="C6" s="3">
        <v>46164</v>
      </c>
      <c r="D6" s="4">
        <v>558643131</v>
      </c>
      <c r="E6" s="5" t="s">
        <v>341</v>
      </c>
      <c r="F6" s="6">
        <v>46140</v>
      </c>
      <c r="G6" s="5" t="s">
        <v>325</v>
      </c>
      <c r="H6" s="5" t="s">
        <v>325</v>
      </c>
      <c r="I6" s="5" t="s">
        <v>65</v>
      </c>
      <c r="J6" s="5" t="s">
        <v>337</v>
      </c>
      <c r="K6" s="3">
        <v>46248</v>
      </c>
      <c r="L6" s="12">
        <f ca="1">IF($O6="","",$O6-TODAY())</f>
        <v>-40</v>
      </c>
      <c r="M6" s="12">
        <f ca="1">IF(AND(TRIM($A6)="Finalized",$K6&lt;&gt;""),"",IF($C6="","",$C6+180-TODAY()))</f>
        <v>44</v>
      </c>
      <c r="N6" s="12">
        <f ca="1">IF(AND(TRIM($A6)="Finalized",$K6&lt;&gt;""),"",IF($C6="","",$C6+180-TODAY()))</f>
        <v>44</v>
      </c>
      <c r="O6" s="6">
        <f>IF(AND(TRIM($A6)="Finalized",$K6&lt;&gt;""),"",DATE(2026,8,26))</f>
        <v>46260</v>
      </c>
      <c r="P6" s="5" t="s">
        <v>70</v>
      </c>
      <c r="Q6" s="5" t="s">
        <v>326</v>
      </c>
      <c r="R6" s="5" t="s">
        <v>179</v>
      </c>
      <c r="S6" s="5" t="s">
        <v>69</v>
      </c>
      <c r="T6" s="5" t="s">
        <v>179</v>
      </c>
      <c r="U6" s="5" t="s">
        <v>69</v>
      </c>
      <c r="V6" s="5"/>
      <c r="W6" s="5"/>
      <c r="X6" s="5"/>
      <c r="Y6" s="5" t="s">
        <v>71</v>
      </c>
      <c r="Z6" s="7">
        <v>879.06</v>
      </c>
      <c r="AA6" s="7">
        <v>0</v>
      </c>
      <c r="AB6" s="7">
        <v>0</v>
      </c>
      <c r="AC6" s="6">
        <v>46164</v>
      </c>
      <c r="AD6" s="7">
        <v>879.06</v>
      </c>
      <c r="AE6" s="4">
        <v>102</v>
      </c>
      <c r="AF6" s="5" t="s">
        <v>174</v>
      </c>
      <c r="AG6" s="5" t="s">
        <v>228</v>
      </c>
      <c r="AH6" s="5" t="s">
        <v>342</v>
      </c>
      <c r="AI6" s="5"/>
      <c r="AJ6" s="4"/>
      <c r="AK6" s="5" t="s">
        <v>119</v>
      </c>
      <c r="AL6" s="5" t="s">
        <v>91</v>
      </c>
      <c r="AM6" s="6">
        <v>46147</v>
      </c>
      <c r="AN6" s="5" t="s">
        <v>339</v>
      </c>
    </row>
    <row r="7" spans="1:40" x14ac:dyDescent="0.25">
      <c r="A7" s="2" t="s">
        <v>76</v>
      </c>
      <c r="B7" s="2" t="s">
        <v>343</v>
      </c>
      <c r="C7" s="3">
        <v>46185</v>
      </c>
      <c r="D7" s="4">
        <v>558643311</v>
      </c>
      <c r="E7" s="5" t="s">
        <v>344</v>
      </c>
      <c r="F7" s="6">
        <v>46141</v>
      </c>
      <c r="G7" s="5" t="s">
        <v>345</v>
      </c>
      <c r="H7" s="5" t="s">
        <v>345</v>
      </c>
      <c r="I7" s="5" t="s">
        <v>65</v>
      </c>
      <c r="J7" s="5" t="s">
        <v>337</v>
      </c>
      <c r="K7" s="3">
        <v>46248</v>
      </c>
      <c r="L7" s="12">
        <f ca="1">IF($O7="","",$O7-TODAY())</f>
        <v>-39</v>
      </c>
      <c r="M7" s="12">
        <f ca="1">IF(AND(TRIM($A7)="Finalized",$K7&lt;&gt;""),"",IF($C7="","",$C7+180-TODAY()))</f>
        <v>65</v>
      </c>
      <c r="N7" s="12">
        <f ca="1">IF(AND(TRIM($A7)="Finalized",$K7&lt;&gt;""),"",IF($C7="","",$C7+180-TODAY()))</f>
        <v>65</v>
      </c>
      <c r="O7" s="6">
        <f>IF(AND(TRIM($A7)="Finalized",$K7&lt;&gt;""),"",DATE(2026,8,27))</f>
        <v>46261</v>
      </c>
      <c r="P7" s="5" t="s">
        <v>70</v>
      </c>
      <c r="Q7" s="5" t="s">
        <v>320</v>
      </c>
      <c r="R7" s="5" t="s">
        <v>179</v>
      </c>
      <c r="S7" s="5" t="s">
        <v>69</v>
      </c>
      <c r="T7" s="5" t="s">
        <v>179</v>
      </c>
      <c r="U7" s="5" t="s">
        <v>69</v>
      </c>
      <c r="V7" s="5"/>
      <c r="W7" s="5"/>
      <c r="X7" s="5"/>
      <c r="Y7" s="5" t="s">
        <v>71</v>
      </c>
      <c r="Z7" s="7">
        <v>879.06</v>
      </c>
      <c r="AA7" s="7">
        <v>0</v>
      </c>
      <c r="AB7" s="7">
        <v>0</v>
      </c>
      <c r="AC7" s="6">
        <v>46185</v>
      </c>
      <c r="AD7" s="7">
        <v>879.06</v>
      </c>
      <c r="AE7" s="4">
        <v>101</v>
      </c>
      <c r="AF7" s="5" t="s">
        <v>346</v>
      </c>
      <c r="AG7" s="5" t="s">
        <v>338</v>
      </c>
      <c r="AH7" s="5"/>
      <c r="AI7" s="5"/>
      <c r="AJ7" s="4"/>
      <c r="AK7" s="5" t="s">
        <v>116</v>
      </c>
      <c r="AL7" s="5" t="s">
        <v>196</v>
      </c>
      <c r="AM7" s="6">
        <v>46147</v>
      </c>
      <c r="AN7" s="5" t="s">
        <v>339</v>
      </c>
    </row>
    <row r="8" spans="1:40" x14ac:dyDescent="0.25">
      <c r="A8" s="2" t="s">
        <v>76</v>
      </c>
      <c r="B8" s="2" t="s">
        <v>347</v>
      </c>
      <c r="C8" s="3"/>
      <c r="D8" s="4">
        <v>558643526</v>
      </c>
      <c r="E8" s="5" t="s">
        <v>348</v>
      </c>
      <c r="F8" s="6">
        <v>46142</v>
      </c>
      <c r="G8" s="5" t="s">
        <v>223</v>
      </c>
      <c r="H8" s="5" t="s">
        <v>223</v>
      </c>
      <c r="I8" s="5" t="s">
        <v>65</v>
      </c>
      <c r="J8" s="5" t="s">
        <v>337</v>
      </c>
      <c r="K8" s="3">
        <v>46248</v>
      </c>
      <c r="L8" s="12">
        <f ca="1">IF($O8="","",$O8-TODAY())</f>
        <v>-38</v>
      </c>
      <c r="M8" s="12">
        <f ca="1">IF(AND(TRIM($A8)="Finalized",$K8&lt;&gt;""),"",IF($F8="","",$F8+365-TODAY()))</f>
        <v>207</v>
      </c>
      <c r="N8" s="12" t="str">
        <f ca="1">IF(AND(TRIM($A8)="Finalized",$K8&lt;&gt;""),"",IF($C8="","",$C8+180-TODAY()))</f>
        <v/>
      </c>
      <c r="O8" s="6">
        <f>IF(AND(TRIM($A8)="Finalized",$K8&lt;&gt;""),"",DATE(2026,8,28))</f>
        <v>46262</v>
      </c>
      <c r="P8" s="5" t="s">
        <v>70</v>
      </c>
      <c r="Q8" s="5" t="s">
        <v>223</v>
      </c>
      <c r="R8" s="5" t="s">
        <v>67</v>
      </c>
      <c r="S8" s="5" t="s">
        <v>114</v>
      </c>
      <c r="T8" s="5" t="s">
        <v>179</v>
      </c>
      <c r="U8" s="5" t="s">
        <v>69</v>
      </c>
      <c r="V8" s="5"/>
      <c r="W8" s="5"/>
      <c r="X8" s="5"/>
      <c r="Y8" s="5" t="s">
        <v>71</v>
      </c>
      <c r="Z8" s="7">
        <v>879.06</v>
      </c>
      <c r="AA8" s="7">
        <v>0</v>
      </c>
      <c r="AB8" s="7">
        <v>0</v>
      </c>
      <c r="AC8" s="6"/>
      <c r="AD8" s="7">
        <v>879.06</v>
      </c>
      <c r="AE8" s="4">
        <v>100</v>
      </c>
      <c r="AF8" s="5" t="s">
        <v>134</v>
      </c>
      <c r="AG8" s="5" t="s">
        <v>349</v>
      </c>
      <c r="AH8" s="5"/>
      <c r="AI8" s="5"/>
      <c r="AJ8" s="4"/>
      <c r="AK8" s="5" t="s">
        <v>106</v>
      </c>
      <c r="AL8" s="5" t="s">
        <v>350</v>
      </c>
      <c r="AM8" s="6">
        <v>46148</v>
      </c>
      <c r="AN8" s="5" t="s">
        <v>339</v>
      </c>
    </row>
    <row r="9" spans="1:40" x14ac:dyDescent="0.25">
      <c r="A9" s="2" t="s">
        <v>61</v>
      </c>
      <c r="B9" s="2" t="s">
        <v>395</v>
      </c>
      <c r="C9" s="3">
        <v>46157</v>
      </c>
      <c r="D9" s="4">
        <v>558637906</v>
      </c>
      <c r="E9" s="5" t="s">
        <v>353</v>
      </c>
      <c r="F9" s="6">
        <v>46120</v>
      </c>
      <c r="G9" s="5" t="s">
        <v>64</v>
      </c>
      <c r="H9" s="5" t="s">
        <v>64</v>
      </c>
      <c r="I9" s="5" t="s">
        <v>276</v>
      </c>
      <c r="J9" s="5" t="s">
        <v>354</v>
      </c>
      <c r="K9" s="3">
        <v>46277</v>
      </c>
      <c r="L9" s="12">
        <f ca="1">IF($O9="","",$O9-TODAY())</f>
        <v>185</v>
      </c>
      <c r="M9" s="12">
        <f ca="1">IF(AND(TRIM($A9)="Finalized",$K9&lt;&gt;""),"",IF($C9="","",$C9+365-TODAY()))</f>
        <v>222</v>
      </c>
      <c r="N9" s="12">
        <f ca="1">IF(AND(TRIM($A9)="Finalized",$K9&lt;&gt;""),"",IF($C9="","",$C9+120-TODAY()))</f>
        <v>-23</v>
      </c>
      <c r="O9" s="6">
        <f>IF(AND(TRIM($A9)="Finalized",$K9&lt;&gt;""),"",DATE(2027,4,8))</f>
        <v>46485</v>
      </c>
      <c r="P9" s="5" t="s">
        <v>67</v>
      </c>
      <c r="Q9" s="5" t="s">
        <v>68</v>
      </c>
      <c r="R9" s="5" t="s">
        <v>67</v>
      </c>
      <c r="S9" s="5" t="s">
        <v>69</v>
      </c>
      <c r="T9" s="5" t="s">
        <v>70</v>
      </c>
      <c r="U9" s="5" t="s">
        <v>69</v>
      </c>
      <c r="V9" s="5"/>
      <c r="W9" s="5"/>
      <c r="X9" s="5"/>
      <c r="Y9" s="5" t="s">
        <v>71</v>
      </c>
      <c r="Z9" s="7">
        <v>3822.49</v>
      </c>
      <c r="AA9" s="7">
        <v>0</v>
      </c>
      <c r="AB9" s="7">
        <v>0</v>
      </c>
      <c r="AC9" s="6">
        <v>46157</v>
      </c>
      <c r="AD9" s="7">
        <v>3822.49</v>
      </c>
      <c r="AE9" s="4">
        <v>122</v>
      </c>
      <c r="AF9" s="5" t="s">
        <v>355</v>
      </c>
      <c r="AG9" s="5" t="s">
        <v>346</v>
      </c>
      <c r="AH9" s="5"/>
      <c r="AI9" s="5"/>
      <c r="AJ9" s="4"/>
      <c r="AK9" s="5" t="s">
        <v>116</v>
      </c>
      <c r="AL9" s="5" t="s">
        <v>196</v>
      </c>
      <c r="AM9" s="6">
        <v>46140</v>
      </c>
      <c r="AN9" s="5" t="s">
        <v>339</v>
      </c>
    </row>
    <row r="10" spans="1:40" x14ac:dyDescent="0.25">
      <c r="A10" s="2" t="s">
        <v>76</v>
      </c>
      <c r="B10" s="2" t="s">
        <v>396</v>
      </c>
      <c r="C10" s="3">
        <v>46170</v>
      </c>
      <c r="D10" s="4">
        <v>558642115</v>
      </c>
      <c r="E10" s="5" t="s">
        <v>356</v>
      </c>
      <c r="F10" s="6">
        <v>46133</v>
      </c>
      <c r="G10" s="5" t="s">
        <v>207</v>
      </c>
      <c r="H10" s="5" t="s">
        <v>64</v>
      </c>
      <c r="I10" s="5" t="s">
        <v>207</v>
      </c>
      <c r="J10" s="5" t="s">
        <v>357</v>
      </c>
      <c r="K10" s="3">
        <v>46277</v>
      </c>
      <c r="L10" s="12">
        <f ca="1">IF($O10="","",$O10-TODAY())</f>
        <v>198</v>
      </c>
      <c r="M10" s="12">
        <f ca="1">IF(AND(TRIM($A10)="Finalized",$K10&lt;&gt;""),"",IF($C10="","",$C10+365-TODAY()))</f>
        <v>235</v>
      </c>
      <c r="N10" s="12">
        <f ca="1">IF(AND(TRIM($A10)="Finalized",$K10&lt;&gt;""),"",IF($C10="","",$C10+120-TODAY()))</f>
        <v>-10</v>
      </c>
      <c r="O10" s="6">
        <f>IF(AND(TRIM($A10)="Finalized",$K10&lt;&gt;""),"",DATE(2027,4,21))</f>
        <v>46498</v>
      </c>
      <c r="P10" s="5" t="s">
        <v>67</v>
      </c>
      <c r="Q10" s="5" t="s">
        <v>68</v>
      </c>
      <c r="R10" s="5" t="s">
        <v>67</v>
      </c>
      <c r="S10" s="5" t="s">
        <v>69</v>
      </c>
      <c r="T10" s="5" t="s">
        <v>70</v>
      </c>
      <c r="U10" s="5" t="s">
        <v>69</v>
      </c>
      <c r="V10" s="5"/>
      <c r="W10" s="5"/>
      <c r="X10" s="5"/>
      <c r="Y10" s="5" t="s">
        <v>71</v>
      </c>
      <c r="Z10" s="7">
        <v>3822.49</v>
      </c>
      <c r="AA10" s="7">
        <v>3388.74</v>
      </c>
      <c r="AB10" s="7">
        <v>338.78</v>
      </c>
      <c r="AC10" s="6">
        <v>46170</v>
      </c>
      <c r="AD10" s="7">
        <v>94.97</v>
      </c>
      <c r="AE10" s="4">
        <v>109</v>
      </c>
      <c r="AF10" s="5" t="s">
        <v>352</v>
      </c>
      <c r="AG10" s="5" t="s">
        <v>351</v>
      </c>
      <c r="AH10" s="5" t="s">
        <v>346</v>
      </c>
      <c r="AI10" s="5"/>
      <c r="AJ10" s="4">
        <v>561714739</v>
      </c>
      <c r="AK10" s="5" t="s">
        <v>119</v>
      </c>
      <c r="AL10" s="5" t="s">
        <v>91</v>
      </c>
      <c r="AM10" s="6">
        <v>46141</v>
      </c>
      <c r="AN10" s="5" t="s">
        <v>339</v>
      </c>
    </row>
    <row r="11" spans="1:40" x14ac:dyDescent="0.25">
      <c r="A11" s="2" t="s">
        <v>76</v>
      </c>
      <c r="B11" s="2" t="s">
        <v>396</v>
      </c>
      <c r="C11" s="3">
        <v>46155</v>
      </c>
      <c r="D11" s="4">
        <v>557577339</v>
      </c>
      <c r="E11" s="5" t="s">
        <v>358</v>
      </c>
      <c r="F11" s="6">
        <v>46134</v>
      </c>
      <c r="G11" s="5" t="s">
        <v>86</v>
      </c>
      <c r="H11" s="5" t="s">
        <v>64</v>
      </c>
      <c r="I11" s="5" t="s">
        <v>86</v>
      </c>
      <c r="J11" s="5" t="s">
        <v>359</v>
      </c>
      <c r="K11" s="3">
        <v>46277</v>
      </c>
      <c r="L11" s="12">
        <f ca="1">IF($O11="","",$O11-TODAY())</f>
        <v>199</v>
      </c>
      <c r="M11" s="12">
        <f ca="1">IF(AND(TRIM($A11)="Finalized",$K11&lt;&gt;""),"",IF($C11="","",$C11+365-TODAY()))</f>
        <v>220</v>
      </c>
      <c r="N11" s="12">
        <f ca="1">IF(AND(TRIM($A11)="Finalized",$K11&lt;&gt;""),"",IF($C11="","",$C11+120-TODAY()))</f>
        <v>-25</v>
      </c>
      <c r="O11" s="6">
        <f>IF(AND(TRIM($A11)="Finalized",$K11&lt;&gt;""),"",DATE(2027,4,22))</f>
        <v>46499</v>
      </c>
      <c r="P11" s="5" t="s">
        <v>67</v>
      </c>
      <c r="Q11" s="5" t="s">
        <v>68</v>
      </c>
      <c r="R11" s="5" t="s">
        <v>67</v>
      </c>
      <c r="S11" s="5" t="s">
        <v>69</v>
      </c>
      <c r="T11" s="5" t="s">
        <v>70</v>
      </c>
      <c r="U11" s="5" t="s">
        <v>69</v>
      </c>
      <c r="V11" s="5"/>
      <c r="W11" s="5"/>
      <c r="X11" s="5"/>
      <c r="Y11" s="5" t="s">
        <v>71</v>
      </c>
      <c r="Z11" s="7">
        <v>1294.23</v>
      </c>
      <c r="AA11" s="7">
        <v>1127.69</v>
      </c>
      <c r="AB11" s="7">
        <v>130.80000000000001</v>
      </c>
      <c r="AC11" s="6">
        <v>46155</v>
      </c>
      <c r="AD11" s="7">
        <v>35.74</v>
      </c>
      <c r="AE11" s="4">
        <v>108</v>
      </c>
      <c r="AF11" s="5" t="s">
        <v>168</v>
      </c>
      <c r="AG11" s="5" t="s">
        <v>360</v>
      </c>
      <c r="AH11" s="5" t="s">
        <v>361</v>
      </c>
      <c r="AI11" s="5"/>
      <c r="AJ11" s="4">
        <v>560552425</v>
      </c>
      <c r="AK11" s="5" t="s">
        <v>116</v>
      </c>
      <c r="AL11" s="5" t="s">
        <v>196</v>
      </c>
      <c r="AM11" s="6">
        <v>46141</v>
      </c>
      <c r="AN11" s="5" t="s">
        <v>339</v>
      </c>
    </row>
    <row r="12" spans="1:40" x14ac:dyDescent="0.25">
      <c r="A12" s="2" t="s">
        <v>61</v>
      </c>
      <c r="B12" s="2" t="s">
        <v>395</v>
      </c>
      <c r="C12" s="3">
        <v>46154</v>
      </c>
      <c r="D12" s="4">
        <v>558245138</v>
      </c>
      <c r="E12" s="5" t="s">
        <v>362</v>
      </c>
      <c r="F12" s="6">
        <v>46140</v>
      </c>
      <c r="G12" s="5" t="s">
        <v>64</v>
      </c>
      <c r="H12" s="5" t="s">
        <v>64</v>
      </c>
      <c r="I12" s="5" t="s">
        <v>363</v>
      </c>
      <c r="J12" s="5" t="s">
        <v>364</v>
      </c>
      <c r="K12" s="3">
        <v>46277</v>
      </c>
      <c r="L12" s="12">
        <f ca="1">IF($O12="","",$O12-TODAY())</f>
        <v>205</v>
      </c>
      <c r="M12" s="12">
        <f ca="1">IF(AND(TRIM($A12)="Finalized",$K12&lt;&gt;""),"",IF($C12="","",$C12+365-TODAY()))</f>
        <v>219</v>
      </c>
      <c r="N12" s="12">
        <f ca="1">IF(AND(TRIM($A12)="Finalized",$K12&lt;&gt;""),"",IF($C12="","",$C12+120-TODAY()))</f>
        <v>-26</v>
      </c>
      <c r="O12" s="6">
        <f>IF(AND(TRIM($A12)="Finalized",$K12&lt;&gt;""),"",DATE(2027,4,28))</f>
        <v>46505</v>
      </c>
      <c r="P12" s="5" t="s">
        <v>67</v>
      </c>
      <c r="Q12" s="5" t="s">
        <v>68</v>
      </c>
      <c r="R12" s="5" t="s">
        <v>67</v>
      </c>
      <c r="S12" s="5" t="s">
        <v>69</v>
      </c>
      <c r="T12" s="5" t="s">
        <v>70</v>
      </c>
      <c r="U12" s="5" t="s">
        <v>69</v>
      </c>
      <c r="V12" s="5"/>
      <c r="W12" s="5"/>
      <c r="X12" s="5"/>
      <c r="Y12" s="5" t="s">
        <v>71</v>
      </c>
      <c r="Z12" s="7">
        <v>3486.42</v>
      </c>
      <c r="AA12" s="7">
        <v>0</v>
      </c>
      <c r="AB12" s="7">
        <v>0</v>
      </c>
      <c r="AC12" s="6">
        <v>46154</v>
      </c>
      <c r="AD12" s="7">
        <v>3486.42</v>
      </c>
      <c r="AE12" s="4">
        <v>102</v>
      </c>
      <c r="AF12" s="5" t="s">
        <v>365</v>
      </c>
      <c r="AG12" s="5"/>
      <c r="AH12" s="5"/>
      <c r="AI12" s="5"/>
      <c r="AJ12" s="4"/>
      <c r="AK12" s="5" t="s">
        <v>119</v>
      </c>
      <c r="AL12" s="5" t="s">
        <v>91</v>
      </c>
      <c r="AM12" s="6">
        <v>46147</v>
      </c>
      <c r="AN12" s="5" t="s">
        <v>339</v>
      </c>
    </row>
    <row r="13" spans="1:40" x14ac:dyDescent="0.25">
      <c r="A13" s="2" t="s">
        <v>61</v>
      </c>
      <c r="B13" s="2" t="s">
        <v>395</v>
      </c>
      <c r="C13" s="3">
        <v>46154</v>
      </c>
      <c r="D13" s="4">
        <v>558246366</v>
      </c>
      <c r="E13" s="5" t="s">
        <v>366</v>
      </c>
      <c r="F13" s="6">
        <v>46141</v>
      </c>
      <c r="G13" s="5" t="s">
        <v>64</v>
      </c>
      <c r="H13" s="5" t="s">
        <v>64</v>
      </c>
      <c r="I13" s="5" t="s">
        <v>86</v>
      </c>
      <c r="J13" s="5" t="s">
        <v>359</v>
      </c>
      <c r="K13" s="3">
        <v>46277</v>
      </c>
      <c r="L13" s="12">
        <f ca="1">IF($O13="","",$O13-TODAY())</f>
        <v>206</v>
      </c>
      <c r="M13" s="12">
        <f ca="1">IF(AND(TRIM($A13)="Finalized",$K13&lt;&gt;""),"",IF($C13="","",$C13+365-TODAY()))</f>
        <v>219</v>
      </c>
      <c r="N13" s="12">
        <f ca="1">IF(AND(TRIM($A13)="Finalized",$K13&lt;&gt;""),"",IF($C13="","",$C13+120-TODAY()))</f>
        <v>-26</v>
      </c>
      <c r="O13" s="6">
        <f>IF(AND(TRIM($A13)="Finalized",$K13&lt;&gt;""),"",DATE(2027,4,29))</f>
        <v>46506</v>
      </c>
      <c r="P13" s="5" t="s">
        <v>67</v>
      </c>
      <c r="Q13" s="5" t="s">
        <v>68</v>
      </c>
      <c r="R13" s="5" t="s">
        <v>67</v>
      </c>
      <c r="S13" s="5" t="s">
        <v>69</v>
      </c>
      <c r="T13" s="5" t="s">
        <v>70</v>
      </c>
      <c r="U13" s="5" t="s">
        <v>69</v>
      </c>
      <c r="V13" s="5"/>
      <c r="W13" s="5"/>
      <c r="X13" s="5"/>
      <c r="Y13" s="5" t="s">
        <v>71</v>
      </c>
      <c r="Z13" s="7">
        <v>1294.23</v>
      </c>
      <c r="AA13" s="7">
        <v>0</v>
      </c>
      <c r="AB13" s="7">
        <v>0</v>
      </c>
      <c r="AC13" s="6">
        <v>46154</v>
      </c>
      <c r="AD13" s="7">
        <v>1294.23</v>
      </c>
      <c r="AE13" s="4">
        <v>101</v>
      </c>
      <c r="AF13" s="5" t="s">
        <v>367</v>
      </c>
      <c r="AG13" s="5"/>
      <c r="AH13" s="5"/>
      <c r="AI13" s="5"/>
      <c r="AJ13" s="4"/>
      <c r="AK13" s="5" t="s">
        <v>116</v>
      </c>
      <c r="AL13" s="5" t="s">
        <v>196</v>
      </c>
      <c r="AM13" s="6">
        <v>46147</v>
      </c>
      <c r="AN13" s="5" t="s">
        <v>339</v>
      </c>
    </row>
    <row r="14" spans="1:40" x14ac:dyDescent="0.25">
      <c r="A14" s="2" t="s">
        <v>61</v>
      </c>
      <c r="B14" s="2" t="s">
        <v>395</v>
      </c>
      <c r="C14" s="3">
        <v>46154</v>
      </c>
      <c r="D14" s="4">
        <v>558247000</v>
      </c>
      <c r="E14" s="5" t="s">
        <v>368</v>
      </c>
      <c r="F14" s="6">
        <v>46141</v>
      </c>
      <c r="G14" s="5" t="s">
        <v>64</v>
      </c>
      <c r="H14" s="5" t="s">
        <v>64</v>
      </c>
      <c r="I14" s="5" t="s">
        <v>86</v>
      </c>
      <c r="J14" s="5" t="s">
        <v>369</v>
      </c>
      <c r="K14" s="3">
        <v>46277</v>
      </c>
      <c r="L14" s="12">
        <f ca="1">IF($O14="","",$O14-TODAY())</f>
        <v>206</v>
      </c>
      <c r="M14" s="12">
        <f ca="1">IF(AND(TRIM($A14)="Finalized",$K14&lt;&gt;""),"",IF($C14="","",$C14+365-TODAY()))</f>
        <v>219</v>
      </c>
      <c r="N14" s="12">
        <f ca="1">IF(AND(TRIM($A14)="Finalized",$K14&lt;&gt;""),"",IF($C14="","",$C14+120-TODAY()))</f>
        <v>-26</v>
      </c>
      <c r="O14" s="6">
        <f>IF(AND(TRIM($A14)="Finalized",$K14&lt;&gt;""),"",DATE(2027,4,29))</f>
        <v>46506</v>
      </c>
      <c r="P14" s="5" t="s">
        <v>67</v>
      </c>
      <c r="Q14" s="5" t="s">
        <v>68</v>
      </c>
      <c r="R14" s="5" t="s">
        <v>67</v>
      </c>
      <c r="S14" s="5" t="s">
        <v>69</v>
      </c>
      <c r="T14" s="5" t="s">
        <v>70</v>
      </c>
      <c r="U14" s="5" t="s">
        <v>69</v>
      </c>
      <c r="V14" s="5"/>
      <c r="W14" s="5"/>
      <c r="X14" s="5"/>
      <c r="Y14" s="5" t="s">
        <v>71</v>
      </c>
      <c r="Z14" s="7">
        <v>2173.29</v>
      </c>
      <c r="AA14" s="7">
        <v>0</v>
      </c>
      <c r="AB14" s="7">
        <v>0</v>
      </c>
      <c r="AC14" s="6">
        <v>46154</v>
      </c>
      <c r="AD14" s="7">
        <v>2173.29</v>
      </c>
      <c r="AE14" s="4">
        <v>101</v>
      </c>
      <c r="AF14" s="5" t="s">
        <v>367</v>
      </c>
      <c r="AG14" s="5"/>
      <c r="AH14" s="5"/>
      <c r="AI14" s="5"/>
      <c r="AJ14" s="4"/>
      <c r="AK14" s="5" t="s">
        <v>116</v>
      </c>
      <c r="AL14" s="5" t="s">
        <v>196</v>
      </c>
      <c r="AM14" s="6">
        <v>46147</v>
      </c>
      <c r="AN14" s="5" t="s">
        <v>339</v>
      </c>
    </row>
    <row r="15" spans="1:40" x14ac:dyDescent="0.25">
      <c r="A15" s="2" t="s">
        <v>61</v>
      </c>
      <c r="B15" s="2" t="s">
        <v>417</v>
      </c>
      <c r="C15" s="3">
        <v>46216</v>
      </c>
      <c r="D15" s="4">
        <v>558304247</v>
      </c>
      <c r="E15" s="5" t="s">
        <v>370</v>
      </c>
      <c r="F15" s="6">
        <v>46114</v>
      </c>
      <c r="G15" s="5" t="s">
        <v>184</v>
      </c>
      <c r="H15" s="5" t="s">
        <v>184</v>
      </c>
      <c r="I15" s="5" t="s">
        <v>173</v>
      </c>
      <c r="J15" s="5" t="s">
        <v>369</v>
      </c>
      <c r="K15" s="3">
        <v>46282</v>
      </c>
      <c r="L15" s="12">
        <f ca="1">IF($O15="","",$O15-TODAY())</f>
        <v>-96</v>
      </c>
      <c r="M15" s="12">
        <f ca="1">IF(AND(TRIM($A15)="Finalized",$K15&lt;&gt;""),"",IF($C15="","",$C15+180-TODAY()))</f>
        <v>96</v>
      </c>
      <c r="N15" s="12">
        <f ca="1">IF(AND(TRIM($A15)="Finalized",$K15&lt;&gt;""),"",IF($C15="","",$C15+365-TODAY()))</f>
        <v>281</v>
      </c>
      <c r="O15" s="6">
        <f>IF(AND(TRIM($A15)="Finalized",$K15&lt;&gt;""),"",DATE(2026,7,1))</f>
        <v>46204</v>
      </c>
      <c r="P15" s="5" t="s">
        <v>87</v>
      </c>
      <c r="Q15" s="5" t="s">
        <v>186</v>
      </c>
      <c r="R15" s="5" t="s">
        <v>179</v>
      </c>
      <c r="S15" s="5" t="s">
        <v>69</v>
      </c>
      <c r="T15" s="5" t="s">
        <v>67</v>
      </c>
      <c r="U15" s="5" t="s">
        <v>69</v>
      </c>
      <c r="V15" s="5"/>
      <c r="W15" s="5"/>
      <c r="X15" s="5"/>
      <c r="Y15" s="5" t="s">
        <v>71</v>
      </c>
      <c r="Z15" s="7">
        <v>2173.29</v>
      </c>
      <c r="AA15" s="7">
        <v>0</v>
      </c>
      <c r="AB15" s="7">
        <v>0</v>
      </c>
      <c r="AC15" s="6">
        <v>46218</v>
      </c>
      <c r="AD15" s="7">
        <v>2173.29</v>
      </c>
      <c r="AE15" s="4">
        <v>128</v>
      </c>
      <c r="AF15" s="5" t="s">
        <v>371</v>
      </c>
      <c r="AG15" s="5" t="s">
        <v>360</v>
      </c>
      <c r="AH15" s="5" t="s">
        <v>372</v>
      </c>
      <c r="AI15" s="5"/>
      <c r="AJ15" s="4"/>
      <c r="AK15" s="5" t="s">
        <v>106</v>
      </c>
      <c r="AL15" s="5" t="s">
        <v>350</v>
      </c>
      <c r="AM15" s="6">
        <v>46148</v>
      </c>
      <c r="AN15" s="5" t="s">
        <v>339</v>
      </c>
    </row>
    <row r="16" spans="1:40" x14ac:dyDescent="0.25">
      <c r="A16" s="2" t="s">
        <v>61</v>
      </c>
      <c r="B16" s="2" t="s">
        <v>418</v>
      </c>
      <c r="C16" s="3">
        <v>46164</v>
      </c>
      <c r="D16" s="4">
        <v>558637485</v>
      </c>
      <c r="E16" s="5" t="s">
        <v>373</v>
      </c>
      <c r="F16" s="6">
        <v>46119</v>
      </c>
      <c r="G16" s="5" t="s">
        <v>86</v>
      </c>
      <c r="H16" s="5" t="s">
        <v>86</v>
      </c>
      <c r="I16" s="5" t="s">
        <v>65</v>
      </c>
      <c r="J16" s="5" t="s">
        <v>445</v>
      </c>
      <c r="K16" s="3">
        <v>46283</v>
      </c>
      <c r="L16" s="12">
        <f ca="1">IF($O16="","",$O16-TODAY())</f>
        <v>-91</v>
      </c>
      <c r="M16" s="12">
        <f ca="1">IF(AND(TRIM($A16)="Finalized",$K16&lt;&gt;""),"",IF($F16="","",$F16+90-TODAY()))</f>
        <v>-91</v>
      </c>
      <c r="N16" s="12">
        <f ca="1">IF(AND(TRIM($A16)="Finalized",$K16&lt;&gt;""),"",IF($C16="","",$C16+365-TODAY()))</f>
        <v>229</v>
      </c>
      <c r="O16" s="6">
        <f>IF(AND(TRIM($A16)="Finalized",$K16&lt;&gt;""),"",DATE(2026,7,6))</f>
        <v>46209</v>
      </c>
      <c r="P16" s="5" t="s">
        <v>87</v>
      </c>
      <c r="Q16" s="5" t="s">
        <v>88</v>
      </c>
      <c r="R16" s="5" t="s">
        <v>87</v>
      </c>
      <c r="S16" s="5" t="s">
        <v>114</v>
      </c>
      <c r="T16" s="5" t="s">
        <v>67</v>
      </c>
      <c r="U16" s="5" t="s">
        <v>69</v>
      </c>
      <c r="V16" s="5"/>
      <c r="W16" s="5"/>
      <c r="X16" s="5"/>
      <c r="Y16" s="5" t="s">
        <v>71</v>
      </c>
      <c r="Z16" s="7">
        <v>2173.29</v>
      </c>
      <c r="AA16" s="7">
        <v>0</v>
      </c>
      <c r="AB16" s="7">
        <v>0</v>
      </c>
      <c r="AC16" s="6"/>
      <c r="AD16" s="7">
        <v>2173.29</v>
      </c>
      <c r="AE16" s="4">
        <v>123</v>
      </c>
      <c r="AF16" s="5" t="s">
        <v>374</v>
      </c>
      <c r="AG16" s="5" t="s">
        <v>338</v>
      </c>
      <c r="AH16" s="5"/>
      <c r="AI16" s="5"/>
      <c r="AJ16" s="4"/>
      <c r="AK16" s="5" t="s">
        <v>119</v>
      </c>
      <c r="AL16" s="5" t="s">
        <v>91</v>
      </c>
      <c r="AM16" s="6">
        <v>46140</v>
      </c>
      <c r="AN16" s="5" t="s">
        <v>339</v>
      </c>
    </row>
    <row r="17" spans="1:40" x14ac:dyDescent="0.25">
      <c r="A17" s="2" t="s">
        <v>61</v>
      </c>
      <c r="B17" s="2" t="s">
        <v>397</v>
      </c>
      <c r="C17" s="3">
        <v>46184</v>
      </c>
      <c r="D17" s="4">
        <v>558308311</v>
      </c>
      <c r="E17" s="5" t="s">
        <v>375</v>
      </c>
      <c r="F17" s="6">
        <v>46121</v>
      </c>
      <c r="G17" s="5" t="s">
        <v>207</v>
      </c>
      <c r="H17" s="5" t="s">
        <v>207</v>
      </c>
      <c r="I17" s="5" t="s">
        <v>65</v>
      </c>
      <c r="J17" s="5" t="s">
        <v>359</v>
      </c>
      <c r="K17" s="3">
        <v>46278</v>
      </c>
      <c r="L17" s="12">
        <f ca="1">IF($O17="","",$O17-TODAY())</f>
        <v>-89</v>
      </c>
      <c r="M17" s="12">
        <f ca="1">IF(AND(TRIM($A17)="Finalized",$K17&lt;&gt;""),"",IF($C17="","",$C17+180-TODAY()))</f>
        <v>64</v>
      </c>
      <c r="N17" s="12">
        <f ca="1">IF(AND(TRIM($A17)="Finalized",$K17&lt;&gt;""),"",IF($C17="","",$C17+365-TODAY()))</f>
        <v>249</v>
      </c>
      <c r="O17" s="6">
        <f>IF(AND(TRIM($A17)="Finalized",$K17&lt;&gt;""),"",DATE(2026,7,8))</f>
        <v>46211</v>
      </c>
      <c r="P17" s="5" t="s">
        <v>87</v>
      </c>
      <c r="Q17" s="5" t="s">
        <v>209</v>
      </c>
      <c r="R17" s="5" t="s">
        <v>179</v>
      </c>
      <c r="S17" s="5" t="s">
        <v>69</v>
      </c>
      <c r="T17" s="5" t="s">
        <v>67</v>
      </c>
      <c r="U17" s="5" t="s">
        <v>69</v>
      </c>
      <c r="V17" s="5"/>
      <c r="W17" s="5"/>
      <c r="X17" s="5"/>
      <c r="Y17" s="5" t="s">
        <v>71</v>
      </c>
      <c r="Z17" s="7">
        <v>1294.23</v>
      </c>
      <c r="AA17" s="7">
        <v>0</v>
      </c>
      <c r="AB17" s="7">
        <v>0</v>
      </c>
      <c r="AC17" s="6">
        <v>46184</v>
      </c>
      <c r="AD17" s="7">
        <v>1294.23</v>
      </c>
      <c r="AE17" s="4">
        <v>121</v>
      </c>
      <c r="AF17" s="5" t="s">
        <v>351</v>
      </c>
      <c r="AG17" s="5" t="s">
        <v>376</v>
      </c>
      <c r="AH17" s="5"/>
      <c r="AI17" s="5"/>
      <c r="AJ17" s="4"/>
      <c r="AK17" s="5" t="s">
        <v>106</v>
      </c>
      <c r="AL17" s="5" t="s">
        <v>350</v>
      </c>
      <c r="AM17" s="6">
        <v>46148</v>
      </c>
      <c r="AN17" s="5" t="s">
        <v>339</v>
      </c>
    </row>
    <row r="18" spans="1:40" x14ac:dyDescent="0.25">
      <c r="A18" s="2" t="s">
        <v>61</v>
      </c>
      <c r="B18" s="2" t="s">
        <v>398</v>
      </c>
      <c r="C18" s="3">
        <v>46224</v>
      </c>
      <c r="D18" s="4">
        <v>558638750</v>
      </c>
      <c r="E18" s="5" t="s">
        <v>377</v>
      </c>
      <c r="F18" s="6">
        <v>46121</v>
      </c>
      <c r="G18" s="5" t="s">
        <v>184</v>
      </c>
      <c r="H18" s="5" t="s">
        <v>184</v>
      </c>
      <c r="I18" s="5" t="s">
        <v>378</v>
      </c>
      <c r="J18" s="5" t="s">
        <v>357</v>
      </c>
      <c r="K18" s="3">
        <v>46278</v>
      </c>
      <c r="L18" s="12">
        <f ca="1">IF($O18="","",$O18-TODAY())</f>
        <v>-89</v>
      </c>
      <c r="M18" s="12">
        <f ca="1">IF(AND(TRIM($A18)="Finalized",$K18&lt;&gt;""),"",IF($C18="","",$C18+180-TODAY()))</f>
        <v>104</v>
      </c>
      <c r="N18" s="12">
        <f ca="1">IF(AND(TRIM($A18)="Finalized",$K18&lt;&gt;""),"",IF($C18="","",$C18+365-TODAY()))</f>
        <v>289</v>
      </c>
      <c r="O18" s="6">
        <f>IF(AND(TRIM($A18)="Finalized",$K18&lt;&gt;""),"",DATE(2026,7,8))</f>
        <v>46211</v>
      </c>
      <c r="P18" s="5" t="s">
        <v>87</v>
      </c>
      <c r="Q18" s="5" t="s">
        <v>186</v>
      </c>
      <c r="R18" s="5" t="s">
        <v>179</v>
      </c>
      <c r="S18" s="5" t="s">
        <v>69</v>
      </c>
      <c r="T18" s="5" t="s">
        <v>67</v>
      </c>
      <c r="U18" s="5" t="s">
        <v>69</v>
      </c>
      <c r="V18" s="5"/>
      <c r="W18" s="5"/>
      <c r="X18" s="5"/>
      <c r="Y18" s="5" t="s">
        <v>71</v>
      </c>
      <c r="Z18" s="7">
        <v>3822.49</v>
      </c>
      <c r="AA18" s="7">
        <v>0</v>
      </c>
      <c r="AB18" s="7">
        <v>0</v>
      </c>
      <c r="AC18" s="6">
        <v>46224</v>
      </c>
      <c r="AD18" s="7">
        <v>3822.49</v>
      </c>
      <c r="AE18" s="4">
        <v>121</v>
      </c>
      <c r="AF18" s="5" t="s">
        <v>355</v>
      </c>
      <c r="AG18" s="5"/>
      <c r="AH18" s="5"/>
      <c r="AI18" s="5"/>
      <c r="AJ18" s="4"/>
      <c r="AK18" s="5" t="s">
        <v>106</v>
      </c>
      <c r="AL18" s="5" t="s">
        <v>350</v>
      </c>
      <c r="AM18" s="6">
        <v>46150</v>
      </c>
      <c r="AN18" s="5" t="s">
        <v>339</v>
      </c>
    </row>
    <row r="19" spans="1:40" x14ac:dyDescent="0.25">
      <c r="A19" s="2" t="s">
        <v>61</v>
      </c>
      <c r="B19" s="2" t="s">
        <v>399</v>
      </c>
      <c r="C19" s="3">
        <v>46160</v>
      </c>
      <c r="D19" s="4">
        <v>558643981</v>
      </c>
      <c r="E19" s="5" t="s">
        <v>383</v>
      </c>
      <c r="F19" s="6">
        <v>46142</v>
      </c>
      <c r="G19" s="5" t="s">
        <v>184</v>
      </c>
      <c r="H19" s="5" t="s">
        <v>184</v>
      </c>
      <c r="I19" s="5" t="s">
        <v>65</v>
      </c>
      <c r="J19" s="5" t="s">
        <v>337</v>
      </c>
      <c r="K19" s="3">
        <v>46278</v>
      </c>
      <c r="L19" s="12">
        <f ca="1">IF($O19="","",$O19-TODAY())</f>
        <v>-68</v>
      </c>
      <c r="M19" s="12">
        <f ca="1">IF(AND(TRIM($A19)="Finalized",$K19&lt;&gt;""),"",IF($C19="","",$C19+180-TODAY()))</f>
        <v>40</v>
      </c>
      <c r="N19" s="12">
        <f ca="1">IF(AND(TRIM($A19)="Finalized",$K19&lt;&gt;""),"",IF($C19="","",$C19+365-TODAY()))</f>
        <v>225</v>
      </c>
      <c r="O19" s="6">
        <f>IF(AND(TRIM($A19)="Finalized",$K19&lt;&gt;""),"",DATE(2026,7,29))</f>
        <v>46232</v>
      </c>
      <c r="P19" s="5" t="s">
        <v>87</v>
      </c>
      <c r="Q19" s="5" t="s">
        <v>186</v>
      </c>
      <c r="R19" s="5" t="s">
        <v>179</v>
      </c>
      <c r="S19" s="5" t="s">
        <v>69</v>
      </c>
      <c r="T19" s="5" t="s">
        <v>67</v>
      </c>
      <c r="U19" s="5" t="s">
        <v>69</v>
      </c>
      <c r="V19" s="5"/>
      <c r="W19" s="5"/>
      <c r="X19" s="5"/>
      <c r="Y19" s="5" t="s">
        <v>71</v>
      </c>
      <c r="Z19" s="7">
        <v>879.06</v>
      </c>
      <c r="AA19" s="7">
        <v>0</v>
      </c>
      <c r="AB19" s="7">
        <v>0</v>
      </c>
      <c r="AC19" s="6">
        <v>46160</v>
      </c>
      <c r="AD19" s="7">
        <v>879.06</v>
      </c>
      <c r="AE19" s="4">
        <v>100</v>
      </c>
      <c r="AF19" s="5" t="s">
        <v>355</v>
      </c>
      <c r="AG19" s="5" t="s">
        <v>352</v>
      </c>
      <c r="AH19" s="5" t="s">
        <v>351</v>
      </c>
      <c r="AI19" s="5"/>
      <c r="AJ19" s="4"/>
      <c r="AK19" s="5" t="s">
        <v>106</v>
      </c>
      <c r="AL19" s="5" t="s">
        <v>350</v>
      </c>
      <c r="AM19" s="6">
        <v>46148</v>
      </c>
      <c r="AN19" s="5" t="s">
        <v>339</v>
      </c>
    </row>
    <row r="20" spans="1:40" x14ac:dyDescent="0.25">
      <c r="A20" s="2" t="s">
        <v>107</v>
      </c>
      <c r="B20" s="2" t="s">
        <v>335</v>
      </c>
      <c r="C20" s="3">
        <v>46199</v>
      </c>
      <c r="D20" s="4">
        <v>558639899</v>
      </c>
      <c r="E20" s="5" t="s">
        <v>336</v>
      </c>
      <c r="F20" s="6">
        <v>46126</v>
      </c>
      <c r="G20" s="5" t="s">
        <v>318</v>
      </c>
      <c r="H20" s="5" t="s">
        <v>318</v>
      </c>
      <c r="I20" s="5" t="s">
        <v>65</v>
      </c>
      <c r="J20" s="5" t="s">
        <v>337</v>
      </c>
      <c r="K20" s="3">
        <v>46245</v>
      </c>
      <c t="str" r="L20" s="12">
        <f ca="1">IF($O20="","",$O20-TODAY())</f>
        <v/>
      </c>
      <c t="str" r="M20" s="12">
        <f ca="1">IF(AND(TRIM($A20)="Finalized",$K20&lt;&gt;""),"",IF($C20="","",$C20+180-TODAY()))</f>
        <v/>
      </c>
      <c t="str" r="N20" s="12">
        <f ca="1">IF(AND(TRIM($A20)="Finalized",$K20&lt;&gt;""),"",IF($C20="","",$C20+180-TODAY()))</f>
        <v/>
      </c>
      <c t="str" r="O20" s="6">
        <f>IF(AND(TRIM($A20)="Finalized",$K20&lt;&gt;""),"",DATE(2026,8,12))</f>
        <v/>
      </c>
      <c r="P20" s="5" t="s">
        <v>70</v>
      </c>
      <c r="Q20" s="5" t="s">
        <v>320</v>
      </c>
      <c r="R20" s="5" t="s">
        <v>179</v>
      </c>
      <c r="S20" s="5" t="s">
        <v>69</v>
      </c>
      <c r="T20" s="5" t="s">
        <v>179</v>
      </c>
      <c r="U20" s="5" t="s">
        <v>69</v>
      </c>
      <c r="V20" s="5"/>
      <c r="W20" s="5"/>
      <c r="X20" s="5"/>
      <c r="Y20" s="5" t="s">
        <v>71</v>
      </c>
      <c r="Z20" s="7">
        <v>879.06</v>
      </c>
      <c r="AA20" s="7">
        <v>0</v>
      </c>
      <c r="AB20" s="7">
        <v>0</v>
      </c>
      <c r="AC20" s="6"/>
      <c r="AD20" s="7">
        <v>879.06</v>
      </c>
      <c r="AE20" s="4">
        <v>116</v>
      </c>
      <c r="AF20" s="5" t="s">
        <v>257</v>
      </c>
      <c r="AG20" s="5" t="s">
        <v>258</v>
      </c>
      <c r="AH20" s="5" t="s">
        <v>338</v>
      </c>
      <c r="AI20" s="5"/>
      <c r="AJ20" s="4"/>
      <c r="AK20" s="5" t="s">
        <v>119</v>
      </c>
      <c r="AL20" s="5" t="s">
        <v>91</v>
      </c>
      <c r="AM20" s="6">
        <v>46141</v>
      </c>
      <c r="AN20" s="5" t="s">
        <v>339</v>
      </c>
    </row>
  </sheetData>
  <autoFilter ref="A1:AN20" xr:uid="{00000000-0009-0000-0000-000004000000}"/>
  <conditionalFormatting sqref="L2:O1000">
    <cfRule type="expression" dxfId="101" priority="1" stopIfTrue="1">
      <formula>AND(TRIM($A2)="Finalized",$K2&lt;&gt;"")</formula>
    </cfRule>
  </conditionalFormatting>
  <conditionalFormatting sqref="L2:L20">
    <cfRule type="expression" dxfId="19" priority="2">
      <formula>AND($L2&lt;&gt;"", $L2&gt;=0, $L2&lt;=5)</formula>
    </cfRule>
    <cfRule type="expression" dxfId="18" priority="3">
      <formula>AND($L2&lt;&gt;"", $L2&gt;5, $L2&lt;=30)</formula>
    </cfRule>
    <cfRule type="expression" dxfId="17" priority="4">
      <formula>AND($L2&lt;&gt;"", $L2&gt;30)</formula>
    </cfRule>
    <cfRule type="expression" dxfId="16" priority="5">
      <formula>AND($L2&lt;&gt;"", $L2&lt;0)</formula>
    </cfRule>
    <cfRule type="expression" dxfId="15" priority="6">
      <formula>$L2=""</formula>
    </cfRule>
  </conditionalFormatting>
  <conditionalFormatting sqref="M2:M20">
    <cfRule type="expression" dxfId="14" priority="7">
      <formula>AND($M2&lt;&gt;"", $M2&gt;=0, $M2&lt;=5)</formula>
    </cfRule>
    <cfRule type="expression" dxfId="13" priority="8">
      <formula>AND($M2&lt;&gt;"", $M2&gt;5, $M2&lt;=30)</formula>
    </cfRule>
    <cfRule type="expression" dxfId="12" priority="9">
      <formula>AND($M2&lt;&gt;"", $M2&gt;30)</formula>
    </cfRule>
    <cfRule type="expression" dxfId="11" priority="10">
      <formula>AND($M2&lt;&gt;"", $M2&lt;0)</formula>
    </cfRule>
    <cfRule type="expression" dxfId="10" priority="11">
      <formula>$M2=""</formula>
    </cfRule>
  </conditionalFormatting>
  <conditionalFormatting sqref="N2:N20">
    <cfRule type="expression" dxfId="9" priority="12">
      <formula>AND($N2&lt;&gt;"", $N2&gt;=0, $N2&lt;=5)</formula>
    </cfRule>
    <cfRule type="expression" dxfId="8" priority="13">
      <formula>AND($N2&lt;&gt;"", $N2&gt;5, $N2&lt;=30)</formula>
    </cfRule>
    <cfRule type="expression" dxfId="7" priority="14">
      <formula>AND($N2&lt;&gt;"", $N2&gt;30)</formula>
    </cfRule>
    <cfRule type="expression" dxfId="6" priority="15">
      <formula>AND($N2&lt;&gt;"", $N2&lt;0)</formula>
    </cfRule>
    <cfRule type="expression" dxfId="5" priority="16">
      <formula>$N2=""</formula>
    </cfRule>
  </conditionalFormatting>
  <conditionalFormatting sqref="O2:U20">
    <cfRule type="expression" dxfId="4" priority="17">
      <formula>AND($L2&lt;&gt;"", $L2&gt;=0, $L2&lt;=5)</formula>
    </cfRule>
    <cfRule type="expression" dxfId="3" priority="18">
      <formula>AND($L2&lt;&gt;"", $L2&gt;5, $L2&lt;=30)</formula>
    </cfRule>
    <cfRule type="expression" dxfId="2" priority="19">
      <formula>AND($L2&lt;&gt;"", $L2&gt;30)</formula>
    </cfRule>
    <cfRule type="expression" dxfId="1" priority="20">
      <formula>AND($L2&lt;&gt;"", $L2&lt;0)</formula>
    </cfRule>
    <cfRule type="expression" dxfId="0" priority="21">
      <formula>$L2=""</formula>
    </cfRule>
  </conditionalFormatting>
  <conditionalFormatting sqref="A2:AN1000">
    <cfRule type="expression" dxfId="100" priority="22">
      <formula>TRIM($A2)="PAID"</formula>
    </cfRule>
    <cfRule type="expression" dxfId="101" priority="23">
      <formula>TRIM($A2)="Finalized"</formula>
    </cfRule>
    <cfRule type="expression" dxfId="102" priority="24">
      <formula>TRIM($A2)="Received"</formula>
    </cfRule>
    <cfRule type="expression" dxfId="103" priority="25">
      <formula>TRIM($A2)="Pending"</formula>
    </cfRule>
    <cfRule type="expression" dxfId="104" priority="26">
      <formula>TRIM($A2)="Under Review"</formula>
    </cfRule>
    <cfRule type="expression" dxfId="105" priority="27">
      <formula>AND(TRIM($A2)="Denied",$K2="")</formula>
    </cfRule>
    <cfRule type="expression" dxfId="108" priority="30">
      <formula>AND(TRIM($A2)="Denied",$K2&lt;&gt;"")</formula>
    </cfRule>
    <cfRule type="expression" dxfId="106" priority="28">
      <formula>TRIM($A2)="Rejected"</formula>
    </cfRule>
    <cfRule type="expression" dxfId="107" priority="29">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 Me</vt:lpstr>
      <vt:lpstr>BH</vt:lpstr>
      <vt:lpstr>DME</vt:lpstr>
      <vt:lpstr>GAE</vt:lpstr>
      <vt:lpstr>ORTHO</vt:lpstr>
      <vt:lpstr>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Linda Mora</cp:lastModifiedBy>
  <cp:revision/>
  <dcterms:created xsi:type="dcterms:W3CDTF">2026-08-13T00:38:30Z</dcterms:created>
  <dcterms:modified xsi:type="dcterms:W3CDTF">2026-10-05T18:32:34Z</dcterms:modified>
  <cp:category/>
  <cp:contentStatus/>
</cp:coreProperties>
</file>